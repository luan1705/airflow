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Admin\Dropbox\TKTH\Báo cáo tháng 9 2025\"/>
    </mc:Choice>
  </mc:AlternateContent>
  <xr:revisionPtr revIDLastSave="0" documentId="8_{BD01E17A-F154-4F98-B8A1-3BF35C8E3362}" xr6:coauthVersionLast="46" xr6:coauthVersionMax="46" xr10:uidLastSave="{00000000-0000-0000-0000-000000000000}"/>
  <bookViews>
    <workbookView xWindow="1395" yWindow="-13620" windowWidth="24240" windowHeight="13020" xr2:uid="{00000000-000D-0000-FFFF-FFFF00000000}"/>
  </bookViews>
  <sheets>
    <sheet name="1.GDP-HH" sheetId="57" r:id="rId1"/>
    <sheet name="2.GDP-SS" sheetId="58" r:id="rId2"/>
    <sheet name="3.Nong nghiep" sheetId="47" r:id="rId3"/>
    <sheet name="4.Channuoi" sheetId="2" r:id="rId4"/>
    <sheet name="5.Lam nghiep" sheetId="3" r:id="rId5"/>
    <sheet name="6.Thuy san" sheetId="4" r:id="rId6"/>
    <sheet name="7.IIPthang" sheetId="5" r:id="rId7"/>
    <sheet name="8.IIPquy" sheetId="6" r:id="rId8"/>
    <sheet name="9.SPCNthang" sheetId="7" r:id="rId9"/>
    <sheet name="10.SPCNquy" sheetId="8" r:id="rId10"/>
    <sheet name="11.CS TT TK" sheetId="9" r:id="rId11"/>
    <sheet name="12.LĐCN" sheetId="10" r:id="rId12"/>
    <sheet name="13.LĐCN_DP" sheetId="11" r:id="rId13"/>
    <sheet name="14.Chi tieu DN" sheetId="12" r:id="rId14"/>
    <sheet name="15.DN DK thanh lap" sheetId="13" r:id="rId15"/>
    <sheet name="16.DN quay lai hoat dong" sheetId="14" r:id="rId16"/>
    <sheet name="17.DN Ngừng có thời hạn" sheetId="15" r:id="rId17"/>
    <sheet name="18.DN giải thể" sheetId="16" r:id="rId18"/>
    <sheet name="19.VĐTTXH" sheetId="17" r:id="rId19"/>
    <sheet name="20.VNSNN tháng" sheetId="18" r:id="rId20"/>
    <sheet name="21.VNSNN quý" sheetId="19" r:id="rId21"/>
    <sheet name="22.FDI" sheetId="48" r:id="rId22"/>
    <sheet name="23.Tongmuc" sheetId="21" r:id="rId23"/>
    <sheet name="24.TM_Quy" sheetId="22" r:id="rId24"/>
    <sheet name="25.XK tháng" sheetId="52" r:id="rId25"/>
    <sheet name="26.NK tháng" sheetId="53" r:id="rId26"/>
    <sheet name="27.XK quý" sheetId="54" r:id="rId27"/>
    <sheet name="28.NK quý" sheetId="55" r:id="rId28"/>
    <sheet name="29.XNK Dich vu" sheetId="56" r:id="rId29"/>
    <sheet name="30.CPI" sheetId="46" r:id="rId30"/>
    <sheet name="31.Gia SX" sheetId="35" r:id="rId31"/>
    <sheet name="32.Gia Van tai" sheetId="36" r:id="rId32"/>
    <sheet name="33.Gia NVL" sheetId="37" r:id="rId33"/>
    <sheet name="34.Gia XK" sheetId="38" r:id="rId34"/>
    <sheet name="35.Gia NK" sheetId="39" r:id="rId35"/>
    <sheet name="36.TygiaTM" sheetId="40" r:id="rId36"/>
    <sheet name="37.Van tai HK" sheetId="23" r:id="rId37"/>
    <sheet name="38.Van tai HK quy" sheetId="24" r:id="rId38"/>
    <sheet name="39. VT HH" sheetId="25" r:id="rId39"/>
    <sheet name="40.Van tai HH quy" sheetId="26" r:id="rId40"/>
    <sheet name="41.Du lich " sheetId="27" r:id="rId41"/>
    <sheet name="42.Du lich quý" sheetId="28" r:id="rId42"/>
    <sheet name="43.Laodong" sheetId="41" r:id="rId43"/>
    <sheet name="44.thatnghiep" sheetId="42" r:id="rId44"/>
    <sheet name="45.LĐPhiCT" sheetId="43" r:id="rId45"/>
    <sheet name="46.XHMT" sheetId="44" r:id="rId46"/>
    <sheet name="Sheet1" sheetId="51" r:id="rId47"/>
  </sheets>
  <externalReferences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\0" localSheetId="0">'[1]PNT-QUOT-#3'!#REF!</definedName>
    <definedName name="\0" localSheetId="9">'[2]PNT-QUOT-#3'!#REF!</definedName>
    <definedName name="\0" localSheetId="12">'[3]PNT-QUOT-#3'!#REF!</definedName>
    <definedName name="\0" localSheetId="14">'[2]PNT-QUOT-#3'!#REF!</definedName>
    <definedName name="\0" localSheetId="15">'[2]PNT-QUOT-#3'!#REF!</definedName>
    <definedName name="\0" localSheetId="16">'[2]PNT-QUOT-#3'!#REF!</definedName>
    <definedName name="\0" localSheetId="17">'[2]PNT-QUOT-#3'!#REF!</definedName>
    <definedName name="\0" localSheetId="1">'[1]PNT-QUOT-#3'!#REF!</definedName>
    <definedName name="\0" localSheetId="28">'[3]PNT-QUOT-#3'!#REF!</definedName>
    <definedName name="\0" localSheetId="2">'[1]PNT-QUOT-#3'!#REF!</definedName>
    <definedName name="\0" localSheetId="29">'[1]PNT-QUOT-#3'!#REF!</definedName>
    <definedName name="\0" localSheetId="37">'[1]PNT-QUOT-#3'!#REF!</definedName>
    <definedName name="\0" localSheetId="3">'[1]PNT-QUOT-#3'!#REF!</definedName>
    <definedName name="\0" localSheetId="39">'[1]PNT-QUOT-#3'!#REF!</definedName>
    <definedName name="\0" localSheetId="41">'[1]PNT-QUOT-#3'!#REF!</definedName>
    <definedName name="\0" localSheetId="45">'[2]PNT-QUOT-#3'!#REF!</definedName>
    <definedName name="\0" localSheetId="4">'[1]PNT-QUOT-#3'!#REF!</definedName>
    <definedName name="\0" localSheetId="7">'[2]PNT-QUOT-#3'!#REF!</definedName>
    <definedName name="\0">'[2]PNT-QUOT-#3'!#REF!</definedName>
    <definedName name="\z" localSheetId="0">'[1]COAT&amp;WRAP-QIOT-#3'!#REF!</definedName>
    <definedName name="\z" localSheetId="9">'[2]COAT&amp;WRAP-QIOT-#3'!#REF!</definedName>
    <definedName name="\z" localSheetId="12">'[3]COAT&amp;WRAP-QIOT-#3'!#REF!</definedName>
    <definedName name="\z" localSheetId="14">'[2]COAT&amp;WRAP-QIOT-#3'!#REF!</definedName>
    <definedName name="\z" localSheetId="15">'[2]COAT&amp;WRAP-QIOT-#3'!#REF!</definedName>
    <definedName name="\z" localSheetId="16">'[2]COAT&amp;WRAP-QIOT-#3'!#REF!</definedName>
    <definedName name="\z" localSheetId="17">'[2]COAT&amp;WRAP-QIOT-#3'!#REF!</definedName>
    <definedName name="\z" localSheetId="1">'[1]COAT&amp;WRAP-QIOT-#3'!#REF!</definedName>
    <definedName name="\z" localSheetId="28">'[3]COAT&amp;WRAP-QIOT-#3'!#REF!</definedName>
    <definedName name="\z" localSheetId="2">'[1]COAT&amp;WRAP-QIOT-#3'!#REF!</definedName>
    <definedName name="\z" localSheetId="29">'[1]COAT&amp;WRAP-QIOT-#3'!#REF!</definedName>
    <definedName name="\z" localSheetId="37">'[1]COAT&amp;WRAP-QIOT-#3'!#REF!</definedName>
    <definedName name="\z" localSheetId="3">'[1]COAT&amp;WRAP-QIOT-#3'!#REF!</definedName>
    <definedName name="\z" localSheetId="39">'[1]COAT&amp;WRAP-QIOT-#3'!#REF!</definedName>
    <definedName name="\z" localSheetId="41">'[1]COAT&amp;WRAP-QIOT-#3'!#REF!</definedName>
    <definedName name="\z" localSheetId="45">'[2]COAT&amp;WRAP-QIOT-#3'!#REF!</definedName>
    <definedName name="\z" localSheetId="4">'[1]COAT&amp;WRAP-QIOT-#3'!#REF!</definedName>
    <definedName name="\z" localSheetId="7">'[2]COAT&amp;WRAP-QIOT-#3'!#REF!</definedName>
    <definedName name="\z">'[2]COAT&amp;WRAP-QIOT-#3'!#REF!</definedName>
    <definedName name="__________________________h1" hidden="1">{"'TDTGT (theo Dphuong)'!$A$4:$F$75"}</definedName>
    <definedName name="_________________________h1" hidden="1">{"'TDTGT (theo Dphuong)'!$A$4:$F$75"}</definedName>
    <definedName name="________________________h1" hidden="1">{"'TDTGT (theo Dphuong)'!$A$4:$F$75"}</definedName>
    <definedName name="_______________________h1" hidden="1">{"'TDTGT (theo Dphuong)'!$A$4:$F$75"}</definedName>
    <definedName name="______________________h1" hidden="1">{"'TDTGT (theo Dphuong)'!$A$4:$F$75"}</definedName>
    <definedName name="_____________________h1" hidden="1">{"'TDTGT (theo Dphuong)'!$A$4:$F$75"}</definedName>
    <definedName name="____________________h1" hidden="1">{"'TDTGT (theo Dphuong)'!$A$4:$F$75"}</definedName>
    <definedName name="___________________h1" hidden="1">{"'TDTGT (theo Dphuong)'!$A$4:$F$75"}</definedName>
    <definedName name="__________________h1" hidden="1">{"'TDTGT (theo Dphuong)'!$A$4:$F$75"}</definedName>
    <definedName name="_________________B5" hidden="1">{#N/A,#N/A,FALSE,"Chung"}</definedName>
    <definedName name="_________________h1" hidden="1">{"'TDTGT (theo Dphuong)'!$A$4:$F$75"}</definedName>
    <definedName name="_________________h2" hidden="1">{"'TDTGT (theo Dphuong)'!$A$4:$F$75"}</definedName>
    <definedName name="________________h1" hidden="1">{"'TDTGT (theo Dphuong)'!$A$4:$F$75"}</definedName>
    <definedName name="_______________B5" hidden="1">{#N/A,#N/A,FALSE,"Chung"}</definedName>
    <definedName name="_______________h1" hidden="1">{"'TDTGT (theo Dphuong)'!$A$4:$F$75"}</definedName>
    <definedName name="_______________h2" hidden="1">{"'TDTGT (theo Dphuong)'!$A$4:$F$75"}</definedName>
    <definedName name="______________B5" hidden="1">{#N/A,#N/A,FALSE,"Chung"}</definedName>
    <definedName name="______________h1" hidden="1">{"'TDTGT (theo Dphuong)'!$A$4:$F$75"}</definedName>
    <definedName name="______________h2" hidden="1">{"'TDTGT (theo Dphuong)'!$A$4:$F$75"}</definedName>
    <definedName name="_____________h1" hidden="1">{"'TDTGT (theo Dphuong)'!$A$4:$F$75"}</definedName>
    <definedName name="____________B5" hidden="1">{#N/A,#N/A,FALSE,"Chung"}</definedName>
    <definedName name="____________h1" hidden="1">{"'TDTGT (theo Dphuong)'!$A$4:$F$75"}</definedName>
    <definedName name="____________h2" hidden="1">{"'TDTGT (theo Dphuong)'!$A$4:$F$75"}</definedName>
    <definedName name="___________B5" hidden="1">{#N/A,#N/A,FALSE,"Chung"}</definedName>
    <definedName name="___________h1" hidden="1">{"'TDTGT (theo Dphuong)'!$A$4:$F$75"}</definedName>
    <definedName name="___________h2" hidden="1">{"'TDTGT (theo Dphuong)'!$A$4:$F$75"}</definedName>
    <definedName name="__________h1" hidden="1">{"'TDTGT (theo Dphuong)'!$A$4:$F$75"}</definedName>
    <definedName name="_________B5" hidden="1">{#N/A,#N/A,FALSE,"Chung"}</definedName>
    <definedName name="_________h1" localSheetId="0" hidden="1">{"'TDTGT (theo Dphuong)'!$A$4:$F$75"}</definedName>
    <definedName name="_________h1" localSheetId="9" hidden="1">{"'TDTGT (theo Dphuong)'!$A$4:$F$75"}</definedName>
    <definedName name="_________h1" localSheetId="10" hidden="1">{"'TDTGT (theo Dphuong)'!$A$4:$F$75"}</definedName>
    <definedName name="_________h1" localSheetId="12" hidden="1">{"'TDTGT (theo Dphuong)'!$A$4:$F$75"}</definedName>
    <definedName name="_________h1" localSheetId="14" hidden="1">{"'TDTGT (theo Dphuong)'!$A$4:$F$75"}</definedName>
    <definedName name="_________h1" localSheetId="17" hidden="1">{"'TDTGT (theo Dphuong)'!$A$4:$F$75"}</definedName>
    <definedName name="_________h1" localSheetId="1" hidden="1">{"'TDTGT (theo Dphuong)'!$A$4:$F$75"}</definedName>
    <definedName name="_________h1" localSheetId="28" hidden="1">{"'TDTGT (theo Dphuong)'!$A$4:$F$75"}</definedName>
    <definedName name="_________h1" localSheetId="2" hidden="1">{"'TDTGT (theo Dphuong)'!$A$4:$F$75"}</definedName>
    <definedName name="_________h1" localSheetId="29" hidden="1">{"'TDTGT (theo Dphuong)'!$A$4:$F$75"}</definedName>
    <definedName name="_________h1" localSheetId="31" hidden="1">{"'TDTGT (theo Dphuong)'!$A$4:$F$75"}</definedName>
    <definedName name="_________h1" localSheetId="32" hidden="1">{"'TDTGT (theo Dphuong)'!$A$4:$F$75"}</definedName>
    <definedName name="_________h1" localSheetId="33" hidden="1">{"'TDTGT (theo Dphuong)'!$A$4:$F$75"}</definedName>
    <definedName name="_________h1" localSheetId="34" hidden="1">{"'TDTGT (theo Dphuong)'!$A$4:$F$75"}</definedName>
    <definedName name="_________h1" localSheetId="35" hidden="1">{"'TDTGT (theo Dphuong)'!$A$4:$F$75"}</definedName>
    <definedName name="_________h1" localSheetId="3" hidden="1">{"'TDTGT (theo Dphuong)'!$A$4:$F$75"}</definedName>
    <definedName name="_________h1" localSheetId="40" hidden="1">{"'TDTGT (theo Dphuong)'!$A$4:$F$75"}</definedName>
    <definedName name="_________h1" localSheetId="41" hidden="1">{"'TDTGT (theo Dphuong)'!$A$4:$F$75"}</definedName>
    <definedName name="_________h1" localSheetId="45" hidden="1">{"'TDTGT (theo Dphuong)'!$A$4:$F$75"}</definedName>
    <definedName name="_________h1" localSheetId="4" hidden="1">{"'TDTGT (theo Dphuong)'!$A$4:$F$75"}</definedName>
    <definedName name="_________h1" localSheetId="7" hidden="1">{"'TDTGT (theo Dphuong)'!$A$4:$F$75"}</definedName>
    <definedName name="_________h1" hidden="1">{"'TDTGT (theo Dphuong)'!$A$4:$F$75"}</definedName>
    <definedName name="_________h2" hidden="1">{"'TDTGT (theo Dphuong)'!$A$4:$F$75"}</definedName>
    <definedName name="________B5" hidden="1">{#N/A,#N/A,FALSE,"Chung"}</definedName>
    <definedName name="________h1" localSheetId="0" hidden="1">{"'TDTGT (theo Dphuong)'!$A$4:$F$75"}</definedName>
    <definedName name="________h1" localSheetId="9" hidden="1">{"'TDTGT (theo Dphuong)'!$A$4:$F$75"}</definedName>
    <definedName name="________h1" localSheetId="10" hidden="1">{"'TDTGT (theo Dphuong)'!$A$4:$F$75"}</definedName>
    <definedName name="________h1" localSheetId="12" hidden="1">{"'TDTGT (theo Dphuong)'!$A$4:$F$75"}</definedName>
    <definedName name="________h1" localSheetId="14" hidden="1">{"'TDTGT (theo Dphuong)'!$A$4:$F$75"}</definedName>
    <definedName name="________h1" localSheetId="17" hidden="1">{"'TDTGT (theo Dphuong)'!$A$4:$F$75"}</definedName>
    <definedName name="________h1" localSheetId="1" hidden="1">{"'TDTGT (theo Dphuong)'!$A$4:$F$75"}</definedName>
    <definedName name="________h1" localSheetId="28" hidden="1">{"'TDTGT (theo Dphuong)'!$A$4:$F$75"}</definedName>
    <definedName name="________h1" localSheetId="2" hidden="1">{"'TDTGT (theo Dphuong)'!$A$4:$F$75"}</definedName>
    <definedName name="________h1" localSheetId="29" hidden="1">{"'TDTGT (theo Dphuong)'!$A$4:$F$75"}</definedName>
    <definedName name="________h1" localSheetId="31" hidden="1">{"'TDTGT (theo Dphuong)'!$A$4:$F$75"}</definedName>
    <definedName name="________h1" localSheetId="32" hidden="1">{"'TDTGT (theo Dphuong)'!$A$4:$F$75"}</definedName>
    <definedName name="________h1" localSheetId="33" hidden="1">{"'TDTGT (theo Dphuong)'!$A$4:$F$75"}</definedName>
    <definedName name="________h1" localSheetId="34" hidden="1">{"'TDTGT (theo Dphuong)'!$A$4:$F$75"}</definedName>
    <definedName name="________h1" localSheetId="35" hidden="1">{"'TDTGT (theo Dphuong)'!$A$4:$F$75"}</definedName>
    <definedName name="________h1" localSheetId="3" hidden="1">{"'TDTGT (theo Dphuong)'!$A$4:$F$75"}</definedName>
    <definedName name="________h1" localSheetId="40" hidden="1">{"'TDTGT (theo Dphuong)'!$A$4:$F$75"}</definedName>
    <definedName name="________h1" localSheetId="41" hidden="1">{"'TDTGT (theo Dphuong)'!$A$4:$F$75"}</definedName>
    <definedName name="________h1" localSheetId="45" hidden="1">{"'TDTGT (theo Dphuong)'!$A$4:$F$75"}</definedName>
    <definedName name="________h1" localSheetId="4" hidden="1">{"'TDTGT (theo Dphuong)'!$A$4:$F$75"}</definedName>
    <definedName name="________h1" localSheetId="7" hidden="1">{"'TDTGT (theo Dphuong)'!$A$4:$F$75"}</definedName>
    <definedName name="________h1" hidden="1">{"'TDTGT (theo Dphuong)'!$A$4:$F$75"}</definedName>
    <definedName name="________h2" hidden="1">{"'TDTGT (theo Dphuong)'!$A$4:$F$75"}</definedName>
    <definedName name="_______B5" hidden="1">{#N/A,#N/A,FALSE,"Chung"}</definedName>
    <definedName name="_______h1" localSheetId="0" hidden="1">{"'TDTGT (theo Dphuong)'!$A$4:$F$75"}</definedName>
    <definedName name="_______h1" localSheetId="9" hidden="1">{"'TDTGT (theo Dphuong)'!$A$4:$F$75"}</definedName>
    <definedName name="_______h1" localSheetId="10" hidden="1">{"'TDTGT (theo Dphuong)'!$A$4:$F$75"}</definedName>
    <definedName name="_______h1" localSheetId="12" hidden="1">{"'TDTGT (theo Dphuong)'!$A$4:$F$75"}</definedName>
    <definedName name="_______h1" localSheetId="14" hidden="1">{"'TDTGT (theo Dphuong)'!$A$4:$F$75"}</definedName>
    <definedName name="_______h1" localSheetId="17" hidden="1">{"'TDTGT (theo Dphuong)'!$A$4:$F$75"}</definedName>
    <definedName name="_______h1" localSheetId="1" hidden="1">{"'TDTGT (theo Dphuong)'!$A$4:$F$75"}</definedName>
    <definedName name="_______h1" localSheetId="28" hidden="1">{"'TDTGT (theo Dphuong)'!$A$4:$F$75"}</definedName>
    <definedName name="_______h1" localSheetId="2" hidden="1">{"'TDTGT (theo Dphuong)'!$A$4:$F$75"}</definedName>
    <definedName name="_______h1" localSheetId="29" hidden="1">{"'TDTGT (theo Dphuong)'!$A$4:$F$75"}</definedName>
    <definedName name="_______h1" localSheetId="31" hidden="1">{"'TDTGT (theo Dphuong)'!$A$4:$F$75"}</definedName>
    <definedName name="_______h1" localSheetId="32" hidden="1">{"'TDTGT (theo Dphuong)'!$A$4:$F$75"}</definedName>
    <definedName name="_______h1" localSheetId="33" hidden="1">{"'TDTGT (theo Dphuong)'!$A$4:$F$75"}</definedName>
    <definedName name="_______h1" localSheetId="34" hidden="1">{"'TDTGT (theo Dphuong)'!$A$4:$F$75"}</definedName>
    <definedName name="_______h1" localSheetId="35" hidden="1">{"'TDTGT (theo Dphuong)'!$A$4:$F$75"}</definedName>
    <definedName name="_______h1" localSheetId="3" hidden="1">{"'TDTGT (theo Dphuong)'!$A$4:$F$75"}</definedName>
    <definedName name="_______h1" localSheetId="40" hidden="1">{"'TDTGT (theo Dphuong)'!$A$4:$F$75"}</definedName>
    <definedName name="_______h1" localSheetId="41" hidden="1">{"'TDTGT (theo Dphuong)'!$A$4:$F$75"}</definedName>
    <definedName name="_______h1" localSheetId="45" hidden="1">{"'TDTGT (theo Dphuong)'!$A$4:$F$75"}</definedName>
    <definedName name="_______h1" localSheetId="4" hidden="1">{"'TDTGT (theo Dphuong)'!$A$4:$F$75"}</definedName>
    <definedName name="_______h1" localSheetId="7" hidden="1">{"'TDTGT (theo Dphuong)'!$A$4:$F$75"}</definedName>
    <definedName name="_______h1" hidden="1">{"'TDTGT (theo Dphuong)'!$A$4:$F$75"}</definedName>
    <definedName name="_______h2" hidden="1">{"'TDTGT (theo Dphuong)'!$A$4:$F$75"}</definedName>
    <definedName name="______B5" localSheetId="0" hidden="1">{#N/A,#N/A,FALSE,"Chung"}</definedName>
    <definedName name="______B5" localSheetId="9" hidden="1">{#N/A,#N/A,FALSE,"Chung"}</definedName>
    <definedName name="______B5" localSheetId="10" hidden="1">{#N/A,#N/A,FALSE,"Chung"}</definedName>
    <definedName name="______B5" localSheetId="12" hidden="1">{#N/A,#N/A,FALSE,"Chung"}</definedName>
    <definedName name="______B5" localSheetId="14" hidden="1">{#N/A,#N/A,FALSE,"Chung"}</definedName>
    <definedName name="______B5" localSheetId="17" hidden="1">{#N/A,#N/A,FALSE,"Chung"}</definedName>
    <definedName name="______B5" localSheetId="1" hidden="1">{#N/A,#N/A,FALSE,"Chung"}</definedName>
    <definedName name="______B5" localSheetId="28" hidden="1">{#N/A,#N/A,FALSE,"Chung"}</definedName>
    <definedName name="______B5" localSheetId="2" hidden="1">{#N/A,#N/A,FALSE,"Chung"}</definedName>
    <definedName name="______B5" localSheetId="29" hidden="1">{#N/A,#N/A,FALSE,"Chung"}</definedName>
    <definedName name="______B5" localSheetId="31" hidden="1">{#N/A,#N/A,FALSE,"Chung"}</definedName>
    <definedName name="______B5" localSheetId="32" hidden="1">{#N/A,#N/A,FALSE,"Chung"}</definedName>
    <definedName name="______B5" localSheetId="33" hidden="1">{#N/A,#N/A,FALSE,"Chung"}</definedName>
    <definedName name="______B5" localSheetId="34" hidden="1">{#N/A,#N/A,FALSE,"Chung"}</definedName>
    <definedName name="______B5" localSheetId="35" hidden="1">{#N/A,#N/A,FALSE,"Chung"}</definedName>
    <definedName name="______B5" localSheetId="3" hidden="1">{#N/A,#N/A,FALSE,"Chung"}</definedName>
    <definedName name="______B5" localSheetId="40" hidden="1">{#N/A,#N/A,FALSE,"Chung"}</definedName>
    <definedName name="______B5" localSheetId="41" hidden="1">{#N/A,#N/A,FALSE,"Chung"}</definedName>
    <definedName name="______B5" localSheetId="45" hidden="1">{#N/A,#N/A,FALSE,"Chung"}</definedName>
    <definedName name="______B5" localSheetId="4" hidden="1">{#N/A,#N/A,FALSE,"Chung"}</definedName>
    <definedName name="______B5" localSheetId="7" hidden="1">{#N/A,#N/A,FALSE,"Chung"}</definedName>
    <definedName name="______B5" hidden="1">{#N/A,#N/A,FALSE,"Chung"}</definedName>
    <definedName name="______h1" localSheetId="0" hidden="1">{"'TDTGT (theo Dphuong)'!$A$4:$F$75"}</definedName>
    <definedName name="______h1" localSheetId="9" hidden="1">{"'TDTGT (theo Dphuong)'!$A$4:$F$75"}</definedName>
    <definedName name="______h1" localSheetId="10" hidden="1">{"'TDTGT (theo Dphuong)'!$A$4:$F$75"}</definedName>
    <definedName name="______h1" localSheetId="12" hidden="1">{"'TDTGT (theo Dphuong)'!$A$4:$F$75"}</definedName>
    <definedName name="______h1" localSheetId="14" hidden="1">{"'TDTGT (theo Dphuong)'!$A$4:$F$75"}</definedName>
    <definedName name="______h1" localSheetId="17" hidden="1">{"'TDTGT (theo Dphuong)'!$A$4:$F$75"}</definedName>
    <definedName name="______h1" localSheetId="1" hidden="1">{"'TDTGT (theo Dphuong)'!$A$4:$F$75"}</definedName>
    <definedName name="______h1" localSheetId="28" hidden="1">{"'TDTGT (theo Dphuong)'!$A$4:$F$75"}</definedName>
    <definedName name="______h1" localSheetId="2" hidden="1">{"'TDTGT (theo Dphuong)'!$A$4:$F$75"}</definedName>
    <definedName name="______h1" localSheetId="29" hidden="1">{"'TDTGT (theo Dphuong)'!$A$4:$F$75"}</definedName>
    <definedName name="______h1" localSheetId="31" hidden="1">{"'TDTGT (theo Dphuong)'!$A$4:$F$75"}</definedName>
    <definedName name="______h1" localSheetId="32" hidden="1">{"'TDTGT (theo Dphuong)'!$A$4:$F$75"}</definedName>
    <definedName name="______h1" localSheetId="33" hidden="1">{"'TDTGT (theo Dphuong)'!$A$4:$F$75"}</definedName>
    <definedName name="______h1" localSheetId="34" hidden="1">{"'TDTGT (theo Dphuong)'!$A$4:$F$75"}</definedName>
    <definedName name="______h1" localSheetId="35" hidden="1">{"'TDTGT (theo Dphuong)'!$A$4:$F$75"}</definedName>
    <definedName name="______h1" localSheetId="3" hidden="1">{"'TDTGT (theo Dphuong)'!$A$4:$F$75"}</definedName>
    <definedName name="______h1" localSheetId="40" hidden="1">{"'TDTGT (theo Dphuong)'!$A$4:$F$75"}</definedName>
    <definedName name="______h1" localSheetId="41" hidden="1">{"'TDTGT (theo Dphuong)'!$A$4:$F$75"}</definedName>
    <definedName name="______h1" localSheetId="45" hidden="1">{"'TDTGT (theo Dphuong)'!$A$4:$F$75"}</definedName>
    <definedName name="______h1" localSheetId="4" hidden="1">{"'TDTGT (theo Dphuong)'!$A$4:$F$75"}</definedName>
    <definedName name="______h1" localSheetId="7" hidden="1">{"'TDTGT (theo Dphuong)'!$A$4:$F$75"}</definedName>
    <definedName name="______h1" hidden="1">{"'TDTGT (theo Dphuong)'!$A$4:$F$75"}</definedName>
    <definedName name="______h2" localSheetId="0" hidden="1">{"'TDTGT (theo Dphuong)'!$A$4:$F$75"}</definedName>
    <definedName name="______h2" localSheetId="9" hidden="1">{"'TDTGT (theo Dphuong)'!$A$4:$F$75"}</definedName>
    <definedName name="______h2" localSheetId="10" hidden="1">{"'TDTGT (theo Dphuong)'!$A$4:$F$75"}</definedName>
    <definedName name="______h2" localSheetId="12" hidden="1">{"'TDTGT (theo Dphuong)'!$A$4:$F$75"}</definedName>
    <definedName name="______h2" localSheetId="14" hidden="1">{"'TDTGT (theo Dphuong)'!$A$4:$F$75"}</definedName>
    <definedName name="______h2" localSheetId="17" hidden="1">{"'TDTGT (theo Dphuong)'!$A$4:$F$75"}</definedName>
    <definedName name="______h2" localSheetId="1" hidden="1">{"'TDTGT (theo Dphuong)'!$A$4:$F$75"}</definedName>
    <definedName name="______h2" localSheetId="28" hidden="1">{"'TDTGT (theo Dphuong)'!$A$4:$F$75"}</definedName>
    <definedName name="______h2" localSheetId="2" hidden="1">{"'TDTGT (theo Dphuong)'!$A$4:$F$75"}</definedName>
    <definedName name="______h2" localSheetId="29" hidden="1">{"'TDTGT (theo Dphuong)'!$A$4:$F$75"}</definedName>
    <definedName name="______h2" localSheetId="31" hidden="1">{"'TDTGT (theo Dphuong)'!$A$4:$F$75"}</definedName>
    <definedName name="______h2" localSheetId="32" hidden="1">{"'TDTGT (theo Dphuong)'!$A$4:$F$75"}</definedName>
    <definedName name="______h2" localSheetId="33" hidden="1">{"'TDTGT (theo Dphuong)'!$A$4:$F$75"}</definedName>
    <definedName name="______h2" localSheetId="34" hidden="1">{"'TDTGT (theo Dphuong)'!$A$4:$F$75"}</definedName>
    <definedName name="______h2" localSheetId="35" hidden="1">{"'TDTGT (theo Dphuong)'!$A$4:$F$75"}</definedName>
    <definedName name="______h2" localSheetId="3" hidden="1">{"'TDTGT (theo Dphuong)'!$A$4:$F$75"}</definedName>
    <definedName name="______h2" localSheetId="40" hidden="1">{"'TDTGT (theo Dphuong)'!$A$4:$F$75"}</definedName>
    <definedName name="______h2" localSheetId="41" hidden="1">{"'TDTGT (theo Dphuong)'!$A$4:$F$75"}</definedName>
    <definedName name="______h2" localSheetId="45" hidden="1">{"'TDTGT (theo Dphuong)'!$A$4:$F$75"}</definedName>
    <definedName name="______h2" localSheetId="4" hidden="1">{"'TDTGT (theo Dphuong)'!$A$4:$F$75"}</definedName>
    <definedName name="______h2" localSheetId="7" hidden="1">{"'TDTGT (theo Dphuong)'!$A$4:$F$75"}</definedName>
    <definedName name="______h2" hidden="1">{"'TDTGT (theo Dphuong)'!$A$4:$F$75"}</definedName>
    <definedName name="_____B5" localSheetId="0" hidden="1">{#N/A,#N/A,FALSE,"Chung"}</definedName>
    <definedName name="_____B5" localSheetId="9" hidden="1">{#N/A,#N/A,FALSE,"Chung"}</definedName>
    <definedName name="_____B5" localSheetId="10" hidden="1">{#N/A,#N/A,FALSE,"Chung"}</definedName>
    <definedName name="_____B5" localSheetId="12" hidden="1">{#N/A,#N/A,FALSE,"Chung"}</definedName>
    <definedName name="_____B5" localSheetId="14" hidden="1">{#N/A,#N/A,FALSE,"Chung"}</definedName>
    <definedName name="_____B5" localSheetId="17" hidden="1">{#N/A,#N/A,FALSE,"Chung"}</definedName>
    <definedName name="_____B5" localSheetId="1" hidden="1">{#N/A,#N/A,FALSE,"Chung"}</definedName>
    <definedName name="_____B5" localSheetId="28" hidden="1">{#N/A,#N/A,FALSE,"Chung"}</definedName>
    <definedName name="_____B5" localSheetId="2" hidden="1">{#N/A,#N/A,FALSE,"Chung"}</definedName>
    <definedName name="_____B5" localSheetId="29" hidden="1">{#N/A,#N/A,FALSE,"Chung"}</definedName>
    <definedName name="_____B5" localSheetId="31" hidden="1">{#N/A,#N/A,FALSE,"Chung"}</definedName>
    <definedName name="_____B5" localSheetId="32" hidden="1">{#N/A,#N/A,FALSE,"Chung"}</definedName>
    <definedName name="_____B5" localSheetId="33" hidden="1">{#N/A,#N/A,FALSE,"Chung"}</definedName>
    <definedName name="_____B5" localSheetId="34" hidden="1">{#N/A,#N/A,FALSE,"Chung"}</definedName>
    <definedName name="_____B5" localSheetId="35" hidden="1">{#N/A,#N/A,FALSE,"Chung"}</definedName>
    <definedName name="_____B5" localSheetId="3" hidden="1">{#N/A,#N/A,FALSE,"Chung"}</definedName>
    <definedName name="_____B5" localSheetId="40" hidden="1">{#N/A,#N/A,FALSE,"Chung"}</definedName>
    <definedName name="_____B5" localSheetId="41" hidden="1">{#N/A,#N/A,FALSE,"Chung"}</definedName>
    <definedName name="_____B5" localSheetId="45" hidden="1">{#N/A,#N/A,FALSE,"Chung"}</definedName>
    <definedName name="_____B5" localSheetId="4" hidden="1">{#N/A,#N/A,FALSE,"Chung"}</definedName>
    <definedName name="_____B5" localSheetId="7" hidden="1">{#N/A,#N/A,FALSE,"Chung"}</definedName>
    <definedName name="_____B5" hidden="1">{#N/A,#N/A,FALSE,"Chung"}</definedName>
    <definedName name="_____h1" localSheetId="0" hidden="1">{"'TDTGT (theo Dphuong)'!$A$4:$F$75"}</definedName>
    <definedName name="_____h1" localSheetId="9" hidden="1">{"'TDTGT (theo Dphuong)'!$A$4:$F$75"}</definedName>
    <definedName name="_____h1" localSheetId="10" hidden="1">{"'TDTGT (theo Dphuong)'!$A$4:$F$75"}</definedName>
    <definedName name="_____h1" localSheetId="12" hidden="1">{"'TDTGT (theo Dphuong)'!$A$4:$F$75"}</definedName>
    <definedName name="_____h1" localSheetId="14" hidden="1">{"'TDTGT (theo Dphuong)'!$A$4:$F$75"}</definedName>
    <definedName name="_____h1" localSheetId="17" hidden="1">{"'TDTGT (theo Dphuong)'!$A$4:$F$75"}</definedName>
    <definedName name="_____h1" localSheetId="1" hidden="1">{"'TDTGT (theo Dphuong)'!$A$4:$F$75"}</definedName>
    <definedName name="_____h1" localSheetId="28" hidden="1">{"'TDTGT (theo Dphuong)'!$A$4:$F$75"}</definedName>
    <definedName name="_____h1" localSheetId="2" hidden="1">{"'TDTGT (theo Dphuong)'!$A$4:$F$75"}</definedName>
    <definedName name="_____h1" localSheetId="29" hidden="1">{"'TDTGT (theo Dphuong)'!$A$4:$F$75"}</definedName>
    <definedName name="_____h1" localSheetId="31" hidden="1">{"'TDTGT (theo Dphuong)'!$A$4:$F$75"}</definedName>
    <definedName name="_____h1" localSheetId="32" hidden="1">{"'TDTGT (theo Dphuong)'!$A$4:$F$75"}</definedName>
    <definedName name="_____h1" localSheetId="33" hidden="1">{"'TDTGT (theo Dphuong)'!$A$4:$F$75"}</definedName>
    <definedName name="_____h1" localSheetId="34" hidden="1">{"'TDTGT (theo Dphuong)'!$A$4:$F$75"}</definedName>
    <definedName name="_____h1" localSheetId="35" hidden="1">{"'TDTGT (theo Dphuong)'!$A$4:$F$75"}</definedName>
    <definedName name="_____h1" localSheetId="3" hidden="1">{"'TDTGT (theo Dphuong)'!$A$4:$F$75"}</definedName>
    <definedName name="_____h1" localSheetId="40" hidden="1">{"'TDTGT (theo Dphuong)'!$A$4:$F$75"}</definedName>
    <definedName name="_____h1" localSheetId="41" hidden="1">{"'TDTGT (theo Dphuong)'!$A$4:$F$75"}</definedName>
    <definedName name="_____h1" localSheetId="45" hidden="1">{"'TDTGT (theo Dphuong)'!$A$4:$F$75"}</definedName>
    <definedName name="_____h1" localSheetId="4" hidden="1">{"'TDTGT (theo Dphuong)'!$A$4:$F$75"}</definedName>
    <definedName name="_____h1" localSheetId="7" hidden="1">{"'TDTGT (theo Dphuong)'!$A$4:$F$75"}</definedName>
    <definedName name="_____h1" hidden="1">{"'TDTGT (theo Dphuong)'!$A$4:$F$75"}</definedName>
    <definedName name="_____h2" localSheetId="0" hidden="1">{"'TDTGT (theo Dphuong)'!$A$4:$F$75"}</definedName>
    <definedName name="_____h2" localSheetId="9" hidden="1">{"'TDTGT (theo Dphuong)'!$A$4:$F$75"}</definedName>
    <definedName name="_____h2" localSheetId="10" hidden="1">{"'TDTGT (theo Dphuong)'!$A$4:$F$75"}</definedName>
    <definedName name="_____h2" localSheetId="12" hidden="1">{"'TDTGT (theo Dphuong)'!$A$4:$F$75"}</definedName>
    <definedName name="_____h2" localSheetId="14" hidden="1">{"'TDTGT (theo Dphuong)'!$A$4:$F$75"}</definedName>
    <definedName name="_____h2" localSheetId="17" hidden="1">{"'TDTGT (theo Dphuong)'!$A$4:$F$75"}</definedName>
    <definedName name="_____h2" localSheetId="1" hidden="1">{"'TDTGT (theo Dphuong)'!$A$4:$F$75"}</definedName>
    <definedName name="_____h2" localSheetId="28" hidden="1">{"'TDTGT (theo Dphuong)'!$A$4:$F$75"}</definedName>
    <definedName name="_____h2" localSheetId="2" hidden="1">{"'TDTGT (theo Dphuong)'!$A$4:$F$75"}</definedName>
    <definedName name="_____h2" localSheetId="29" hidden="1">{"'TDTGT (theo Dphuong)'!$A$4:$F$75"}</definedName>
    <definedName name="_____h2" localSheetId="31" hidden="1">{"'TDTGT (theo Dphuong)'!$A$4:$F$75"}</definedName>
    <definedName name="_____h2" localSheetId="32" hidden="1">{"'TDTGT (theo Dphuong)'!$A$4:$F$75"}</definedName>
    <definedName name="_____h2" localSheetId="33" hidden="1">{"'TDTGT (theo Dphuong)'!$A$4:$F$75"}</definedName>
    <definedName name="_____h2" localSheetId="34" hidden="1">{"'TDTGT (theo Dphuong)'!$A$4:$F$75"}</definedName>
    <definedName name="_____h2" localSheetId="35" hidden="1">{"'TDTGT (theo Dphuong)'!$A$4:$F$75"}</definedName>
    <definedName name="_____h2" localSheetId="3" hidden="1">{"'TDTGT (theo Dphuong)'!$A$4:$F$75"}</definedName>
    <definedName name="_____h2" localSheetId="40" hidden="1">{"'TDTGT (theo Dphuong)'!$A$4:$F$75"}</definedName>
    <definedName name="_____h2" localSheetId="41" hidden="1">{"'TDTGT (theo Dphuong)'!$A$4:$F$75"}</definedName>
    <definedName name="_____h2" localSheetId="45" hidden="1">{"'TDTGT (theo Dphuong)'!$A$4:$F$75"}</definedName>
    <definedName name="_____h2" localSheetId="4" hidden="1">{"'TDTGT (theo Dphuong)'!$A$4:$F$75"}</definedName>
    <definedName name="_____h2" localSheetId="7" hidden="1">{"'TDTGT (theo Dphuong)'!$A$4:$F$75"}</definedName>
    <definedName name="_____h2" hidden="1">{"'TDTGT (theo Dphuong)'!$A$4:$F$75"}</definedName>
    <definedName name="____B5" localSheetId="0" hidden="1">{#N/A,#N/A,FALSE,"Chung"}</definedName>
    <definedName name="____B5" localSheetId="9" hidden="1">{#N/A,#N/A,FALSE,"Chung"}</definedName>
    <definedName name="____B5" localSheetId="10" hidden="1">{#N/A,#N/A,FALSE,"Chung"}</definedName>
    <definedName name="____B5" localSheetId="12" hidden="1">{#N/A,#N/A,FALSE,"Chung"}</definedName>
    <definedName name="____B5" localSheetId="14" hidden="1">{#N/A,#N/A,FALSE,"Chung"}</definedName>
    <definedName name="____B5" localSheetId="17" hidden="1">{#N/A,#N/A,FALSE,"Chung"}</definedName>
    <definedName name="____B5" localSheetId="1" hidden="1">{#N/A,#N/A,FALSE,"Chung"}</definedName>
    <definedName name="____B5" localSheetId="28" hidden="1">{#N/A,#N/A,FALSE,"Chung"}</definedName>
    <definedName name="____B5" localSheetId="2" hidden="1">{#N/A,#N/A,FALSE,"Chung"}</definedName>
    <definedName name="____B5" localSheetId="29" hidden="1">{#N/A,#N/A,FALSE,"Chung"}</definedName>
    <definedName name="____B5" localSheetId="31" hidden="1">{#N/A,#N/A,FALSE,"Chung"}</definedName>
    <definedName name="____B5" localSheetId="32" hidden="1">{#N/A,#N/A,FALSE,"Chung"}</definedName>
    <definedName name="____B5" localSheetId="33" hidden="1">{#N/A,#N/A,FALSE,"Chung"}</definedName>
    <definedName name="____B5" localSheetId="34" hidden="1">{#N/A,#N/A,FALSE,"Chung"}</definedName>
    <definedName name="____B5" localSheetId="35" hidden="1">{#N/A,#N/A,FALSE,"Chung"}</definedName>
    <definedName name="____B5" localSheetId="3" hidden="1">{#N/A,#N/A,FALSE,"Chung"}</definedName>
    <definedName name="____B5" localSheetId="40" hidden="1">{#N/A,#N/A,FALSE,"Chung"}</definedName>
    <definedName name="____B5" localSheetId="41" hidden="1">{#N/A,#N/A,FALSE,"Chung"}</definedName>
    <definedName name="____B5" localSheetId="45" hidden="1">{#N/A,#N/A,FALSE,"Chung"}</definedName>
    <definedName name="____B5" localSheetId="4" hidden="1">{#N/A,#N/A,FALSE,"Chung"}</definedName>
    <definedName name="____B5" localSheetId="7" hidden="1">{#N/A,#N/A,FALSE,"Chung"}</definedName>
    <definedName name="____B5" hidden="1">{#N/A,#N/A,FALSE,"Chung"}</definedName>
    <definedName name="____h1" localSheetId="0" hidden="1">{"'TDTGT (theo Dphuong)'!$A$4:$F$75"}</definedName>
    <definedName name="____h1" localSheetId="9" hidden="1">{"'TDTGT (theo Dphuong)'!$A$4:$F$75"}</definedName>
    <definedName name="____h1" localSheetId="10" hidden="1">{"'TDTGT (theo Dphuong)'!$A$4:$F$75"}</definedName>
    <definedName name="____h1" localSheetId="12" hidden="1">{"'TDTGT (theo Dphuong)'!$A$4:$F$75"}</definedName>
    <definedName name="____h1" localSheetId="14" hidden="1">{"'TDTGT (theo Dphuong)'!$A$4:$F$75"}</definedName>
    <definedName name="____h1" localSheetId="17" hidden="1">{"'TDTGT (theo Dphuong)'!$A$4:$F$75"}</definedName>
    <definedName name="____h1" localSheetId="1" hidden="1">{"'TDTGT (theo Dphuong)'!$A$4:$F$75"}</definedName>
    <definedName name="____h1" localSheetId="28" hidden="1">{"'TDTGT (theo Dphuong)'!$A$4:$F$75"}</definedName>
    <definedName name="____h1" localSheetId="2" hidden="1">{"'TDTGT (theo Dphuong)'!$A$4:$F$75"}</definedName>
    <definedName name="____h1" localSheetId="29" hidden="1">{"'TDTGT (theo Dphuong)'!$A$4:$F$75"}</definedName>
    <definedName name="____h1" localSheetId="31" hidden="1">{"'TDTGT (theo Dphuong)'!$A$4:$F$75"}</definedName>
    <definedName name="____h1" localSheetId="32" hidden="1">{"'TDTGT (theo Dphuong)'!$A$4:$F$75"}</definedName>
    <definedName name="____h1" localSheetId="33" hidden="1">{"'TDTGT (theo Dphuong)'!$A$4:$F$75"}</definedName>
    <definedName name="____h1" localSheetId="34" hidden="1">{"'TDTGT (theo Dphuong)'!$A$4:$F$75"}</definedName>
    <definedName name="____h1" localSheetId="35" hidden="1">{"'TDTGT (theo Dphuong)'!$A$4:$F$75"}</definedName>
    <definedName name="____h1" localSheetId="3" hidden="1">{"'TDTGT (theo Dphuong)'!$A$4:$F$75"}</definedName>
    <definedName name="____h1" localSheetId="40" hidden="1">{"'TDTGT (theo Dphuong)'!$A$4:$F$75"}</definedName>
    <definedName name="____h1" localSheetId="41" hidden="1">{"'TDTGT (theo Dphuong)'!$A$4:$F$75"}</definedName>
    <definedName name="____h1" localSheetId="45" hidden="1">{"'TDTGT (theo Dphuong)'!$A$4:$F$75"}</definedName>
    <definedName name="____h1" localSheetId="4" hidden="1">{"'TDTGT (theo Dphuong)'!$A$4:$F$75"}</definedName>
    <definedName name="____h1" localSheetId="7" hidden="1">{"'TDTGT (theo Dphuong)'!$A$4:$F$75"}</definedName>
    <definedName name="____h1" hidden="1">{"'TDTGT (theo Dphuong)'!$A$4:$F$75"}</definedName>
    <definedName name="____h2" localSheetId="0" hidden="1">{"'TDTGT (theo Dphuong)'!$A$4:$F$75"}</definedName>
    <definedName name="____h2" localSheetId="9" hidden="1">{"'TDTGT (theo Dphuong)'!$A$4:$F$75"}</definedName>
    <definedName name="____h2" localSheetId="10" hidden="1">{"'TDTGT (theo Dphuong)'!$A$4:$F$75"}</definedName>
    <definedName name="____h2" localSheetId="12" hidden="1">{"'TDTGT (theo Dphuong)'!$A$4:$F$75"}</definedName>
    <definedName name="____h2" localSheetId="14" hidden="1">{"'TDTGT (theo Dphuong)'!$A$4:$F$75"}</definedName>
    <definedName name="____h2" localSheetId="17" hidden="1">{"'TDTGT (theo Dphuong)'!$A$4:$F$75"}</definedName>
    <definedName name="____h2" localSheetId="1" hidden="1">{"'TDTGT (theo Dphuong)'!$A$4:$F$75"}</definedName>
    <definedName name="____h2" localSheetId="28" hidden="1">{"'TDTGT (theo Dphuong)'!$A$4:$F$75"}</definedName>
    <definedName name="____h2" localSheetId="2" hidden="1">{"'TDTGT (theo Dphuong)'!$A$4:$F$75"}</definedName>
    <definedName name="____h2" localSheetId="29" hidden="1">{"'TDTGT (theo Dphuong)'!$A$4:$F$75"}</definedName>
    <definedName name="____h2" localSheetId="31" hidden="1">{"'TDTGT (theo Dphuong)'!$A$4:$F$75"}</definedName>
    <definedName name="____h2" localSheetId="32" hidden="1">{"'TDTGT (theo Dphuong)'!$A$4:$F$75"}</definedName>
    <definedName name="____h2" localSheetId="33" hidden="1">{"'TDTGT (theo Dphuong)'!$A$4:$F$75"}</definedName>
    <definedName name="____h2" localSheetId="34" hidden="1">{"'TDTGT (theo Dphuong)'!$A$4:$F$75"}</definedName>
    <definedName name="____h2" localSheetId="35" hidden="1">{"'TDTGT (theo Dphuong)'!$A$4:$F$75"}</definedName>
    <definedName name="____h2" localSheetId="3" hidden="1">{"'TDTGT (theo Dphuong)'!$A$4:$F$75"}</definedName>
    <definedName name="____h2" localSheetId="40" hidden="1">{"'TDTGT (theo Dphuong)'!$A$4:$F$75"}</definedName>
    <definedName name="____h2" localSheetId="41" hidden="1">{"'TDTGT (theo Dphuong)'!$A$4:$F$75"}</definedName>
    <definedName name="____h2" localSheetId="45" hidden="1">{"'TDTGT (theo Dphuong)'!$A$4:$F$75"}</definedName>
    <definedName name="____h2" localSheetId="4" hidden="1">{"'TDTGT (theo Dphuong)'!$A$4:$F$75"}</definedName>
    <definedName name="____h2" localSheetId="7" hidden="1">{"'TDTGT (theo Dphuong)'!$A$4:$F$75"}</definedName>
    <definedName name="____h2" hidden="1">{"'TDTGT (theo Dphuong)'!$A$4:$F$75"}</definedName>
    <definedName name="___B5" localSheetId="0" hidden="1">{#N/A,#N/A,FALSE,"Chung"}</definedName>
    <definedName name="___B5" localSheetId="9" hidden="1">{#N/A,#N/A,FALSE,"Chung"}</definedName>
    <definedName name="___B5" localSheetId="10" hidden="1">{#N/A,#N/A,FALSE,"Chung"}</definedName>
    <definedName name="___B5" localSheetId="12" hidden="1">{#N/A,#N/A,FALSE,"Chung"}</definedName>
    <definedName name="___B5" localSheetId="14" hidden="1">{#N/A,#N/A,FALSE,"Chung"}</definedName>
    <definedName name="___B5" localSheetId="17" hidden="1">{#N/A,#N/A,FALSE,"Chung"}</definedName>
    <definedName name="___B5" localSheetId="1" hidden="1">{#N/A,#N/A,FALSE,"Chung"}</definedName>
    <definedName name="___B5" localSheetId="28" hidden="1">{#N/A,#N/A,FALSE,"Chung"}</definedName>
    <definedName name="___B5" localSheetId="2" hidden="1">{#N/A,#N/A,FALSE,"Chung"}</definedName>
    <definedName name="___B5" localSheetId="29" hidden="1">{#N/A,#N/A,FALSE,"Chung"}</definedName>
    <definedName name="___B5" localSheetId="31" hidden="1">{#N/A,#N/A,FALSE,"Chung"}</definedName>
    <definedName name="___B5" localSheetId="32" hidden="1">{#N/A,#N/A,FALSE,"Chung"}</definedName>
    <definedName name="___B5" localSheetId="33" hidden="1">{#N/A,#N/A,FALSE,"Chung"}</definedName>
    <definedName name="___B5" localSheetId="34" hidden="1">{#N/A,#N/A,FALSE,"Chung"}</definedName>
    <definedName name="___B5" localSheetId="35" hidden="1">{#N/A,#N/A,FALSE,"Chung"}</definedName>
    <definedName name="___B5" localSheetId="3" hidden="1">{#N/A,#N/A,FALSE,"Chung"}</definedName>
    <definedName name="___B5" localSheetId="40" hidden="1">{#N/A,#N/A,FALSE,"Chung"}</definedName>
    <definedName name="___B5" localSheetId="41" hidden="1">{#N/A,#N/A,FALSE,"Chung"}</definedName>
    <definedName name="___B5" localSheetId="45" hidden="1">{#N/A,#N/A,FALSE,"Chung"}</definedName>
    <definedName name="___B5" localSheetId="4" hidden="1">{#N/A,#N/A,FALSE,"Chung"}</definedName>
    <definedName name="___B5" localSheetId="7" hidden="1">{#N/A,#N/A,FALSE,"Chung"}</definedName>
    <definedName name="___B5" hidden="1">{#N/A,#N/A,FALSE,"Chung"}</definedName>
    <definedName name="___bcc102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N1">#REF!</definedName>
    <definedName name="___CON2">#REF!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h1" localSheetId="0" hidden="1">{"'TDTGT (theo Dphuong)'!$A$4:$F$75"}</definedName>
    <definedName name="___h1" localSheetId="9" hidden="1">{"'TDTGT (theo Dphuong)'!$A$4:$F$75"}</definedName>
    <definedName name="___h1" localSheetId="10" hidden="1">{"'TDTGT (theo Dphuong)'!$A$4:$F$75"}</definedName>
    <definedName name="___h1" localSheetId="12" hidden="1">{"'TDTGT (theo Dphuong)'!$A$4:$F$75"}</definedName>
    <definedName name="___h1" localSheetId="14" hidden="1">{"'TDTGT (theo Dphuong)'!$A$4:$F$75"}</definedName>
    <definedName name="___h1" localSheetId="17" hidden="1">{"'TDTGT (theo Dphuong)'!$A$4:$F$75"}</definedName>
    <definedName name="___h1" localSheetId="1" hidden="1">{"'TDTGT (theo Dphuong)'!$A$4:$F$75"}</definedName>
    <definedName name="___h1" localSheetId="28" hidden="1">{"'TDTGT (theo Dphuong)'!$A$4:$F$75"}</definedName>
    <definedName name="___h1" localSheetId="2" hidden="1">{"'TDTGT (theo Dphuong)'!$A$4:$F$75"}</definedName>
    <definedName name="___h1" localSheetId="29" hidden="1">{"'TDTGT (theo Dphuong)'!$A$4:$F$75"}</definedName>
    <definedName name="___h1" localSheetId="31" hidden="1">{"'TDTGT (theo Dphuong)'!$A$4:$F$75"}</definedName>
    <definedName name="___h1" localSheetId="32" hidden="1">{"'TDTGT (theo Dphuong)'!$A$4:$F$75"}</definedName>
    <definedName name="___h1" localSheetId="33" hidden="1">{"'TDTGT (theo Dphuong)'!$A$4:$F$75"}</definedName>
    <definedName name="___h1" localSheetId="34" hidden="1">{"'TDTGT (theo Dphuong)'!$A$4:$F$75"}</definedName>
    <definedName name="___h1" localSheetId="35" hidden="1">{"'TDTGT (theo Dphuong)'!$A$4:$F$75"}</definedName>
    <definedName name="___h1" localSheetId="3" hidden="1">{"'TDTGT (theo Dphuong)'!$A$4:$F$75"}</definedName>
    <definedName name="___h1" localSheetId="40" hidden="1">{"'TDTGT (theo Dphuong)'!$A$4:$F$75"}</definedName>
    <definedName name="___h1" localSheetId="41" hidden="1">{"'TDTGT (theo Dphuong)'!$A$4:$F$75"}</definedName>
    <definedName name="___h1" localSheetId="45" hidden="1">{"'TDTGT (theo Dphuong)'!$A$4:$F$75"}</definedName>
    <definedName name="___h1" localSheetId="4" hidden="1">{"'TDTGT (theo Dphuong)'!$A$4:$F$75"}</definedName>
    <definedName name="___h1" localSheetId="7" hidden="1">{"'TDTGT (theo Dphuong)'!$A$4:$F$75"}</definedName>
    <definedName name="___h1" hidden="1">{"'TDTGT (theo Dphuong)'!$A$4:$F$75"}</definedName>
    <definedName name="___h2" localSheetId="0" hidden="1">{"'TDTGT (theo Dphuong)'!$A$4:$F$75"}</definedName>
    <definedName name="___h2" localSheetId="9" hidden="1">{"'TDTGT (theo Dphuong)'!$A$4:$F$75"}</definedName>
    <definedName name="___h2" localSheetId="10" hidden="1">{"'TDTGT (theo Dphuong)'!$A$4:$F$75"}</definedName>
    <definedName name="___h2" localSheetId="12" hidden="1">{"'TDTGT (theo Dphuong)'!$A$4:$F$75"}</definedName>
    <definedName name="___h2" localSheetId="14" hidden="1">{"'TDTGT (theo Dphuong)'!$A$4:$F$75"}</definedName>
    <definedName name="___h2" localSheetId="17" hidden="1">{"'TDTGT (theo Dphuong)'!$A$4:$F$75"}</definedName>
    <definedName name="___h2" localSheetId="1" hidden="1">{"'TDTGT (theo Dphuong)'!$A$4:$F$75"}</definedName>
    <definedName name="___h2" localSheetId="28" hidden="1">{"'TDTGT (theo Dphuong)'!$A$4:$F$75"}</definedName>
    <definedName name="___h2" localSheetId="2" hidden="1">{"'TDTGT (theo Dphuong)'!$A$4:$F$75"}</definedName>
    <definedName name="___h2" localSheetId="29" hidden="1">{"'TDTGT (theo Dphuong)'!$A$4:$F$75"}</definedName>
    <definedName name="___h2" localSheetId="31" hidden="1">{"'TDTGT (theo Dphuong)'!$A$4:$F$75"}</definedName>
    <definedName name="___h2" localSheetId="32" hidden="1">{"'TDTGT (theo Dphuong)'!$A$4:$F$75"}</definedName>
    <definedName name="___h2" localSheetId="33" hidden="1">{"'TDTGT (theo Dphuong)'!$A$4:$F$75"}</definedName>
    <definedName name="___h2" localSheetId="34" hidden="1">{"'TDTGT (theo Dphuong)'!$A$4:$F$75"}</definedName>
    <definedName name="___h2" localSheetId="35" hidden="1">{"'TDTGT (theo Dphuong)'!$A$4:$F$75"}</definedName>
    <definedName name="___h2" localSheetId="3" hidden="1">{"'TDTGT (theo Dphuong)'!$A$4:$F$75"}</definedName>
    <definedName name="___h2" localSheetId="40" hidden="1">{"'TDTGT (theo Dphuong)'!$A$4:$F$75"}</definedName>
    <definedName name="___h2" localSheetId="41" hidden="1">{"'TDTGT (theo Dphuong)'!$A$4:$F$75"}</definedName>
    <definedName name="___h2" localSheetId="45" hidden="1">{"'TDTGT (theo Dphuong)'!$A$4:$F$75"}</definedName>
    <definedName name="___h2" localSheetId="4" hidden="1">{"'TDTGT (theo Dphuong)'!$A$4:$F$75"}</definedName>
    <definedName name="___h2" localSheetId="7" hidden="1">{"'TDTGT (theo Dphuong)'!$A$4:$F$75"}</definedName>
    <definedName name="___h2" hidden="1">{"'TDTGT (theo Dphuong)'!$A$4:$F$75"}</definedName>
    <definedName name="___hsT2">#REF!</definedName>
    <definedName name="___lap1">#REF!</definedName>
    <definedName name="___lap2">#REF!</definedName>
    <definedName name="___ma11">#REF!</definedName>
    <definedName name="___NET2">#REF!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ln11">#REF!</definedName>
    <definedName name="___slx11">#REF!</definedName>
    <definedName name="___TG1">#REF!</definedName>
    <definedName name="___TG2">#REF!</definedName>
    <definedName name="___thu1">#REF!</definedName>
    <definedName name="___ttn11">#REF!</definedName>
    <definedName name="___ttx11">#REF!</definedName>
    <definedName name="___TVL1">#REF!</definedName>
    <definedName name="__B5" localSheetId="0" hidden="1">{#N/A,#N/A,FALSE,"Chung"}</definedName>
    <definedName name="__B5" localSheetId="9" hidden="1">{#N/A,#N/A,FALSE,"Chung"}</definedName>
    <definedName name="__B5" localSheetId="10" hidden="1">{#N/A,#N/A,FALSE,"Chung"}</definedName>
    <definedName name="__B5" localSheetId="12" hidden="1">{#N/A,#N/A,FALSE,"Chung"}</definedName>
    <definedName name="__B5" localSheetId="14" hidden="1">{#N/A,#N/A,FALSE,"Chung"}</definedName>
    <definedName name="__B5" localSheetId="17" hidden="1">{#N/A,#N/A,FALSE,"Chung"}</definedName>
    <definedName name="__B5" localSheetId="1" hidden="1">{#N/A,#N/A,FALSE,"Chung"}</definedName>
    <definedName name="__B5" localSheetId="28" hidden="1">{#N/A,#N/A,FALSE,"Chung"}</definedName>
    <definedName name="__B5" localSheetId="2" hidden="1">{#N/A,#N/A,FALSE,"Chung"}</definedName>
    <definedName name="__B5" localSheetId="29" hidden="1">{#N/A,#N/A,FALSE,"Chung"}</definedName>
    <definedName name="__B5" localSheetId="31" hidden="1">{#N/A,#N/A,FALSE,"Chung"}</definedName>
    <definedName name="__B5" localSheetId="32" hidden="1">{#N/A,#N/A,FALSE,"Chung"}</definedName>
    <definedName name="__B5" localSheetId="33" hidden="1">{#N/A,#N/A,FALSE,"Chung"}</definedName>
    <definedName name="__B5" localSheetId="34" hidden="1">{#N/A,#N/A,FALSE,"Chung"}</definedName>
    <definedName name="__B5" localSheetId="35" hidden="1">{#N/A,#N/A,FALSE,"Chung"}</definedName>
    <definedName name="__B5" localSheetId="3" hidden="1">{#N/A,#N/A,FALSE,"Chung"}</definedName>
    <definedName name="__B5" localSheetId="40" hidden="1">{#N/A,#N/A,FALSE,"Chung"}</definedName>
    <definedName name="__B5" localSheetId="41" hidden="1">{#N/A,#N/A,FALSE,"Chung"}</definedName>
    <definedName name="__B5" localSheetId="45" hidden="1">{#N/A,#N/A,FALSE,"Chung"}</definedName>
    <definedName name="__B5" localSheetId="4" hidden="1">{#N/A,#N/A,FALSE,"Chung"}</definedName>
    <definedName name="__B5" localSheetId="7" hidden="1">{#N/A,#N/A,FALSE,"Chung"}</definedName>
    <definedName name="__B5" hidden="1">{#N/A,#N/A,FALSE,"Chung"}</definedName>
    <definedName name="__bcc102">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ON1">#REF!</definedName>
    <definedName name="__CON2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h1" localSheetId="0" hidden="1">{"'TDTGT (theo Dphuong)'!$A$4:$F$75"}</definedName>
    <definedName name="__h1" localSheetId="9" hidden="1">{"'TDTGT (theo Dphuong)'!$A$4:$F$75"}</definedName>
    <definedName name="__h1" localSheetId="10" hidden="1">{"'TDTGT (theo Dphuong)'!$A$4:$F$75"}</definedName>
    <definedName name="__h1" localSheetId="12" hidden="1">{"'TDTGT (theo Dphuong)'!$A$4:$F$75"}</definedName>
    <definedName name="__h1" localSheetId="14" hidden="1">{"'TDTGT (theo Dphuong)'!$A$4:$F$75"}</definedName>
    <definedName name="__h1" localSheetId="17" hidden="1">{"'TDTGT (theo Dphuong)'!$A$4:$F$75"}</definedName>
    <definedName name="__h1" localSheetId="1" hidden="1">{"'TDTGT (theo Dphuong)'!$A$4:$F$75"}</definedName>
    <definedName name="__h1" localSheetId="28" hidden="1">{"'TDTGT (theo Dphuong)'!$A$4:$F$75"}</definedName>
    <definedName name="__h1" localSheetId="2" hidden="1">{"'TDTGT (theo Dphuong)'!$A$4:$F$75"}</definedName>
    <definedName name="__h1" localSheetId="29" hidden="1">{"'TDTGT (theo Dphuong)'!$A$4:$F$75"}</definedName>
    <definedName name="__h1" localSheetId="31" hidden="1">{"'TDTGT (theo Dphuong)'!$A$4:$F$75"}</definedName>
    <definedName name="__h1" localSheetId="32" hidden="1">{"'TDTGT (theo Dphuong)'!$A$4:$F$75"}</definedName>
    <definedName name="__h1" localSheetId="33" hidden="1">{"'TDTGT (theo Dphuong)'!$A$4:$F$75"}</definedName>
    <definedName name="__h1" localSheetId="34" hidden="1">{"'TDTGT (theo Dphuong)'!$A$4:$F$75"}</definedName>
    <definedName name="__h1" localSheetId="35" hidden="1">{"'TDTGT (theo Dphuong)'!$A$4:$F$75"}</definedName>
    <definedName name="__h1" localSheetId="3" hidden="1">{"'TDTGT (theo Dphuong)'!$A$4:$F$75"}</definedName>
    <definedName name="__h1" localSheetId="40" hidden="1">{"'TDTGT (theo Dphuong)'!$A$4:$F$75"}</definedName>
    <definedName name="__h1" localSheetId="41" hidden="1">{"'TDTGT (theo Dphuong)'!$A$4:$F$75"}</definedName>
    <definedName name="__h1" localSheetId="45" hidden="1">{"'TDTGT (theo Dphuong)'!$A$4:$F$75"}</definedName>
    <definedName name="__h1" localSheetId="4" hidden="1">{"'TDTGT (theo Dphuong)'!$A$4:$F$75"}</definedName>
    <definedName name="__h1" localSheetId="7" hidden="1">{"'TDTGT (theo Dphuong)'!$A$4:$F$75"}</definedName>
    <definedName name="__h1" hidden="1">{"'TDTGT (theo Dphuong)'!$A$4:$F$75"}</definedName>
    <definedName name="__h2" localSheetId="0" hidden="1">{"'TDTGT (theo Dphuong)'!$A$4:$F$75"}</definedName>
    <definedName name="__h2" localSheetId="9" hidden="1">{"'TDTGT (theo Dphuong)'!$A$4:$F$75"}</definedName>
    <definedName name="__h2" localSheetId="10" hidden="1">{"'TDTGT (theo Dphuong)'!$A$4:$F$75"}</definedName>
    <definedName name="__h2" localSheetId="12" hidden="1">{"'TDTGT (theo Dphuong)'!$A$4:$F$75"}</definedName>
    <definedName name="__h2" localSheetId="14" hidden="1">{"'TDTGT (theo Dphuong)'!$A$4:$F$75"}</definedName>
    <definedName name="__h2" localSheetId="17" hidden="1">{"'TDTGT (theo Dphuong)'!$A$4:$F$75"}</definedName>
    <definedName name="__h2" localSheetId="1" hidden="1">{"'TDTGT (theo Dphuong)'!$A$4:$F$75"}</definedName>
    <definedName name="__h2" localSheetId="28" hidden="1">{"'TDTGT (theo Dphuong)'!$A$4:$F$75"}</definedName>
    <definedName name="__h2" localSheetId="2" hidden="1">{"'TDTGT (theo Dphuong)'!$A$4:$F$75"}</definedName>
    <definedName name="__h2" localSheetId="29" hidden="1">{"'TDTGT (theo Dphuong)'!$A$4:$F$75"}</definedName>
    <definedName name="__h2" localSheetId="31" hidden="1">{"'TDTGT (theo Dphuong)'!$A$4:$F$75"}</definedName>
    <definedName name="__h2" localSheetId="32" hidden="1">{"'TDTGT (theo Dphuong)'!$A$4:$F$75"}</definedName>
    <definedName name="__h2" localSheetId="33" hidden="1">{"'TDTGT (theo Dphuong)'!$A$4:$F$75"}</definedName>
    <definedName name="__h2" localSheetId="34" hidden="1">{"'TDTGT (theo Dphuong)'!$A$4:$F$75"}</definedName>
    <definedName name="__h2" localSheetId="35" hidden="1">{"'TDTGT (theo Dphuong)'!$A$4:$F$75"}</definedName>
    <definedName name="__h2" localSheetId="3" hidden="1">{"'TDTGT (theo Dphuong)'!$A$4:$F$75"}</definedName>
    <definedName name="__h2" localSheetId="40" hidden="1">{"'TDTGT (theo Dphuong)'!$A$4:$F$75"}</definedName>
    <definedName name="__h2" localSheetId="41" hidden="1">{"'TDTGT (theo Dphuong)'!$A$4:$F$75"}</definedName>
    <definedName name="__h2" localSheetId="45" hidden="1">{"'TDTGT (theo Dphuong)'!$A$4:$F$75"}</definedName>
    <definedName name="__h2" localSheetId="4" hidden="1">{"'TDTGT (theo Dphuong)'!$A$4:$F$75"}</definedName>
    <definedName name="__h2" localSheetId="7" hidden="1">{"'TDTGT (theo Dphuong)'!$A$4:$F$75"}</definedName>
    <definedName name="__h2" hidden="1">{"'TDTGT (theo Dphuong)'!$A$4:$F$75"}</definedName>
    <definedName name="__hsT2">#REF!</definedName>
    <definedName name="__l1" localSheetId="12" hidden="1">{"'TDTGT (theo Dphuong)'!$A$4:$F$75"}</definedName>
    <definedName name="__l1" hidden="1">{"'TDTGT (theo Dphuong)'!$A$4:$F$75"}</definedName>
    <definedName name="__lap1">#REF!</definedName>
    <definedName name="__lap2">#REF!</definedName>
    <definedName name="__M9" localSheetId="12" hidden="1">{"'TDTGT (theo Dphuong)'!$A$4:$F$75"}</definedName>
    <definedName name="__M9" hidden="1">{"'TDTGT (theo Dphuong)'!$A$4:$F$75"}</definedName>
    <definedName name="__ma11">#REF!</definedName>
    <definedName name="__NET2">#REF!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ln11">#REF!</definedName>
    <definedName name="__slx11">#REF!</definedName>
    <definedName name="__TG1">#REF!</definedName>
    <definedName name="__TG2">#REF!</definedName>
    <definedName name="__thu1">#REF!</definedName>
    <definedName name="__ttn11">#REF!</definedName>
    <definedName name="__ttx11">#REF!</definedName>
    <definedName name="__TVL1">#REF!</definedName>
    <definedName name="_1">#REF!</definedName>
    <definedName name="_1000A01">#N/A</definedName>
    <definedName name="_1BA2500">#REF!</definedName>
    <definedName name="_1BA3250">#REF!</definedName>
    <definedName name="_1BA400P">#REF!</definedName>
    <definedName name="_1CAP001">#REF!</definedName>
    <definedName name="_1DAU002">#REF!</definedName>
    <definedName name="_1DDAY03">#REF!</definedName>
    <definedName name="_1DDTT01">#REF!</definedName>
    <definedName name="_1FCO101">#REF!</definedName>
    <definedName name="_1GIA101">#REF!</definedName>
    <definedName name="_1LA1001">#REF!</definedName>
    <definedName name="_1MCCBO2">#REF!</definedName>
    <definedName name="_1PKCAP1">#REF!</definedName>
    <definedName name="_1PKTT01">#REF!</definedName>
    <definedName name="_1TCD101">#REF!</definedName>
    <definedName name="_1TCD201">#REF!</definedName>
    <definedName name="_1TD2001">#REF!</definedName>
    <definedName name="_1TIHT01">#REF!</definedName>
    <definedName name="_1TRU121">#REF!</definedName>
    <definedName name="_2">#REF!</definedName>
    <definedName name="_2BLA100">#REF!</definedName>
    <definedName name="_2DAL201">#REF!</definedName>
    <definedName name="_3BLXMD">#REF!</definedName>
    <definedName name="_3TU0609">#REF!</definedName>
    <definedName name="_4CNT240">#REF!</definedName>
    <definedName name="_4CTL240">#REF!</definedName>
    <definedName name="_4FCO100">#REF!</definedName>
    <definedName name="_4HDCTT4">#REF!</definedName>
    <definedName name="_4HNCTT4">#REF!</definedName>
    <definedName name="_4LBCO01">#REF!</definedName>
    <definedName name="_4OSLCTT">#REF!</definedName>
    <definedName name="_7" localSheetId="12" hidden="1">{"'TDTGT (theo Dphuong)'!$A$4:$F$75"}</definedName>
    <definedName name="_7" hidden="1">{"'TDTGT (theo Dphuong)'!$A$4:$F$75"}</definedName>
    <definedName name="_B5" localSheetId="0" hidden="1">{#N/A,#N/A,FALSE,"Chung"}</definedName>
    <definedName name="_B5" localSheetId="9" hidden="1">{#N/A,#N/A,FALSE,"Chung"}</definedName>
    <definedName name="_B5" localSheetId="10" hidden="1">{#N/A,#N/A,FALSE,"Chung"}</definedName>
    <definedName name="_B5" localSheetId="12" hidden="1">{#N/A,#N/A,FALSE,"Chung"}</definedName>
    <definedName name="_B5" localSheetId="14" hidden="1">{#N/A,#N/A,FALSE,"Chung"}</definedName>
    <definedName name="_B5" localSheetId="17" hidden="1">{#N/A,#N/A,FALSE,"Chung"}</definedName>
    <definedName name="_B5" localSheetId="1" hidden="1">{#N/A,#N/A,FALSE,"Chung"}</definedName>
    <definedName name="_B5" localSheetId="28" hidden="1">{#N/A,#N/A,FALSE,"Chung"}</definedName>
    <definedName name="_B5" localSheetId="2" hidden="1">{#N/A,#N/A,FALSE,"Chung"}</definedName>
    <definedName name="_B5" localSheetId="29" hidden="1">{#N/A,#N/A,FALSE,"Chung"}</definedName>
    <definedName name="_B5" localSheetId="31" hidden="1">{#N/A,#N/A,FALSE,"Chung"}</definedName>
    <definedName name="_B5" localSheetId="32" hidden="1">{#N/A,#N/A,FALSE,"Chung"}</definedName>
    <definedName name="_B5" localSheetId="33" hidden="1">{#N/A,#N/A,FALSE,"Chung"}</definedName>
    <definedName name="_B5" localSheetId="34" hidden="1">{#N/A,#N/A,FALSE,"Chung"}</definedName>
    <definedName name="_B5" localSheetId="35" hidden="1">{#N/A,#N/A,FALSE,"Chung"}</definedName>
    <definedName name="_B5" localSheetId="3" hidden="1">{#N/A,#N/A,FALSE,"Chung"}</definedName>
    <definedName name="_B5" localSheetId="40" hidden="1">{#N/A,#N/A,FALSE,"Chung"}</definedName>
    <definedName name="_B5" localSheetId="41" hidden="1">{#N/A,#N/A,FALSE,"Chung"}</definedName>
    <definedName name="_B5" localSheetId="45" hidden="1">{#N/A,#N/A,FALSE,"Chung"}</definedName>
    <definedName name="_B5" localSheetId="4" hidden="1">{#N/A,#N/A,FALSE,"Chung"}</definedName>
    <definedName name="_B5" localSheetId="7" hidden="1">{#N/A,#N/A,FALSE,"Chung"}</definedName>
    <definedName name="_B5" hidden="1">{#N/A,#N/A,FALSE,"Chung"}</definedName>
    <definedName name="_B8" localSheetId="12" hidden="1">{#N/A,#N/A,FALSE,"Chung"}</definedName>
    <definedName name="_B8" hidden="1">{#N/A,#N/A,FALSE,"Chung"}</definedName>
    <definedName name="_bcc102">#REF!</definedName>
    <definedName name="_Builtin155" hidden="1">#N/A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ON1">#REF!</definedName>
    <definedName name="_CON2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Fill" localSheetId="0" hidden="1">#REF!</definedName>
    <definedName name="_Fill" localSheetId="9" hidden="1">#REF!</definedName>
    <definedName name="_Fill" localSheetId="12" hidden="1">#REF!</definedName>
    <definedName name="_Fill" localSheetId="14" hidden="1">#REF!</definedName>
    <definedName name="_Fill" localSheetId="15" hidden="1">#REF!</definedName>
    <definedName name="_Fill" localSheetId="16" hidden="1">#REF!</definedName>
    <definedName name="_Fill" localSheetId="17" hidden="1">#REF!</definedName>
    <definedName name="_Fill" localSheetId="1" hidden="1">#REF!</definedName>
    <definedName name="_Fill" localSheetId="28" hidden="1">#REF!</definedName>
    <definedName name="_Fill" localSheetId="2" hidden="1">#REF!</definedName>
    <definedName name="_Fill" localSheetId="29" hidden="1">#REF!</definedName>
    <definedName name="_Fill" localSheetId="31" hidden="1">#REF!</definedName>
    <definedName name="_Fill" localSheetId="33" hidden="1">#REF!</definedName>
    <definedName name="_Fill" localSheetId="34" hidden="1">#REF!</definedName>
    <definedName name="_Fill" localSheetId="37" hidden="1">#REF!</definedName>
    <definedName name="_Fill" localSheetId="3" hidden="1">#REF!</definedName>
    <definedName name="_Fill" localSheetId="39" hidden="1">#REF!</definedName>
    <definedName name="_Fill" localSheetId="40" hidden="1">#REF!</definedName>
    <definedName name="_Fill" localSheetId="41" hidden="1">#REF!</definedName>
    <definedName name="_Fill" localSheetId="42" hidden="1">#REF!</definedName>
    <definedName name="_Fill" localSheetId="45" hidden="1">#REF!</definedName>
    <definedName name="_Fill" localSheetId="4" hidden="1">#REF!</definedName>
    <definedName name="_Fill" localSheetId="7" hidden="1">#REF!</definedName>
    <definedName name="_Fill" hidden="1">#REF!</definedName>
    <definedName name="_xlnm._FilterDatabase" localSheetId="14" hidden="1">'15.DN DK thanh lap'!$A$9:$C$9</definedName>
    <definedName name="_xlnm._FilterDatabase" localSheetId="15" hidden="1">'16.DN quay lai hoat dong'!$A$6:$D$6</definedName>
    <definedName name="_xlnm._FilterDatabase" localSheetId="16" hidden="1">'17.DN Ngừng có thời hạn'!$A$8:$D$8</definedName>
    <definedName name="_xlnm._FilterDatabase" localSheetId="17" hidden="1">'18.DN giải thể'!$A$8:$H$8</definedName>
    <definedName name="_xlnm._FilterDatabase">#REF!</definedName>
    <definedName name="_h1" localSheetId="0" hidden="1">{"'TDTGT (theo Dphuong)'!$A$4:$F$75"}</definedName>
    <definedName name="_h1" localSheetId="9" hidden="1">{"'TDTGT (theo Dphuong)'!$A$4:$F$75"}</definedName>
    <definedName name="_h1" localSheetId="10" hidden="1">{"'TDTGT (theo Dphuong)'!$A$4:$F$75"}</definedName>
    <definedName name="_h1" localSheetId="12" hidden="1">{"'TDTGT (theo Dphuong)'!$A$4:$F$75"}</definedName>
    <definedName name="_h1" localSheetId="14" hidden="1">{"'TDTGT (theo Dphuong)'!$A$4:$F$75"}</definedName>
    <definedName name="_h1" localSheetId="17" hidden="1">{"'TDTGT (theo Dphuong)'!$A$4:$F$75"}</definedName>
    <definedName name="_h1" localSheetId="1" hidden="1">{"'TDTGT (theo Dphuong)'!$A$4:$F$75"}</definedName>
    <definedName name="_h1" localSheetId="28" hidden="1">{"'TDTGT (theo Dphuong)'!$A$4:$F$75"}</definedName>
    <definedName name="_h1" localSheetId="2" hidden="1">{"'TDTGT (theo Dphuong)'!$A$4:$F$75"}</definedName>
    <definedName name="_h1" localSheetId="29" hidden="1">{"'TDTGT (theo Dphuong)'!$A$4:$F$75"}</definedName>
    <definedName name="_h1" localSheetId="31" hidden="1">{"'TDTGT (theo Dphuong)'!$A$4:$F$75"}</definedName>
    <definedName name="_h1" localSheetId="32" hidden="1">{"'TDTGT (theo Dphuong)'!$A$4:$F$75"}</definedName>
    <definedName name="_h1" localSheetId="33" hidden="1">{"'TDTGT (theo Dphuong)'!$A$4:$F$75"}</definedName>
    <definedName name="_h1" localSheetId="34" hidden="1">{"'TDTGT (theo Dphuong)'!$A$4:$F$75"}</definedName>
    <definedName name="_h1" localSheetId="35" hidden="1">{"'TDTGT (theo Dphuong)'!$A$4:$F$75"}</definedName>
    <definedName name="_h1" localSheetId="3" hidden="1">{"'TDTGT (theo Dphuong)'!$A$4:$F$75"}</definedName>
    <definedName name="_h1" localSheetId="40" hidden="1">{"'TDTGT (theo Dphuong)'!$A$4:$F$75"}</definedName>
    <definedName name="_h1" localSheetId="41" hidden="1">{"'TDTGT (theo Dphuong)'!$A$4:$F$75"}</definedName>
    <definedName name="_h1" localSheetId="45" hidden="1">{"'TDTGT (theo Dphuong)'!$A$4:$F$75"}</definedName>
    <definedName name="_h1" localSheetId="4" hidden="1">{"'TDTGT (theo Dphuong)'!$A$4:$F$75"}</definedName>
    <definedName name="_h1" localSheetId="7" hidden="1">{"'TDTGT (theo Dphuong)'!$A$4:$F$75"}</definedName>
    <definedName name="_h1" hidden="1">{"'TDTGT (theo Dphuong)'!$A$4:$F$75"}</definedName>
    <definedName name="_h2" localSheetId="0" hidden="1">{"'TDTGT (theo Dphuong)'!$A$4:$F$75"}</definedName>
    <definedName name="_h2" localSheetId="9" hidden="1">{"'TDTGT (theo Dphuong)'!$A$4:$F$75"}</definedName>
    <definedName name="_h2" localSheetId="10" hidden="1">{"'TDTGT (theo Dphuong)'!$A$4:$F$75"}</definedName>
    <definedName name="_h2" localSheetId="12" hidden="1">{"'TDTGT (theo Dphuong)'!$A$4:$F$75"}</definedName>
    <definedName name="_h2" localSheetId="14" hidden="1">{"'TDTGT (theo Dphuong)'!$A$4:$F$75"}</definedName>
    <definedName name="_h2" localSheetId="17" hidden="1">{"'TDTGT (theo Dphuong)'!$A$4:$F$75"}</definedName>
    <definedName name="_h2" localSheetId="1" hidden="1">{"'TDTGT (theo Dphuong)'!$A$4:$F$75"}</definedName>
    <definedName name="_h2" localSheetId="28" hidden="1">{"'TDTGT (theo Dphuong)'!$A$4:$F$75"}</definedName>
    <definedName name="_h2" localSheetId="2" hidden="1">{"'TDTGT (theo Dphuong)'!$A$4:$F$75"}</definedName>
    <definedName name="_h2" localSheetId="29" hidden="1">{"'TDTGT (theo Dphuong)'!$A$4:$F$75"}</definedName>
    <definedName name="_h2" localSheetId="31" hidden="1">{"'TDTGT (theo Dphuong)'!$A$4:$F$75"}</definedName>
    <definedName name="_h2" localSheetId="32" hidden="1">{"'TDTGT (theo Dphuong)'!$A$4:$F$75"}</definedName>
    <definedName name="_h2" localSheetId="33" hidden="1">{"'TDTGT (theo Dphuong)'!$A$4:$F$75"}</definedName>
    <definedName name="_h2" localSheetId="34" hidden="1">{"'TDTGT (theo Dphuong)'!$A$4:$F$75"}</definedName>
    <definedName name="_h2" localSheetId="35" hidden="1">{"'TDTGT (theo Dphuong)'!$A$4:$F$75"}</definedName>
    <definedName name="_h2" localSheetId="3" hidden="1">{"'TDTGT (theo Dphuong)'!$A$4:$F$75"}</definedName>
    <definedName name="_h2" localSheetId="40" hidden="1">{"'TDTGT (theo Dphuong)'!$A$4:$F$75"}</definedName>
    <definedName name="_h2" localSheetId="41" hidden="1">{"'TDTGT (theo Dphuong)'!$A$4:$F$75"}</definedName>
    <definedName name="_h2" localSheetId="45" hidden="1">{"'TDTGT (theo Dphuong)'!$A$4:$F$75"}</definedName>
    <definedName name="_h2" localSheetId="4" hidden="1">{"'TDTGT (theo Dphuong)'!$A$4:$F$75"}</definedName>
    <definedName name="_h2" localSheetId="7" hidden="1">{"'TDTGT (theo Dphuong)'!$A$4:$F$75"}</definedName>
    <definedName name="_h2" hidden="1">{"'TDTGT (theo Dphuong)'!$A$4:$F$75"}</definedName>
    <definedName name="_hsT2">#REF!</definedName>
    <definedName name="_K2" localSheetId="12" hidden="1">{#N/A,#N/A,FALSE,"Chung"}</definedName>
    <definedName name="_K2" hidden="1">{#N/A,#N/A,FALSE,"Chung"}</definedName>
    <definedName name="_K7" localSheetId="12" hidden="1">{"'TDTGT (theo Dphuong)'!$A$4:$F$75"}</definedName>
    <definedName name="_K7" hidden="1">{"'TDTGT (theo Dphuong)'!$A$4:$F$75"}</definedName>
    <definedName name="_Key1" hidden="1">#REF!</definedName>
    <definedName name="_Key2" hidden="1">#REF!</definedName>
    <definedName name="_lap1">#REF!</definedName>
    <definedName name="_lap2">#REF!</definedName>
    <definedName name="_ma11">#REF!</definedName>
    <definedName name="_NET2">#REF!</definedName>
    <definedName name="_Order1" hidden="1">255</definedName>
    <definedName name="_Order2" hidden="1">255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QL10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ln11">#REF!</definedName>
    <definedName name="_slx11">#REF!</definedName>
    <definedName name="_Sort" hidden="1">#REF!</definedName>
    <definedName name="_TG1">#REF!</definedName>
    <definedName name="_TG2">#REF!</definedName>
    <definedName name="_thu1">#REF!</definedName>
    <definedName name="_ttn11">#REF!</definedName>
    <definedName name="_ttx11">#REF!</definedName>
    <definedName name="_TVL1">#REF!</definedName>
    <definedName name="A" localSheetId="0">'[1]PNT-QUOT-#3'!#REF!</definedName>
    <definedName name="A" localSheetId="9">'[2]PNT-QUOT-#3'!#REF!</definedName>
    <definedName name="A" localSheetId="12">'[3]PNT-QUOT-#3'!#REF!</definedName>
    <definedName name="A" localSheetId="14">'[2]PNT-QUOT-#3'!#REF!</definedName>
    <definedName name="A" localSheetId="15">'[2]PNT-QUOT-#3'!#REF!</definedName>
    <definedName name="A" localSheetId="16">'[2]PNT-QUOT-#3'!#REF!</definedName>
    <definedName name="A" localSheetId="17">'[2]PNT-QUOT-#3'!#REF!</definedName>
    <definedName name="A" localSheetId="1">'[1]PNT-QUOT-#3'!#REF!</definedName>
    <definedName name="A" localSheetId="23">'[2]PNT-QUOT-#3'!#REF!</definedName>
    <definedName name="A" localSheetId="2">'[1]PNT-QUOT-#3'!#REF!</definedName>
    <definedName name="A" localSheetId="29">'[2]PNT-QUOT-#3'!#REF!</definedName>
    <definedName name="A" localSheetId="37">'[1]PNT-QUOT-#3'!#REF!</definedName>
    <definedName name="A" localSheetId="3">'[1]PNT-QUOT-#3'!#REF!</definedName>
    <definedName name="A" localSheetId="39">'[1]PNT-QUOT-#3'!#REF!</definedName>
    <definedName name="A" localSheetId="41">'[1]PNT-QUOT-#3'!#REF!</definedName>
    <definedName name="A" localSheetId="4">'[1]PNT-QUOT-#3'!#REF!</definedName>
    <definedName name="A" localSheetId="7">'[2]PNT-QUOT-#3'!#REF!</definedName>
    <definedName name="A">'[2]PNT-QUOT-#3'!#REF!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à6">[4]Tinh!#REF!</definedName>
    <definedName name="ã72">#REF!</definedName>
    <definedName name="AA">#REF!</definedName>
    <definedName name="AAA" localSheetId="0">'[5]MTL$-INTER'!#REF!</definedName>
    <definedName name="AAA" localSheetId="9">'[6]MTL$-INTER'!#REF!</definedName>
    <definedName name="AAA" localSheetId="12">'[7]MTL$-INTER'!#REF!</definedName>
    <definedName name="AAA" localSheetId="14">'[6]MTL$-INTER'!#REF!</definedName>
    <definedName name="AAA" localSheetId="15">'[6]MTL$-INTER'!#REF!</definedName>
    <definedName name="AAA" localSheetId="16">'[6]MTL$-INTER'!#REF!</definedName>
    <definedName name="AAA" localSheetId="17">'[6]MTL$-INTER'!#REF!</definedName>
    <definedName name="AAA" localSheetId="1">'[5]MTL$-INTER'!#REF!</definedName>
    <definedName name="AAA" localSheetId="23">'[6]MTL$-INTER'!#REF!</definedName>
    <definedName name="AAA" localSheetId="2">'[8]MTL$-INTER'!#REF!</definedName>
    <definedName name="AAA" localSheetId="29">'[6]MTL$-INTER'!#REF!</definedName>
    <definedName name="AAA" localSheetId="37">'[7]MTL$-INTER'!#REF!</definedName>
    <definedName name="AAA" localSheetId="3">'[9]MTL$-INTER'!#REF!</definedName>
    <definedName name="AAA" localSheetId="39">'[7]MTL$-INTER'!#REF!</definedName>
    <definedName name="AAA" localSheetId="41">'[7]MTL$-INTER'!#REF!</definedName>
    <definedName name="AAA" localSheetId="4">'[9]MTL$-INTER'!#REF!</definedName>
    <definedName name="AAA" localSheetId="7">'[6]MTL$-INTER'!#REF!</definedName>
    <definedName name="AAA">'[6]MTL$-INTER'!#REF!</definedName>
    <definedName name="abc" localSheetId="0" hidden="1">{"'TDTGT (theo Dphuong)'!$A$4:$F$75"}</definedName>
    <definedName name="abc" localSheetId="9" hidden="1">{"'TDTGT (theo Dphuong)'!$A$4:$F$75"}</definedName>
    <definedName name="abc" localSheetId="10" hidden="1">{"'TDTGT (theo Dphuong)'!$A$4:$F$75"}</definedName>
    <definedName name="abc" localSheetId="12" hidden="1">{"'TDTGT (theo Dphuong)'!$A$4:$F$75"}</definedName>
    <definedName name="abc" localSheetId="14" hidden="1">{"'TDTGT (theo Dphuong)'!$A$4:$F$75"}</definedName>
    <definedName name="abc" localSheetId="17" hidden="1">{"'TDTGT (theo Dphuong)'!$A$4:$F$75"}</definedName>
    <definedName name="abc" localSheetId="1" hidden="1">{"'TDTGT (theo Dphuong)'!$A$4:$F$75"}</definedName>
    <definedName name="abc" localSheetId="28" hidden="1">{"'TDTGT (theo Dphuong)'!$A$4:$F$75"}</definedName>
    <definedName name="abc" localSheetId="2" hidden="1">{"'TDTGT (theo Dphuong)'!$A$4:$F$75"}</definedName>
    <definedName name="abc" localSheetId="29" hidden="1">{"'TDTGT (theo Dphuong)'!$A$4:$F$75"}</definedName>
    <definedName name="abc" localSheetId="31" hidden="1">{"'TDTGT (theo Dphuong)'!$A$4:$F$75"}</definedName>
    <definedName name="abc" localSheetId="32" hidden="1">{"'TDTGT (theo Dphuong)'!$A$4:$F$75"}</definedName>
    <definedName name="abc" localSheetId="33" hidden="1">{"'TDTGT (theo Dphuong)'!$A$4:$F$75"}</definedName>
    <definedName name="abc" localSheetId="34" hidden="1">{"'TDTGT (theo Dphuong)'!$A$4:$F$75"}</definedName>
    <definedName name="abc" localSheetId="35" hidden="1">{"'TDTGT (theo Dphuong)'!$A$4:$F$75"}</definedName>
    <definedName name="abc" localSheetId="3" hidden="1">{"'TDTGT (theo Dphuong)'!$A$4:$F$75"}</definedName>
    <definedName name="abc" localSheetId="40" hidden="1">{"'TDTGT (theo Dphuong)'!$A$4:$F$75"}</definedName>
    <definedName name="abc" localSheetId="41" hidden="1">{"'TDTGT (theo Dphuong)'!$A$4:$F$75"}</definedName>
    <definedName name="abc" localSheetId="45" hidden="1">{"'TDTGT (theo Dphuong)'!$A$4:$F$75"}</definedName>
    <definedName name="abc" localSheetId="4" hidden="1">{"'TDTGT (theo Dphuong)'!$A$4:$F$75"}</definedName>
    <definedName name="abc" localSheetId="7" hidden="1">{"'TDTGT (theo Dphuong)'!$A$4:$F$75"}</definedName>
    <definedName name="abc" hidden="1">{"'TDTGT (theo Dphuong)'!$A$4:$F$75"}</definedName>
    <definedName name="ac">3</definedName>
    <definedName name="AccessDatabase" hidden="1">"C:\add-ins\socaia.mdb"</definedName>
    <definedName name="ad">3</definedName>
    <definedName name="adsf" localSheetId="0">#REF!</definedName>
    <definedName name="adsf" localSheetId="9">#REF!</definedName>
    <definedName name="adsf" localSheetId="12">#REF!</definedName>
    <definedName name="adsf" localSheetId="14">#REF!</definedName>
    <definedName name="adsf" localSheetId="15">#REF!</definedName>
    <definedName name="adsf" localSheetId="16">#REF!</definedName>
    <definedName name="adsf" localSheetId="17">#REF!</definedName>
    <definedName name="adsf" localSheetId="1">#REF!</definedName>
    <definedName name="adsf" localSheetId="28">#REF!</definedName>
    <definedName name="adsf" localSheetId="2">#REF!</definedName>
    <definedName name="adsf" localSheetId="29">#REF!</definedName>
    <definedName name="adsf" localSheetId="31">#REF!</definedName>
    <definedName name="adsf" localSheetId="33">#REF!</definedName>
    <definedName name="adsf" localSheetId="34">#REF!</definedName>
    <definedName name="adsf" localSheetId="35">#REF!</definedName>
    <definedName name="adsf" localSheetId="37">#REF!</definedName>
    <definedName name="adsf" localSheetId="3">#REF!</definedName>
    <definedName name="adsf" localSheetId="39">#REF!</definedName>
    <definedName name="adsf" localSheetId="40">#REF!</definedName>
    <definedName name="adsf" localSheetId="41">#REF!</definedName>
    <definedName name="adsf" localSheetId="45">#REF!</definedName>
    <definedName name="adsf" localSheetId="4">#REF!</definedName>
    <definedName name="adsf" localSheetId="7">#REF!</definedName>
    <definedName name="adsf">#REF!</definedName>
    <definedName name="All_Item">#REF!</definedName>
    <definedName name="ALPIN">#N/A</definedName>
    <definedName name="ALPJYOU">#N/A</definedName>
    <definedName name="ALPTOI">#N/A</definedName>
    <definedName name="anhpaa">#REF!</definedName>
    <definedName name="anpha" localSheetId="0">#REF!</definedName>
    <definedName name="anpha" localSheetId="9">#REF!</definedName>
    <definedName name="anpha" localSheetId="12">#REF!</definedName>
    <definedName name="anpha" localSheetId="14">#REF!</definedName>
    <definedName name="anpha" localSheetId="15">#REF!</definedName>
    <definedName name="anpha" localSheetId="16">#REF!</definedName>
    <definedName name="anpha" localSheetId="17">#REF!</definedName>
    <definedName name="anpha" localSheetId="1">#REF!</definedName>
    <definedName name="anpha" localSheetId="28">#REF!</definedName>
    <definedName name="anpha" localSheetId="2">#REF!</definedName>
    <definedName name="anpha" localSheetId="29">#REF!</definedName>
    <definedName name="anpha" localSheetId="31">#REF!</definedName>
    <definedName name="anpha" localSheetId="37">#REF!</definedName>
    <definedName name="anpha" localSheetId="3">#REF!</definedName>
    <definedName name="anpha" localSheetId="39">#REF!</definedName>
    <definedName name="anpha" localSheetId="40">#REF!</definedName>
    <definedName name="anpha" localSheetId="41">#REF!</definedName>
    <definedName name="anpha" localSheetId="45">#REF!</definedName>
    <definedName name="anpha" localSheetId="4">#REF!</definedName>
    <definedName name="anpha" localSheetId="7">#REF!</definedName>
    <definedName name="anpha">#REF!</definedName>
    <definedName name="B" localSheetId="0">'[1]PNT-QUOT-#3'!#REF!</definedName>
    <definedName name="B" localSheetId="9">'[2]PNT-QUOT-#3'!#REF!</definedName>
    <definedName name="B" localSheetId="12">'[3]PNT-QUOT-#3'!#REF!</definedName>
    <definedName name="B" localSheetId="14">'[2]PNT-QUOT-#3'!#REF!</definedName>
    <definedName name="B" localSheetId="15">'[2]PNT-QUOT-#3'!#REF!</definedName>
    <definedName name="B" localSheetId="16">'[2]PNT-QUOT-#3'!#REF!</definedName>
    <definedName name="B" localSheetId="17">'[2]PNT-QUOT-#3'!#REF!</definedName>
    <definedName name="B" localSheetId="1">'[1]PNT-QUOT-#3'!#REF!</definedName>
    <definedName name="B" localSheetId="23">'[2]PNT-QUOT-#3'!#REF!</definedName>
    <definedName name="B" localSheetId="2">'[1]PNT-QUOT-#3'!#REF!</definedName>
    <definedName name="B" localSheetId="29">'[2]PNT-QUOT-#3'!#REF!</definedName>
    <definedName name="B" localSheetId="37">'[1]PNT-QUOT-#3'!#REF!</definedName>
    <definedName name="B" localSheetId="3">'[1]PNT-QUOT-#3'!#REF!</definedName>
    <definedName name="B" localSheetId="39">'[1]PNT-QUOT-#3'!#REF!</definedName>
    <definedName name="B" localSheetId="41">'[1]PNT-QUOT-#3'!#REF!</definedName>
    <definedName name="B" localSheetId="45">'[2]PNT-QUOT-#3'!#REF!</definedName>
    <definedName name="B" localSheetId="4">'[1]PNT-QUOT-#3'!#REF!</definedName>
    <definedName name="B" localSheetId="7">'[2]PNT-QUOT-#3'!#REF!</definedName>
    <definedName name="B">'[2]PNT-QUOT-#3'!#REF!</definedName>
    <definedName name="B5new" localSheetId="0" hidden="1">{"'TDTGT (theo Dphuong)'!$A$4:$F$75"}</definedName>
    <definedName name="B5new" localSheetId="9" hidden="1">{"'TDTGT (theo Dphuong)'!$A$4:$F$75"}</definedName>
    <definedName name="B5new" localSheetId="10" hidden="1">{"'TDTGT (theo Dphuong)'!$A$4:$F$75"}</definedName>
    <definedName name="B5new" localSheetId="12" hidden="1">{"'TDTGT (theo Dphuong)'!$A$4:$F$75"}</definedName>
    <definedName name="B5new" localSheetId="14" hidden="1">{"'TDTGT (theo Dphuong)'!$A$4:$F$75"}</definedName>
    <definedName name="B5new" localSheetId="17" hidden="1">{"'TDTGT (theo Dphuong)'!$A$4:$F$75"}</definedName>
    <definedName name="B5new" localSheetId="1" hidden="1">{"'TDTGT (theo Dphuong)'!$A$4:$F$75"}</definedName>
    <definedName name="B5new" localSheetId="28" hidden="1">{"'TDTGT (theo Dphuong)'!$A$4:$F$75"}</definedName>
    <definedName name="B5new" localSheetId="2" hidden="1">{"'TDTGT (theo Dphuong)'!$A$4:$F$75"}</definedName>
    <definedName name="B5new" localSheetId="29" hidden="1">{"'TDTGT (theo Dphuong)'!$A$4:$F$75"}</definedName>
    <definedName name="B5new" localSheetId="31" hidden="1">{"'TDTGT (theo Dphuong)'!$A$4:$F$75"}</definedName>
    <definedName name="B5new" localSheetId="32" hidden="1">{"'TDTGT (theo Dphuong)'!$A$4:$F$75"}</definedName>
    <definedName name="B5new" localSheetId="33" hidden="1">{"'TDTGT (theo Dphuong)'!$A$4:$F$75"}</definedName>
    <definedName name="B5new" localSheetId="34" hidden="1">{"'TDTGT (theo Dphuong)'!$A$4:$F$75"}</definedName>
    <definedName name="B5new" localSheetId="35" hidden="1">{"'TDTGT (theo Dphuong)'!$A$4:$F$75"}</definedName>
    <definedName name="B5new" localSheetId="3" hidden="1">{"'TDTGT (theo Dphuong)'!$A$4:$F$75"}</definedName>
    <definedName name="B5new" localSheetId="40" hidden="1">{"'TDTGT (theo Dphuong)'!$A$4:$F$75"}</definedName>
    <definedName name="B5new" localSheetId="41" hidden="1">{"'TDTGT (theo Dphuong)'!$A$4:$F$75"}</definedName>
    <definedName name="B5new" localSheetId="45" hidden="1">{"'TDTGT (theo Dphuong)'!$A$4:$F$75"}</definedName>
    <definedName name="B5new" localSheetId="4" hidden="1">{"'TDTGT (theo Dphuong)'!$A$4:$F$75"}</definedName>
    <definedName name="B5new" localSheetId="7" hidden="1">{"'TDTGT (theo Dphuong)'!$A$4:$F$75"}</definedName>
    <definedName name="B5new" hidden="1">{"'TDTGT (theo Dphuong)'!$A$4:$F$75"}</definedName>
    <definedName name="BaiChay">#REF!</definedName>
    <definedName name="bangchamcong">#REF!</definedName>
    <definedName name="bangchu">#REF!</definedName>
    <definedName name="BÁO_CÁO_ƯỚC">#REF!</definedName>
    <definedName name="BB">#REF!</definedName>
    <definedName name="bcc_T10">#REF!</definedName>
    <definedName name="bcc_T121">#REF!</definedName>
    <definedName name="bccT1">#REF!</definedName>
    <definedName name="bccT112">#REF!</definedName>
    <definedName name="bccT122">#REF!</definedName>
    <definedName name="bccT2">#REF!</definedName>
    <definedName name="BCCT3">#REF!</definedName>
    <definedName name="bcct4">#REF!</definedName>
    <definedName name="bccT5">#REF!</definedName>
    <definedName name="bccT6">#REF!</definedName>
    <definedName name="BCDKH">#REF!</definedName>
    <definedName name="BCDSCKC">#REF!</definedName>
    <definedName name="BCDSCKN">#REF!</definedName>
    <definedName name="BCDSDNC">#REF!</definedName>
    <definedName name="BCDSDNN">#REF!</definedName>
    <definedName name="bcdsps">#REF!</definedName>
    <definedName name="bcx">#REF!</definedName>
    <definedName name="bengam">#REF!</definedName>
    <definedName name="benuoc">#REF!</definedName>
    <definedName name="beta" localSheetId="0">#REF!</definedName>
    <definedName name="beta" localSheetId="9">#REF!</definedName>
    <definedName name="beta" localSheetId="12">#REF!</definedName>
    <definedName name="beta" localSheetId="14">#REF!</definedName>
    <definedName name="beta" localSheetId="15">#REF!</definedName>
    <definedName name="beta" localSheetId="16">#REF!</definedName>
    <definedName name="beta" localSheetId="17">#REF!</definedName>
    <definedName name="beta" localSheetId="1">#REF!</definedName>
    <definedName name="beta" localSheetId="28">#REF!</definedName>
    <definedName name="beta" localSheetId="2">#REF!</definedName>
    <definedName name="beta" localSheetId="29">#REF!</definedName>
    <definedName name="beta" localSheetId="31">#REF!</definedName>
    <definedName name="beta" localSheetId="33">#REF!</definedName>
    <definedName name="beta" localSheetId="34">#REF!</definedName>
    <definedName name="beta" localSheetId="35">#REF!</definedName>
    <definedName name="beta" localSheetId="37">#REF!</definedName>
    <definedName name="beta" localSheetId="3">#REF!</definedName>
    <definedName name="beta" localSheetId="39">#REF!</definedName>
    <definedName name="beta" localSheetId="40">#REF!</definedName>
    <definedName name="beta" localSheetId="41">#REF!</definedName>
    <definedName name="beta" localSheetId="45">#REF!</definedName>
    <definedName name="beta" localSheetId="4">#REF!</definedName>
    <definedName name="beta" localSheetId="7">#REF!</definedName>
    <definedName name="beta">#REF!</definedName>
    <definedName name="BOI">#REF!</definedName>
    <definedName name="BOQ">#REF!</definedName>
    <definedName name="BRICK">#REF!</definedName>
    <definedName name="BT" localSheetId="0">#REF!</definedName>
    <definedName name="BT" localSheetId="9">#REF!</definedName>
    <definedName name="BT" localSheetId="12">#REF!</definedName>
    <definedName name="BT" localSheetId="14">#REF!</definedName>
    <definedName name="BT" localSheetId="15">#REF!</definedName>
    <definedName name="BT" localSheetId="16">#REF!</definedName>
    <definedName name="BT" localSheetId="17">#REF!</definedName>
    <definedName name="BT" localSheetId="1">#REF!</definedName>
    <definedName name="BT" localSheetId="28">#REF!</definedName>
    <definedName name="BT" localSheetId="2">#REF!</definedName>
    <definedName name="BT" localSheetId="29">#REF!</definedName>
    <definedName name="BT" localSheetId="31">#REF!</definedName>
    <definedName name="BT" localSheetId="37">#REF!</definedName>
    <definedName name="BT" localSheetId="3">#REF!</definedName>
    <definedName name="BT" localSheetId="39">#REF!</definedName>
    <definedName name="BT" localSheetId="40">#REF!</definedName>
    <definedName name="BT" localSheetId="41">#REF!</definedName>
    <definedName name="BT" localSheetId="42">#REF!</definedName>
    <definedName name="BT" localSheetId="45">#REF!</definedName>
    <definedName name="BT" localSheetId="4">#REF!</definedName>
    <definedName name="BT" localSheetId="7">#REF!</definedName>
    <definedName name="BT">#REF!</definedName>
    <definedName name="bv" localSheetId="0">#REF!</definedName>
    <definedName name="bv" localSheetId="9">#REF!</definedName>
    <definedName name="bv" localSheetId="12">#REF!</definedName>
    <definedName name="bv" localSheetId="14">#REF!</definedName>
    <definedName name="bv" localSheetId="15">#REF!</definedName>
    <definedName name="bv" localSheetId="16">#REF!</definedName>
    <definedName name="bv" localSheetId="17">#REF!</definedName>
    <definedName name="bv" localSheetId="1">#REF!</definedName>
    <definedName name="bv" localSheetId="28">#REF!</definedName>
    <definedName name="bv" localSheetId="2">#REF!</definedName>
    <definedName name="bv" localSheetId="29">#REF!</definedName>
    <definedName name="bv" localSheetId="31">#REF!</definedName>
    <definedName name="bv" localSheetId="37">#REF!</definedName>
    <definedName name="bv" localSheetId="3">#REF!</definedName>
    <definedName name="bv" localSheetId="39">#REF!</definedName>
    <definedName name="bv" localSheetId="40">#REF!</definedName>
    <definedName name="bv" localSheetId="41">#REF!</definedName>
    <definedName name="bv" localSheetId="45">#REF!</definedName>
    <definedName name="bv" localSheetId="4">#REF!</definedName>
    <definedName name="bv" localSheetId="7">#REF!</definedName>
    <definedName name="bv">#REF!</definedName>
    <definedName name="BVCISUMMARY">#REF!</definedName>
    <definedName name="CA">#REF!</definedName>
    <definedName name="cao">#REF!</definedName>
    <definedName name="cap">#REF!</definedName>
    <definedName name="cap0.7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ùp_ñoàng_traàn_75mm2">#REF!</definedName>
    <definedName name="CauQL1GD2">#REF!</definedName>
    <definedName name="CauQL1GD3">#REF!</definedName>
    <definedName name="cfk">[10]THKP!#REF!</definedName>
    <definedName name="chi.tieu">#REF!</definedName>
    <definedName name="chitieu">#REF!</definedName>
    <definedName name="CL">#REF!</definedName>
    <definedName name="CLVC3">0.1</definedName>
    <definedName name="Co">#REF!</definedName>
    <definedName name="Co_dau_ky">#REF!</definedName>
    <definedName name="COAT" localSheetId="0">'[1]PNT-QUOT-#3'!#REF!</definedName>
    <definedName name="COAT" localSheetId="9">'[2]PNT-QUOT-#3'!#REF!</definedName>
    <definedName name="COAT" localSheetId="12">'[3]PNT-QUOT-#3'!#REF!</definedName>
    <definedName name="COAT" localSheetId="14">'[2]PNT-QUOT-#3'!#REF!</definedName>
    <definedName name="COAT" localSheetId="15">'[2]PNT-QUOT-#3'!#REF!</definedName>
    <definedName name="COAT" localSheetId="16">'[2]PNT-QUOT-#3'!#REF!</definedName>
    <definedName name="COAT" localSheetId="17">'[2]PNT-QUOT-#3'!#REF!</definedName>
    <definedName name="COAT" localSheetId="1">'[1]PNT-QUOT-#3'!#REF!</definedName>
    <definedName name="COAT" localSheetId="2">'[1]PNT-QUOT-#3'!#REF!</definedName>
    <definedName name="COAT" localSheetId="29">'[1]PNT-QUOT-#3'!#REF!</definedName>
    <definedName name="COAT" localSheetId="37">'[1]PNT-QUOT-#3'!#REF!</definedName>
    <definedName name="COAT" localSheetId="3">'[1]PNT-QUOT-#3'!#REF!</definedName>
    <definedName name="COAT" localSheetId="39">'[1]PNT-QUOT-#3'!#REF!</definedName>
    <definedName name="COAT" localSheetId="41">'[1]PNT-QUOT-#3'!#REF!</definedName>
    <definedName name="COAT" localSheetId="45">'[2]PNT-QUOT-#3'!#REF!</definedName>
    <definedName name="COAT" localSheetId="4">'[1]PNT-QUOT-#3'!#REF!</definedName>
    <definedName name="COAT" localSheetId="7">'[2]PNT-QUOT-#3'!#REF!</definedName>
    <definedName name="COAT">'[2]PNT-QUOT-#3'!#REF!</definedName>
    <definedName name="coc">#REF!</definedName>
    <definedName name="cocbtct">#REF!</definedName>
    <definedName name="cocot">#REF!</definedName>
    <definedName name="cocott">#REF!</definedName>
    <definedName name="COMMON">#REF!</definedName>
    <definedName name="comong">#REF!</definedName>
    <definedName name="CON_EQP_COS">#REF!</definedName>
    <definedName name="CON_EQP_COST">#REF!</definedName>
    <definedName name="concrete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ttron">#REF!</definedName>
    <definedName name="cotvuong">#REF!</definedName>
    <definedName name="COVER">#REF!</definedName>
    <definedName name="CRITINST">#REF!</definedName>
    <definedName name="CRITPURC">#REF!</definedName>
    <definedName name="CS_10" localSheetId="0">#REF!</definedName>
    <definedName name="CS_10" localSheetId="9">#REF!</definedName>
    <definedName name="CS_10" localSheetId="12">#REF!</definedName>
    <definedName name="CS_10" localSheetId="14">#REF!</definedName>
    <definedName name="CS_10" localSheetId="15">#REF!</definedName>
    <definedName name="CS_10" localSheetId="16">#REF!</definedName>
    <definedName name="CS_10" localSheetId="17">#REF!</definedName>
    <definedName name="CS_10" localSheetId="1">#REF!</definedName>
    <definedName name="CS_10" localSheetId="28">#REF!</definedName>
    <definedName name="CS_10" localSheetId="2">#REF!</definedName>
    <definedName name="CS_10" localSheetId="29">#REF!</definedName>
    <definedName name="CS_10" localSheetId="31">#REF!</definedName>
    <definedName name="CS_10" localSheetId="33">#REF!</definedName>
    <definedName name="CS_10" localSheetId="34">#REF!</definedName>
    <definedName name="CS_10" localSheetId="35">#REF!</definedName>
    <definedName name="CS_10" localSheetId="37">#REF!</definedName>
    <definedName name="CS_10" localSheetId="3">#REF!</definedName>
    <definedName name="CS_10" localSheetId="39">#REF!</definedName>
    <definedName name="CS_10" localSheetId="40">#REF!</definedName>
    <definedName name="CS_10" localSheetId="41">#REF!</definedName>
    <definedName name="CS_10" localSheetId="42">#REF!</definedName>
    <definedName name="CS_10" localSheetId="45">#REF!</definedName>
    <definedName name="CS_10" localSheetId="4">#REF!</definedName>
    <definedName name="CS_10" localSheetId="7">#REF!</definedName>
    <definedName name="CS_10">#REF!</definedName>
    <definedName name="CS_100" localSheetId="0">#REF!</definedName>
    <definedName name="CS_100" localSheetId="9">#REF!</definedName>
    <definedName name="CS_100" localSheetId="12">#REF!</definedName>
    <definedName name="CS_100" localSheetId="14">#REF!</definedName>
    <definedName name="CS_100" localSheetId="15">#REF!</definedName>
    <definedName name="CS_100" localSheetId="16">#REF!</definedName>
    <definedName name="CS_100" localSheetId="17">#REF!</definedName>
    <definedName name="CS_100" localSheetId="1">#REF!</definedName>
    <definedName name="CS_100" localSheetId="28">#REF!</definedName>
    <definedName name="CS_100" localSheetId="2">#REF!</definedName>
    <definedName name="CS_100" localSheetId="29">#REF!</definedName>
    <definedName name="CS_100" localSheetId="31">#REF!</definedName>
    <definedName name="CS_100" localSheetId="37">#REF!</definedName>
    <definedName name="CS_100" localSheetId="3">#REF!</definedName>
    <definedName name="CS_100" localSheetId="39">#REF!</definedName>
    <definedName name="CS_100" localSheetId="40">#REF!</definedName>
    <definedName name="CS_100" localSheetId="41">#REF!</definedName>
    <definedName name="CS_100" localSheetId="42">#REF!</definedName>
    <definedName name="CS_100" localSheetId="45">#REF!</definedName>
    <definedName name="CS_100" localSheetId="4">#REF!</definedName>
    <definedName name="CS_100" localSheetId="7">#REF!</definedName>
    <definedName name="CS_100">#REF!</definedName>
    <definedName name="CS_10S" localSheetId="0">#REF!</definedName>
    <definedName name="CS_10S" localSheetId="9">#REF!</definedName>
    <definedName name="CS_10S" localSheetId="12">#REF!</definedName>
    <definedName name="CS_10S" localSheetId="14">#REF!</definedName>
    <definedName name="CS_10S" localSheetId="15">#REF!</definedName>
    <definedName name="CS_10S" localSheetId="16">#REF!</definedName>
    <definedName name="CS_10S" localSheetId="17">#REF!</definedName>
    <definedName name="CS_10S" localSheetId="1">#REF!</definedName>
    <definedName name="CS_10S" localSheetId="28">#REF!</definedName>
    <definedName name="CS_10S" localSheetId="2">#REF!</definedName>
    <definedName name="CS_10S" localSheetId="29">#REF!</definedName>
    <definedName name="CS_10S" localSheetId="31">#REF!</definedName>
    <definedName name="CS_10S" localSheetId="37">#REF!</definedName>
    <definedName name="CS_10S" localSheetId="39">#REF!</definedName>
    <definedName name="CS_10S" localSheetId="40">#REF!</definedName>
    <definedName name="CS_10S" localSheetId="41">#REF!</definedName>
    <definedName name="CS_10S" localSheetId="42">#REF!</definedName>
    <definedName name="CS_10S" localSheetId="45">#REF!</definedName>
    <definedName name="CS_10S" localSheetId="7">#REF!</definedName>
    <definedName name="CS_10S">#REF!</definedName>
    <definedName name="CS_120" localSheetId="0">#REF!</definedName>
    <definedName name="CS_120" localSheetId="9">#REF!</definedName>
    <definedName name="CS_120" localSheetId="12">#REF!</definedName>
    <definedName name="CS_120" localSheetId="14">#REF!</definedName>
    <definedName name="CS_120" localSheetId="15">#REF!</definedName>
    <definedName name="CS_120" localSheetId="16">#REF!</definedName>
    <definedName name="CS_120" localSheetId="17">#REF!</definedName>
    <definedName name="CS_120" localSheetId="1">#REF!</definedName>
    <definedName name="CS_120" localSheetId="28">#REF!</definedName>
    <definedName name="CS_120" localSheetId="2">#REF!</definedName>
    <definedName name="CS_120" localSheetId="29">#REF!</definedName>
    <definedName name="CS_120" localSheetId="31">#REF!</definedName>
    <definedName name="CS_120" localSheetId="37">#REF!</definedName>
    <definedName name="CS_120" localSheetId="39">#REF!</definedName>
    <definedName name="CS_120" localSheetId="40">#REF!</definedName>
    <definedName name="CS_120" localSheetId="41">#REF!</definedName>
    <definedName name="CS_120" localSheetId="42">#REF!</definedName>
    <definedName name="CS_120" localSheetId="45">#REF!</definedName>
    <definedName name="CS_120" localSheetId="7">#REF!</definedName>
    <definedName name="CS_120">#REF!</definedName>
    <definedName name="CS_140" localSheetId="0">#REF!</definedName>
    <definedName name="CS_140" localSheetId="9">#REF!</definedName>
    <definedName name="CS_140" localSheetId="12">#REF!</definedName>
    <definedName name="CS_140" localSheetId="14">#REF!</definedName>
    <definedName name="CS_140" localSheetId="15">#REF!</definedName>
    <definedName name="CS_140" localSheetId="16">#REF!</definedName>
    <definedName name="CS_140" localSheetId="17">#REF!</definedName>
    <definedName name="CS_140" localSheetId="1">#REF!</definedName>
    <definedName name="CS_140" localSheetId="28">#REF!</definedName>
    <definedName name="CS_140" localSheetId="2">#REF!</definedName>
    <definedName name="CS_140" localSheetId="29">#REF!</definedName>
    <definedName name="CS_140" localSheetId="31">#REF!</definedName>
    <definedName name="CS_140" localSheetId="37">#REF!</definedName>
    <definedName name="CS_140" localSheetId="39">#REF!</definedName>
    <definedName name="CS_140" localSheetId="40">#REF!</definedName>
    <definedName name="CS_140" localSheetId="41">#REF!</definedName>
    <definedName name="CS_140" localSheetId="42">#REF!</definedName>
    <definedName name="CS_140" localSheetId="45">#REF!</definedName>
    <definedName name="CS_140" localSheetId="7">#REF!</definedName>
    <definedName name="CS_140">#REF!</definedName>
    <definedName name="CS_160" localSheetId="0">#REF!</definedName>
    <definedName name="CS_160" localSheetId="9">#REF!</definedName>
    <definedName name="CS_160" localSheetId="12">#REF!</definedName>
    <definedName name="CS_160" localSheetId="14">#REF!</definedName>
    <definedName name="CS_160" localSheetId="15">#REF!</definedName>
    <definedName name="CS_160" localSheetId="16">#REF!</definedName>
    <definedName name="CS_160" localSheetId="17">#REF!</definedName>
    <definedName name="CS_160" localSheetId="1">#REF!</definedName>
    <definedName name="CS_160" localSheetId="28">#REF!</definedName>
    <definedName name="CS_160" localSheetId="2">#REF!</definedName>
    <definedName name="CS_160" localSheetId="29">#REF!</definedName>
    <definedName name="CS_160" localSheetId="31">#REF!</definedName>
    <definedName name="CS_160" localSheetId="37">#REF!</definedName>
    <definedName name="CS_160" localSheetId="39">#REF!</definedName>
    <definedName name="CS_160" localSheetId="40">#REF!</definedName>
    <definedName name="CS_160" localSheetId="41">#REF!</definedName>
    <definedName name="CS_160" localSheetId="42">#REF!</definedName>
    <definedName name="CS_160" localSheetId="45">#REF!</definedName>
    <definedName name="CS_160" localSheetId="7">#REF!</definedName>
    <definedName name="CS_160">#REF!</definedName>
    <definedName name="CS_20" localSheetId="0">#REF!</definedName>
    <definedName name="CS_20" localSheetId="9">#REF!</definedName>
    <definedName name="CS_20" localSheetId="12">#REF!</definedName>
    <definedName name="CS_20" localSheetId="14">#REF!</definedName>
    <definedName name="CS_20" localSheetId="15">#REF!</definedName>
    <definedName name="CS_20" localSheetId="16">#REF!</definedName>
    <definedName name="CS_20" localSheetId="17">#REF!</definedName>
    <definedName name="CS_20" localSheetId="1">#REF!</definedName>
    <definedName name="CS_20" localSheetId="28">#REF!</definedName>
    <definedName name="CS_20" localSheetId="2">#REF!</definedName>
    <definedName name="CS_20" localSheetId="29">#REF!</definedName>
    <definedName name="CS_20" localSheetId="31">#REF!</definedName>
    <definedName name="CS_20" localSheetId="37">#REF!</definedName>
    <definedName name="CS_20" localSheetId="39">#REF!</definedName>
    <definedName name="CS_20" localSheetId="40">#REF!</definedName>
    <definedName name="CS_20" localSheetId="41">#REF!</definedName>
    <definedName name="CS_20" localSheetId="42">#REF!</definedName>
    <definedName name="CS_20" localSheetId="45">#REF!</definedName>
    <definedName name="CS_20" localSheetId="7">#REF!</definedName>
    <definedName name="CS_20">#REF!</definedName>
    <definedName name="CS_30" localSheetId="0">#REF!</definedName>
    <definedName name="CS_30" localSheetId="9">#REF!</definedName>
    <definedName name="CS_30" localSheetId="12">#REF!</definedName>
    <definedName name="CS_30" localSheetId="14">#REF!</definedName>
    <definedName name="CS_30" localSheetId="15">#REF!</definedName>
    <definedName name="CS_30" localSheetId="16">#REF!</definedName>
    <definedName name="CS_30" localSheetId="17">#REF!</definedName>
    <definedName name="CS_30" localSheetId="1">#REF!</definedName>
    <definedName name="CS_30" localSheetId="28">#REF!</definedName>
    <definedName name="CS_30" localSheetId="2">#REF!</definedName>
    <definedName name="CS_30" localSheetId="29">#REF!</definedName>
    <definedName name="CS_30" localSheetId="31">#REF!</definedName>
    <definedName name="CS_30" localSheetId="37">#REF!</definedName>
    <definedName name="CS_30" localSheetId="39">#REF!</definedName>
    <definedName name="CS_30" localSheetId="40">#REF!</definedName>
    <definedName name="CS_30" localSheetId="41">#REF!</definedName>
    <definedName name="CS_30" localSheetId="42">#REF!</definedName>
    <definedName name="CS_30" localSheetId="45">#REF!</definedName>
    <definedName name="CS_30" localSheetId="7">#REF!</definedName>
    <definedName name="CS_30">#REF!</definedName>
    <definedName name="CS_40" localSheetId="0">#REF!</definedName>
    <definedName name="CS_40" localSheetId="9">#REF!</definedName>
    <definedName name="CS_40" localSheetId="12">#REF!</definedName>
    <definedName name="CS_40" localSheetId="14">#REF!</definedName>
    <definedName name="CS_40" localSheetId="15">#REF!</definedName>
    <definedName name="CS_40" localSheetId="16">#REF!</definedName>
    <definedName name="CS_40" localSheetId="17">#REF!</definedName>
    <definedName name="CS_40" localSheetId="1">#REF!</definedName>
    <definedName name="CS_40" localSheetId="28">#REF!</definedName>
    <definedName name="CS_40" localSheetId="2">#REF!</definedName>
    <definedName name="CS_40" localSheetId="29">#REF!</definedName>
    <definedName name="CS_40" localSheetId="31">#REF!</definedName>
    <definedName name="CS_40" localSheetId="37">#REF!</definedName>
    <definedName name="CS_40" localSheetId="39">#REF!</definedName>
    <definedName name="CS_40" localSheetId="40">#REF!</definedName>
    <definedName name="CS_40" localSheetId="41">#REF!</definedName>
    <definedName name="CS_40" localSheetId="42">#REF!</definedName>
    <definedName name="CS_40" localSheetId="45">#REF!</definedName>
    <definedName name="CS_40" localSheetId="7">#REF!</definedName>
    <definedName name="CS_40">#REF!</definedName>
    <definedName name="CS_40S" localSheetId="0">#REF!</definedName>
    <definedName name="CS_40S" localSheetId="9">#REF!</definedName>
    <definedName name="CS_40S" localSheetId="12">#REF!</definedName>
    <definedName name="CS_40S" localSheetId="14">#REF!</definedName>
    <definedName name="CS_40S" localSheetId="15">#REF!</definedName>
    <definedName name="CS_40S" localSheetId="16">#REF!</definedName>
    <definedName name="CS_40S" localSheetId="17">#REF!</definedName>
    <definedName name="CS_40S" localSheetId="1">#REF!</definedName>
    <definedName name="CS_40S" localSheetId="28">#REF!</definedName>
    <definedName name="CS_40S" localSheetId="2">#REF!</definedName>
    <definedName name="CS_40S" localSheetId="29">#REF!</definedName>
    <definedName name="CS_40S" localSheetId="31">#REF!</definedName>
    <definedName name="CS_40S" localSheetId="37">#REF!</definedName>
    <definedName name="CS_40S" localSheetId="39">#REF!</definedName>
    <definedName name="CS_40S" localSheetId="40">#REF!</definedName>
    <definedName name="CS_40S" localSheetId="41">#REF!</definedName>
    <definedName name="CS_40S" localSheetId="42">#REF!</definedName>
    <definedName name="CS_40S" localSheetId="45">#REF!</definedName>
    <definedName name="CS_40S" localSheetId="7">#REF!</definedName>
    <definedName name="CS_40S">#REF!</definedName>
    <definedName name="CS_5S" localSheetId="0">#REF!</definedName>
    <definedName name="CS_5S" localSheetId="9">#REF!</definedName>
    <definedName name="CS_5S" localSheetId="12">#REF!</definedName>
    <definedName name="CS_5S" localSheetId="14">#REF!</definedName>
    <definedName name="CS_5S" localSheetId="15">#REF!</definedName>
    <definedName name="CS_5S" localSheetId="16">#REF!</definedName>
    <definedName name="CS_5S" localSheetId="17">#REF!</definedName>
    <definedName name="CS_5S" localSheetId="1">#REF!</definedName>
    <definedName name="CS_5S" localSheetId="28">#REF!</definedName>
    <definedName name="CS_5S" localSheetId="2">#REF!</definedName>
    <definedName name="CS_5S" localSheetId="29">#REF!</definedName>
    <definedName name="CS_5S" localSheetId="31">#REF!</definedName>
    <definedName name="CS_5S" localSheetId="37">#REF!</definedName>
    <definedName name="CS_5S" localSheetId="39">#REF!</definedName>
    <definedName name="CS_5S" localSheetId="40">#REF!</definedName>
    <definedName name="CS_5S" localSheetId="41">#REF!</definedName>
    <definedName name="CS_5S" localSheetId="42">#REF!</definedName>
    <definedName name="CS_5S" localSheetId="45">#REF!</definedName>
    <definedName name="CS_5S" localSheetId="7">#REF!</definedName>
    <definedName name="CS_5S">#REF!</definedName>
    <definedName name="CS_60" localSheetId="0">#REF!</definedName>
    <definedName name="CS_60" localSheetId="9">#REF!</definedName>
    <definedName name="CS_60" localSheetId="12">#REF!</definedName>
    <definedName name="CS_60" localSheetId="14">#REF!</definedName>
    <definedName name="CS_60" localSheetId="15">#REF!</definedName>
    <definedName name="CS_60" localSheetId="16">#REF!</definedName>
    <definedName name="CS_60" localSheetId="17">#REF!</definedName>
    <definedName name="CS_60" localSheetId="1">#REF!</definedName>
    <definedName name="CS_60" localSheetId="28">#REF!</definedName>
    <definedName name="CS_60" localSheetId="2">#REF!</definedName>
    <definedName name="CS_60" localSheetId="29">#REF!</definedName>
    <definedName name="CS_60" localSheetId="31">#REF!</definedName>
    <definedName name="CS_60" localSheetId="37">#REF!</definedName>
    <definedName name="CS_60" localSheetId="39">#REF!</definedName>
    <definedName name="CS_60" localSheetId="40">#REF!</definedName>
    <definedName name="CS_60" localSheetId="41">#REF!</definedName>
    <definedName name="CS_60" localSheetId="42">#REF!</definedName>
    <definedName name="CS_60" localSheetId="45">#REF!</definedName>
    <definedName name="CS_60" localSheetId="7">#REF!</definedName>
    <definedName name="CS_60">#REF!</definedName>
    <definedName name="CS_80" localSheetId="0">#REF!</definedName>
    <definedName name="CS_80" localSheetId="9">#REF!</definedName>
    <definedName name="CS_80" localSheetId="12">#REF!</definedName>
    <definedName name="CS_80" localSheetId="14">#REF!</definedName>
    <definedName name="CS_80" localSheetId="15">#REF!</definedName>
    <definedName name="CS_80" localSheetId="16">#REF!</definedName>
    <definedName name="CS_80" localSheetId="17">#REF!</definedName>
    <definedName name="CS_80" localSheetId="1">#REF!</definedName>
    <definedName name="CS_80" localSheetId="28">#REF!</definedName>
    <definedName name="CS_80" localSheetId="2">#REF!</definedName>
    <definedName name="CS_80" localSheetId="29">#REF!</definedName>
    <definedName name="CS_80" localSheetId="31">#REF!</definedName>
    <definedName name="CS_80" localSheetId="37">#REF!</definedName>
    <definedName name="CS_80" localSheetId="39">#REF!</definedName>
    <definedName name="CS_80" localSheetId="40">#REF!</definedName>
    <definedName name="CS_80" localSheetId="41">#REF!</definedName>
    <definedName name="CS_80" localSheetId="42">#REF!</definedName>
    <definedName name="CS_80" localSheetId="45">#REF!</definedName>
    <definedName name="CS_80" localSheetId="7">#REF!</definedName>
    <definedName name="CS_80">#REF!</definedName>
    <definedName name="CS_80S" localSheetId="0">#REF!</definedName>
    <definedName name="CS_80S" localSheetId="9">#REF!</definedName>
    <definedName name="CS_80S" localSheetId="12">#REF!</definedName>
    <definedName name="CS_80S" localSheetId="14">#REF!</definedName>
    <definedName name="CS_80S" localSheetId="15">#REF!</definedName>
    <definedName name="CS_80S" localSheetId="16">#REF!</definedName>
    <definedName name="CS_80S" localSheetId="17">#REF!</definedName>
    <definedName name="CS_80S" localSheetId="1">#REF!</definedName>
    <definedName name="CS_80S" localSheetId="28">#REF!</definedName>
    <definedName name="CS_80S" localSheetId="2">#REF!</definedName>
    <definedName name="CS_80S" localSheetId="29">#REF!</definedName>
    <definedName name="CS_80S" localSheetId="31">#REF!</definedName>
    <definedName name="CS_80S" localSheetId="37">#REF!</definedName>
    <definedName name="CS_80S" localSheetId="39">#REF!</definedName>
    <definedName name="CS_80S" localSheetId="40">#REF!</definedName>
    <definedName name="CS_80S" localSheetId="41">#REF!</definedName>
    <definedName name="CS_80S" localSheetId="42">#REF!</definedName>
    <definedName name="CS_80S" localSheetId="45">#REF!</definedName>
    <definedName name="CS_80S" localSheetId="7">#REF!</definedName>
    <definedName name="CS_80S">#REF!</definedName>
    <definedName name="CS_STD" localSheetId="0">#REF!</definedName>
    <definedName name="CS_STD" localSheetId="9">#REF!</definedName>
    <definedName name="CS_STD" localSheetId="12">#REF!</definedName>
    <definedName name="CS_STD" localSheetId="14">#REF!</definedName>
    <definedName name="CS_STD" localSheetId="15">#REF!</definedName>
    <definedName name="CS_STD" localSheetId="16">#REF!</definedName>
    <definedName name="CS_STD" localSheetId="17">#REF!</definedName>
    <definedName name="CS_STD" localSheetId="1">#REF!</definedName>
    <definedName name="CS_STD" localSheetId="28">#REF!</definedName>
    <definedName name="CS_STD" localSheetId="2">#REF!</definedName>
    <definedName name="CS_STD" localSheetId="29">#REF!</definedName>
    <definedName name="CS_STD" localSheetId="31">#REF!</definedName>
    <definedName name="CS_STD" localSheetId="37">#REF!</definedName>
    <definedName name="CS_STD" localSheetId="39">#REF!</definedName>
    <definedName name="CS_STD" localSheetId="40">#REF!</definedName>
    <definedName name="CS_STD" localSheetId="41">#REF!</definedName>
    <definedName name="CS_STD" localSheetId="42">#REF!</definedName>
    <definedName name="CS_STD" localSheetId="45">#REF!</definedName>
    <definedName name="CS_STD" localSheetId="7">#REF!</definedName>
    <definedName name="CS_STD">#REF!</definedName>
    <definedName name="CS_XS" localSheetId="0">#REF!</definedName>
    <definedName name="CS_XS" localSheetId="9">#REF!</definedName>
    <definedName name="CS_XS" localSheetId="12">#REF!</definedName>
    <definedName name="CS_XS" localSheetId="14">#REF!</definedName>
    <definedName name="CS_XS" localSheetId="15">#REF!</definedName>
    <definedName name="CS_XS" localSheetId="16">#REF!</definedName>
    <definedName name="CS_XS" localSheetId="17">#REF!</definedName>
    <definedName name="CS_XS" localSheetId="1">#REF!</definedName>
    <definedName name="CS_XS" localSheetId="28">#REF!</definedName>
    <definedName name="CS_XS" localSheetId="2">#REF!</definedName>
    <definedName name="CS_XS" localSheetId="29">#REF!</definedName>
    <definedName name="CS_XS" localSheetId="31">#REF!</definedName>
    <definedName name="CS_XS" localSheetId="37">#REF!</definedName>
    <definedName name="CS_XS" localSheetId="39">#REF!</definedName>
    <definedName name="CS_XS" localSheetId="40">#REF!</definedName>
    <definedName name="CS_XS" localSheetId="41">#REF!</definedName>
    <definedName name="CS_XS" localSheetId="42">#REF!</definedName>
    <definedName name="CS_XS" localSheetId="45">#REF!</definedName>
    <definedName name="CS_XS" localSheetId="7">#REF!</definedName>
    <definedName name="CS_XS">#REF!</definedName>
    <definedName name="CS_XXS" localSheetId="0">#REF!</definedName>
    <definedName name="CS_XXS" localSheetId="9">#REF!</definedName>
    <definedName name="CS_XXS" localSheetId="12">#REF!</definedName>
    <definedName name="CS_XXS" localSheetId="14">#REF!</definedName>
    <definedName name="CS_XXS" localSheetId="15">#REF!</definedName>
    <definedName name="CS_XXS" localSheetId="16">#REF!</definedName>
    <definedName name="CS_XXS" localSheetId="17">#REF!</definedName>
    <definedName name="CS_XXS" localSheetId="1">#REF!</definedName>
    <definedName name="CS_XXS" localSheetId="28">#REF!</definedName>
    <definedName name="CS_XXS" localSheetId="2">#REF!</definedName>
    <definedName name="CS_XXS" localSheetId="29">#REF!</definedName>
    <definedName name="CS_XXS" localSheetId="31">#REF!</definedName>
    <definedName name="CS_XXS" localSheetId="37">#REF!</definedName>
    <definedName name="CS_XXS" localSheetId="39">#REF!</definedName>
    <definedName name="CS_XXS" localSheetId="40">#REF!</definedName>
    <definedName name="CS_XXS" localSheetId="41">#REF!</definedName>
    <definedName name="CS_XXS" localSheetId="42">#REF!</definedName>
    <definedName name="CS_XXS" localSheetId="45">#REF!</definedName>
    <definedName name="CS_XXS" localSheetId="7">#REF!</definedName>
    <definedName name="CS_XXS">#REF!</definedName>
    <definedName name="CT">#REF!</definedName>
    <definedName name="CTA">#REF!</definedName>
    <definedName name="ctdn9697">#REF!</definedName>
    <definedName name="CTGS">#REF!</definedName>
    <definedName name="cua">#REF!</definedName>
    <definedName name="CURRENCY">#REF!</definedName>
    <definedName name="cv" localSheetId="0" hidden="1">{"'TDTGT (theo Dphuong)'!$A$4:$F$75"}</definedName>
    <definedName name="cv" localSheetId="9" hidden="1">{"'TDTGT (theo Dphuong)'!$A$4:$F$75"}</definedName>
    <definedName name="cv" localSheetId="10" hidden="1">{"'TDTGT (theo Dphuong)'!$A$4:$F$75"}</definedName>
    <definedName name="cv" localSheetId="12" hidden="1">{"'TDTGT (theo Dphuong)'!$A$4:$F$75"}</definedName>
    <definedName name="cv" localSheetId="14" hidden="1">{"'TDTGT (theo Dphuong)'!$A$4:$F$75"}</definedName>
    <definedName name="cv" localSheetId="17" hidden="1">{"'TDTGT (theo Dphuong)'!$A$4:$F$75"}</definedName>
    <definedName name="cv" localSheetId="1" hidden="1">{"'TDTGT (theo Dphuong)'!$A$4:$F$75"}</definedName>
    <definedName name="cv" localSheetId="28" hidden="1">{"'TDTGT (theo Dphuong)'!$A$4:$F$75"}</definedName>
    <definedName name="cv" localSheetId="2" hidden="1">{"'TDTGT (theo Dphuong)'!$A$4:$F$75"}</definedName>
    <definedName name="cv" localSheetId="29" hidden="1">{"'TDTGT (theo Dphuong)'!$A$4:$F$75"}</definedName>
    <definedName name="cv" localSheetId="31" hidden="1">{"'TDTGT (theo Dphuong)'!$A$4:$F$75"}</definedName>
    <definedName name="cv" localSheetId="32" hidden="1">{"'TDTGT (theo Dphuong)'!$A$4:$F$75"}</definedName>
    <definedName name="cv" localSheetId="33" hidden="1">{"'TDTGT (theo Dphuong)'!$A$4:$F$75"}</definedName>
    <definedName name="cv" localSheetId="34" hidden="1">{"'TDTGT (theo Dphuong)'!$A$4:$F$75"}</definedName>
    <definedName name="cv" localSheetId="35" hidden="1">{"'TDTGT (theo Dphuong)'!$A$4:$F$75"}</definedName>
    <definedName name="cv" localSheetId="3" hidden="1">{"'TDTGT (theo Dphuong)'!$A$4:$F$75"}</definedName>
    <definedName name="cv" localSheetId="40" hidden="1">{"'TDTGT (theo Dphuong)'!$A$4:$F$75"}</definedName>
    <definedName name="cv" localSheetId="41" hidden="1">{"'TDTGT (theo Dphuong)'!$A$4:$F$75"}</definedName>
    <definedName name="cv" localSheetId="45" hidden="1">{"'TDTGT (theo Dphuong)'!$A$4:$F$75"}</definedName>
    <definedName name="cv" localSheetId="4" hidden="1">{"'TDTGT (theo Dphuong)'!$A$4:$F$75"}</definedName>
    <definedName name="cv" localSheetId="7" hidden="1">{"'TDTGT (theo Dphuong)'!$A$4:$F$75"}</definedName>
    <definedName name="cv" hidden="1">{"'TDTGT (theo Dphuong)'!$A$4:$F$75"}</definedName>
    <definedName name="cx" localSheetId="0">#REF!</definedName>
    <definedName name="cx" localSheetId="9">#REF!</definedName>
    <definedName name="cx" localSheetId="12">#REF!</definedName>
    <definedName name="cx" localSheetId="14">#REF!</definedName>
    <definedName name="cx" localSheetId="15">#REF!</definedName>
    <definedName name="cx" localSheetId="16">#REF!</definedName>
    <definedName name="cx" localSheetId="17">#REF!</definedName>
    <definedName name="cx" localSheetId="1">#REF!</definedName>
    <definedName name="cx" localSheetId="28">#REF!</definedName>
    <definedName name="cx" localSheetId="2">#REF!</definedName>
    <definedName name="cx" localSheetId="29">#REF!</definedName>
    <definedName name="cx" localSheetId="31">#REF!</definedName>
    <definedName name="cx" localSheetId="33">#REF!</definedName>
    <definedName name="cx" localSheetId="34">#REF!</definedName>
    <definedName name="cx" localSheetId="35">#REF!</definedName>
    <definedName name="cx" localSheetId="37">#REF!</definedName>
    <definedName name="cx" localSheetId="3">#REF!</definedName>
    <definedName name="cx" localSheetId="39">#REF!</definedName>
    <definedName name="cx" localSheetId="40">#REF!</definedName>
    <definedName name="cx" localSheetId="41">#REF!</definedName>
    <definedName name="cx" localSheetId="42">#REF!</definedName>
    <definedName name="cx" localSheetId="45">#REF!</definedName>
    <definedName name="cx" localSheetId="4">#REF!</definedName>
    <definedName name="cx" localSheetId="7">#REF!</definedName>
    <definedName name="cx">#REF!</definedName>
    <definedName name="d" localSheetId="0" hidden="1">#REF!</definedName>
    <definedName name="d" localSheetId="9" hidden="1">#REF!</definedName>
    <definedName name="d" localSheetId="12" hidden="1">#REF!</definedName>
    <definedName name="d" localSheetId="14" hidden="1">#REF!</definedName>
    <definedName name="d" localSheetId="15" hidden="1">#REF!</definedName>
    <definedName name="d" localSheetId="16" hidden="1">#REF!</definedName>
    <definedName name="d" localSheetId="17" hidden="1">#REF!</definedName>
    <definedName name="d" localSheetId="1" hidden="1">#REF!</definedName>
    <definedName name="d" localSheetId="28" hidden="1">#REF!</definedName>
    <definedName name="d" localSheetId="2" hidden="1">#REF!</definedName>
    <definedName name="d" localSheetId="29" hidden="1">#REF!</definedName>
    <definedName name="d" localSheetId="31" hidden="1">#REF!</definedName>
    <definedName name="d" localSheetId="37" hidden="1">#REF!</definedName>
    <definedName name="d" localSheetId="3" hidden="1">#REF!</definedName>
    <definedName name="d" localSheetId="39" hidden="1">#REF!</definedName>
    <definedName name="d" localSheetId="40" hidden="1">#REF!</definedName>
    <definedName name="d" localSheetId="41" hidden="1">#REF!</definedName>
    <definedName name="d" localSheetId="42" hidden="1">#REF!</definedName>
    <definedName name="d" localSheetId="45" hidden="1">#REF!</definedName>
    <definedName name="d" localSheetId="4" hidden="1">#REF!</definedName>
    <definedName name="d" localSheetId="7" hidden="1">#REF!</definedName>
    <definedName name="d" hidden="1">#REF!</definedName>
    <definedName name="D_7101A_B">#REF!</definedName>
    <definedName name="dam">#REF!</definedName>
    <definedName name="danducsan">#REF!</definedName>
    <definedName name="Data">#REF!</definedName>
    <definedName name="DATA_DATA2_List">#REF!</definedName>
    <definedName name="_xlnm.Database">#REF!</definedName>
    <definedName name="DATATKDT">#REF!</definedName>
    <definedName name="dd" localSheetId="0">#REF!</definedName>
    <definedName name="dd" localSheetId="9">#REF!</definedName>
    <definedName name="dd" localSheetId="12">#REF!</definedName>
    <definedName name="dd" localSheetId="14">#REF!</definedName>
    <definedName name="dd" localSheetId="15">#REF!</definedName>
    <definedName name="dd" localSheetId="16">#REF!</definedName>
    <definedName name="dd" localSheetId="17">#REF!</definedName>
    <definedName name="dd" localSheetId="1">#REF!</definedName>
    <definedName name="dd" localSheetId="28">#REF!</definedName>
    <definedName name="dd" localSheetId="2">#REF!</definedName>
    <definedName name="dd" localSheetId="29">#REF!</definedName>
    <definedName name="dd" localSheetId="31">#REF!</definedName>
    <definedName name="dd" localSheetId="37">#REF!</definedName>
    <definedName name="dd" localSheetId="3">#REF!</definedName>
    <definedName name="dd" localSheetId="39">#REF!</definedName>
    <definedName name="dd" localSheetId="40">#REF!</definedName>
    <definedName name="dd" localSheetId="41">#REF!</definedName>
    <definedName name="dd" localSheetId="45">#REF!</definedName>
    <definedName name="dd" localSheetId="4">#REF!</definedName>
    <definedName name="dd" localSheetId="7">#REF!</definedName>
    <definedName name="dd">#REF!</definedName>
    <definedName name="dđ" hidden="1">{"'Sheet1'!$L$16"}</definedName>
    <definedName name="DDAY">#REF!</definedName>
    <definedName name="ddddd">#REF!</definedName>
    <definedName name="dddggg">#REF!</definedName>
    <definedName name="den_bu">#REF!</definedName>
    <definedName name="df" localSheetId="9" hidden="1">#REF!</definedName>
    <definedName name="df" localSheetId="12" hidden="1">#REF!</definedName>
    <definedName name="df" localSheetId="14" hidden="1">#REF!</definedName>
    <definedName name="df" localSheetId="15" hidden="1">#REF!</definedName>
    <definedName name="df" localSheetId="16" hidden="1">#REF!</definedName>
    <definedName name="df" localSheetId="17" hidden="1">#REF!</definedName>
    <definedName name="df" localSheetId="1" hidden="1">#REF!</definedName>
    <definedName name="df" localSheetId="28" hidden="1">#REF!</definedName>
    <definedName name="df" localSheetId="2" hidden="1">#REF!</definedName>
    <definedName name="df" localSheetId="29" hidden="1">#REF!</definedName>
    <definedName name="df" localSheetId="31" hidden="1">#REF!</definedName>
    <definedName name="df" localSheetId="37" hidden="1">#REF!</definedName>
    <definedName name="df" localSheetId="39" hidden="1">#REF!</definedName>
    <definedName name="df" localSheetId="40" hidden="1">#REF!</definedName>
    <definedName name="df" localSheetId="41" hidden="1">#REF!</definedName>
    <definedName name="df" localSheetId="42" hidden="1">#REF!</definedName>
    <definedName name="df" localSheetId="45" hidden="1">#REF!</definedName>
    <definedName name="df" localSheetId="7" hidden="1">#REF!</definedName>
    <definedName name="df" hidden="1">#REF!</definedName>
    <definedName name="dg" localSheetId="9">#REF!</definedName>
    <definedName name="dg" localSheetId="12">#REF!</definedName>
    <definedName name="dg" localSheetId="14">#REF!</definedName>
    <definedName name="dg" localSheetId="15">#REF!</definedName>
    <definedName name="dg" localSheetId="16">#REF!</definedName>
    <definedName name="dg" localSheetId="17">#REF!</definedName>
    <definedName name="dg" localSheetId="1">#REF!</definedName>
    <definedName name="dg" localSheetId="28">#REF!</definedName>
    <definedName name="dg" localSheetId="2">#REF!</definedName>
    <definedName name="dg" localSheetId="29">#REF!</definedName>
    <definedName name="dg" localSheetId="31">#REF!</definedName>
    <definedName name="dg" localSheetId="37">#REF!</definedName>
    <definedName name="dg" localSheetId="39">#REF!</definedName>
    <definedName name="dg" localSheetId="40">#REF!</definedName>
    <definedName name="dg" localSheetId="41">#REF!</definedName>
    <definedName name="dg" localSheetId="45">#REF!</definedName>
    <definedName name="dg" localSheetId="7">#REF!</definedName>
    <definedName name="dg">#REF!</definedName>
    <definedName name="DGVUA">#REF!</definedName>
    <definedName name="DGXDTT">#REF!</definedName>
    <definedName name="dien" localSheetId="9">#REF!</definedName>
    <definedName name="dien" localSheetId="12">#REF!</definedName>
    <definedName name="dien" localSheetId="14">#REF!</definedName>
    <definedName name="dien" localSheetId="15">#REF!</definedName>
    <definedName name="dien" localSheetId="16">#REF!</definedName>
    <definedName name="dien" localSheetId="17">#REF!</definedName>
    <definedName name="dien" localSheetId="1">#REF!</definedName>
    <definedName name="dien" localSheetId="28">#REF!</definedName>
    <definedName name="dien" localSheetId="2">#REF!</definedName>
    <definedName name="dien" localSheetId="29">#REF!</definedName>
    <definedName name="dien" localSheetId="31">#REF!</definedName>
    <definedName name="dien" localSheetId="37">#REF!</definedName>
    <definedName name="dien" localSheetId="39">#REF!</definedName>
    <definedName name="dien" localSheetId="40">#REF!</definedName>
    <definedName name="dien" localSheetId="41">#REF!</definedName>
    <definedName name="dien" localSheetId="45">#REF!</definedName>
    <definedName name="dien" localSheetId="7">#REF!</definedName>
    <definedName name="dien">#REF!</definedName>
    <definedName name="dientichck">#REF!</definedName>
    <definedName name="đil">#REF!</definedName>
    <definedName name="DIRECT_COST_ACC">#REF!</definedName>
    <definedName name="DM">#REF!</definedName>
    <definedName name="dmvt">#REF!</definedName>
    <definedName name="dmvt11">#REF!</definedName>
    <definedName name="dn" localSheetId="0" hidden="1">{"'TDTGT (theo Dphuong)'!$A$4:$F$75"}</definedName>
    <definedName name="dn" localSheetId="9" hidden="1">{"'TDTGT (theo Dphuong)'!$A$4:$F$75"}</definedName>
    <definedName name="dn" localSheetId="10" hidden="1">{"'TDTGT (theo Dphuong)'!$A$4:$F$75"}</definedName>
    <definedName name="dn" localSheetId="12" hidden="1">{"'TDTGT (theo Dphuong)'!$A$4:$F$75"}</definedName>
    <definedName name="dn" localSheetId="14" hidden="1">{"'TDTGT (theo Dphuong)'!$A$4:$F$75"}</definedName>
    <definedName name="dn" localSheetId="17" hidden="1">{"'TDTGT (theo Dphuong)'!$A$4:$F$75"}</definedName>
    <definedName name="dn" localSheetId="1" hidden="1">{"'TDTGT (theo Dphuong)'!$A$4:$F$75"}</definedName>
    <definedName name="dn" localSheetId="28" hidden="1">{"'TDTGT (theo Dphuong)'!$A$4:$F$75"}</definedName>
    <definedName name="dn" localSheetId="2" hidden="1">{"'TDTGT (theo Dphuong)'!$A$4:$F$75"}</definedName>
    <definedName name="dn" localSheetId="29" hidden="1">{"'TDTGT (theo Dphuong)'!$A$4:$F$75"}</definedName>
    <definedName name="dn" localSheetId="31" hidden="1">{"'TDTGT (theo Dphuong)'!$A$4:$F$75"}</definedName>
    <definedName name="dn" localSheetId="32" hidden="1">{"'TDTGT (theo Dphuong)'!$A$4:$F$75"}</definedName>
    <definedName name="dn" localSheetId="33" hidden="1">{"'TDTGT (theo Dphuong)'!$A$4:$F$75"}</definedName>
    <definedName name="dn" localSheetId="34" hidden="1">{"'TDTGT (theo Dphuong)'!$A$4:$F$75"}</definedName>
    <definedName name="dn" localSheetId="35" hidden="1">{"'TDTGT (theo Dphuong)'!$A$4:$F$75"}</definedName>
    <definedName name="dn" localSheetId="3" hidden="1">{"'TDTGT (theo Dphuong)'!$A$4:$F$75"}</definedName>
    <definedName name="dn" localSheetId="40" hidden="1">{"'TDTGT (theo Dphuong)'!$A$4:$F$75"}</definedName>
    <definedName name="dn" localSheetId="41" hidden="1">{"'TDTGT (theo Dphuong)'!$A$4:$F$75"}</definedName>
    <definedName name="dn" localSheetId="45" hidden="1">{"'TDTGT (theo Dphuong)'!$A$4:$F$75"}</definedName>
    <definedName name="dn" localSheetId="4" hidden="1">{"'TDTGT (theo Dphuong)'!$A$4:$F$75"}</definedName>
    <definedName name="dn" localSheetId="7" hidden="1">{"'TDTGT (theo Dphuong)'!$A$4:$F$75"}</definedName>
    <definedName name="dn" hidden="1">{"'TDTGT (theo Dphuong)'!$A$4:$F$75"}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ument_array">{"Thuxm2.xls","Sheet1"}</definedName>
    <definedName name="DOOR1_H">#REF!</definedName>
    <definedName name="DOOR1_W">#REF!</definedName>
    <definedName name="DOOR2_H">#REF!</definedName>
    <definedName name="DOOR2_W">#REF!</definedName>
    <definedName name="DOOR3_H">#REF!</definedName>
    <definedName name="DOOR3_N">#REF!</definedName>
    <definedName name="DOOR3_W">#REF!</definedName>
    <definedName name="DSTD_Clear">#N/A</definedName>
    <definedName name="DSUMDATA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e.">#REF!</definedName>
    <definedName name="Ea">2100000</definedName>
    <definedName name="EARTH">#REF!</definedName>
    <definedName name="Eb">240000</definedName>
    <definedName name="En">240000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Q">#REF!</definedName>
    <definedName name="_xlnm.Extract">#REF!</definedName>
    <definedName name="f">#REF!</definedName>
    <definedName name="FAC">#REF!</definedName>
    <definedName name="FACTOR">#REF!</definedName>
    <definedName name="FDFDSFDSFDF">#REF!</definedName>
    <definedName name="fdk">#REF!</definedName>
    <definedName name="ffddg" localSheetId="0">#REF!</definedName>
    <definedName name="ffddg" localSheetId="9">#REF!</definedName>
    <definedName name="ffddg" localSheetId="12">#REF!</definedName>
    <definedName name="ffddg" localSheetId="14">#REF!</definedName>
    <definedName name="ffddg" localSheetId="15">#REF!</definedName>
    <definedName name="ffddg" localSheetId="16">#REF!</definedName>
    <definedName name="ffddg" localSheetId="17">#REF!</definedName>
    <definedName name="ffddg" localSheetId="1">#REF!</definedName>
    <definedName name="ffddg" localSheetId="28">#REF!</definedName>
    <definedName name="ffddg" localSheetId="2">#REF!</definedName>
    <definedName name="ffddg" localSheetId="29">#REF!</definedName>
    <definedName name="ffddg" localSheetId="31">#REF!</definedName>
    <definedName name="ffddg" localSheetId="33">#REF!</definedName>
    <definedName name="ffddg" localSheetId="34">#REF!</definedName>
    <definedName name="ffddg" localSheetId="35">#REF!</definedName>
    <definedName name="ffddg" localSheetId="37">#REF!</definedName>
    <definedName name="ffddg" localSheetId="3">#REF!</definedName>
    <definedName name="ffddg" localSheetId="39">#REF!</definedName>
    <definedName name="ffddg" localSheetId="40">#REF!</definedName>
    <definedName name="ffddg" localSheetId="41">#REF!</definedName>
    <definedName name="ffddg" localSheetId="45">#REF!</definedName>
    <definedName name="ffddg" localSheetId="4">#REF!</definedName>
    <definedName name="ffddg" localSheetId="7">#REF!</definedName>
    <definedName name="ffddg">#REF!</definedName>
    <definedName name="FINISH">#REF!</definedName>
    <definedName name="FP" localSheetId="0">'[1]COAT&amp;WRAP-QIOT-#3'!#REF!</definedName>
    <definedName name="FP" localSheetId="9">'[2]COAT&amp;WRAP-QIOT-#3'!#REF!</definedName>
    <definedName name="FP" localSheetId="12">'[3]COAT&amp;WRAP-QIOT-#3'!#REF!</definedName>
    <definedName name="FP" localSheetId="14">'[2]COAT&amp;WRAP-QIOT-#3'!#REF!</definedName>
    <definedName name="FP" localSheetId="15">'[2]COAT&amp;WRAP-QIOT-#3'!#REF!</definedName>
    <definedName name="FP" localSheetId="16">'[2]COAT&amp;WRAP-QIOT-#3'!#REF!</definedName>
    <definedName name="FP" localSheetId="17">'[2]COAT&amp;WRAP-QIOT-#3'!#REF!</definedName>
    <definedName name="FP" localSheetId="1">'[1]COAT&amp;WRAP-QIOT-#3'!#REF!</definedName>
    <definedName name="FP" localSheetId="23">'[2]COAT&amp;WRAP-QIOT-#3'!#REF!</definedName>
    <definedName name="FP" localSheetId="2">'[1]COAT&amp;WRAP-QIOT-#3'!#REF!</definedName>
    <definedName name="FP" localSheetId="29">'[2]COAT&amp;WRAP-QIOT-#3'!#REF!</definedName>
    <definedName name="FP" localSheetId="37">'[1]COAT&amp;WRAP-QIOT-#3'!#REF!</definedName>
    <definedName name="FP" localSheetId="3">'[1]COAT&amp;WRAP-QIOT-#3'!#REF!</definedName>
    <definedName name="FP" localSheetId="39">'[1]COAT&amp;WRAP-QIOT-#3'!#REF!</definedName>
    <definedName name="FP" localSheetId="41">'[1]COAT&amp;WRAP-QIOT-#3'!#REF!</definedName>
    <definedName name="FP" localSheetId="4">'[1]COAT&amp;WRAP-QIOT-#3'!#REF!</definedName>
    <definedName name="FP" localSheetId="7">'[2]COAT&amp;WRAP-QIOT-#3'!#REF!</definedName>
    <definedName name="FP">'[2]COAT&amp;WRAP-QIOT-#3'!#REF!</definedName>
    <definedName name="gcm">#REF!</definedName>
    <definedName name="gd" hidden="1">{"'TDTGT (theo Dphuong)'!$A$4:$F$75"}</definedName>
    <definedName name="ggg">#REF!</definedName>
    <definedName name="Ghi_chó">#REF!</definedName>
    <definedName name="gia_tien_BTN">#REF!</definedName>
    <definedName name="GIAVT">#REF!</definedName>
    <definedName name="GM">'[11]VT,NC,M'!$D$1:$E$65536</definedName>
    <definedName name="gnc">#REF!</definedName>
    <definedName name="Gthe">#REF!</definedName>
    <definedName name="gthep">1</definedName>
    <definedName name="GTNT1">#REF!</definedName>
    <definedName name="GTNT2">#REF!</definedName>
    <definedName name="gvt">#REF!</definedName>
    <definedName name="h" localSheetId="0" hidden="1">{"'TDTGT (theo Dphuong)'!$A$4:$F$75"}</definedName>
    <definedName name="h" localSheetId="9" hidden="1">{"'TDTGT (theo Dphuong)'!$A$4:$F$75"}</definedName>
    <definedName name="h" localSheetId="10" hidden="1">{"'TDTGT (theo Dphuong)'!$A$4:$F$75"}</definedName>
    <definedName name="h" localSheetId="12" hidden="1">{"'TDTGT (theo Dphuong)'!$A$4:$F$75"}</definedName>
    <definedName name="h" localSheetId="14" hidden="1">{"'TDTGT (theo Dphuong)'!$A$4:$F$75"}</definedName>
    <definedName name="h" localSheetId="17" hidden="1">{"'TDTGT (theo Dphuong)'!$A$4:$F$75"}</definedName>
    <definedName name="h" localSheetId="1" hidden="1">{"'TDTGT (theo Dphuong)'!$A$4:$F$75"}</definedName>
    <definedName name="h" localSheetId="28" hidden="1">{"'TDTGT (theo Dphuong)'!$A$4:$F$75"}</definedName>
    <definedName name="h" localSheetId="2" hidden="1">{"'TDTGT (theo Dphuong)'!$A$4:$F$75"}</definedName>
    <definedName name="h" localSheetId="29" hidden="1">{"'TDTGT (theo Dphuong)'!$A$4:$F$75"}</definedName>
    <definedName name="h" localSheetId="31" hidden="1">{"'TDTGT (theo Dphuong)'!$A$4:$F$75"}</definedName>
    <definedName name="h" localSheetId="32" hidden="1">{"'TDTGT (theo Dphuong)'!$A$4:$F$75"}</definedName>
    <definedName name="h" localSheetId="33" hidden="1">{"'TDTGT (theo Dphuong)'!$A$4:$F$75"}</definedName>
    <definedName name="h" localSheetId="34" hidden="1">{"'TDTGT (theo Dphuong)'!$A$4:$F$75"}</definedName>
    <definedName name="h" localSheetId="35" hidden="1">{"'TDTGT (theo Dphuong)'!$A$4:$F$75"}</definedName>
    <definedName name="h" localSheetId="3" hidden="1">{"'TDTGT (theo Dphuong)'!$A$4:$F$75"}</definedName>
    <definedName name="h" localSheetId="40" hidden="1">{"'TDTGT (theo Dphuong)'!$A$4:$F$75"}</definedName>
    <definedName name="h" localSheetId="41" hidden="1">{"'TDTGT (theo Dphuong)'!$A$4:$F$75"}</definedName>
    <definedName name="h" localSheetId="45" hidden="1">{"'TDTGT (theo Dphuong)'!$A$4:$F$75"}</definedName>
    <definedName name="h" localSheetId="4" hidden="1">{"'TDTGT (theo Dphuong)'!$A$4:$F$75"}</definedName>
    <definedName name="h" localSheetId="7" hidden="1">{"'TDTGT (theo Dphuong)'!$A$4:$F$75"}</definedName>
    <definedName name="h" hidden="1">{"'TDTGT (theo Dphuong)'!$A$4:$F$75"}</definedName>
    <definedName name="hab" localSheetId="0">#REF!</definedName>
    <definedName name="hab" localSheetId="9">#REF!</definedName>
    <definedName name="hab" localSheetId="12">#REF!</definedName>
    <definedName name="hab" localSheetId="14">#REF!</definedName>
    <definedName name="hab" localSheetId="15">#REF!</definedName>
    <definedName name="hab" localSheetId="16">#REF!</definedName>
    <definedName name="hab" localSheetId="17">#REF!</definedName>
    <definedName name="hab" localSheetId="1">#REF!</definedName>
    <definedName name="hab" localSheetId="28">#REF!</definedName>
    <definedName name="hab" localSheetId="2">#REF!</definedName>
    <definedName name="hab" localSheetId="29">#REF!</definedName>
    <definedName name="hab" localSheetId="31">#REF!</definedName>
    <definedName name="hab" localSheetId="33">#REF!</definedName>
    <definedName name="hab" localSheetId="34">#REF!</definedName>
    <definedName name="hab" localSheetId="35">#REF!</definedName>
    <definedName name="hab" localSheetId="37">#REF!</definedName>
    <definedName name="hab" localSheetId="3">#REF!</definedName>
    <definedName name="hab" localSheetId="39">#REF!</definedName>
    <definedName name="hab" localSheetId="40">#REF!</definedName>
    <definedName name="hab" localSheetId="41">#REF!</definedName>
    <definedName name="hab" localSheetId="42">#REF!</definedName>
    <definedName name="hab" localSheetId="45">#REF!</definedName>
    <definedName name="hab" localSheetId="4">#REF!</definedName>
    <definedName name="hab" localSheetId="7">#REF!</definedName>
    <definedName name="hab">#REF!</definedName>
    <definedName name="habac" localSheetId="0">#REF!</definedName>
    <definedName name="habac" localSheetId="9">#REF!</definedName>
    <definedName name="habac" localSheetId="12">#REF!</definedName>
    <definedName name="habac" localSheetId="14">#REF!</definedName>
    <definedName name="habac" localSheetId="15">#REF!</definedName>
    <definedName name="habac" localSheetId="16">#REF!</definedName>
    <definedName name="habac" localSheetId="17">#REF!</definedName>
    <definedName name="habac" localSheetId="1">#REF!</definedName>
    <definedName name="habac" localSheetId="28">#REF!</definedName>
    <definedName name="habac" localSheetId="2">#REF!</definedName>
    <definedName name="habac" localSheetId="29">#REF!</definedName>
    <definedName name="habac" localSheetId="31">#REF!</definedName>
    <definedName name="habac" localSheetId="37">#REF!</definedName>
    <definedName name="habac" localSheetId="3">#REF!</definedName>
    <definedName name="habac" localSheetId="39">#REF!</definedName>
    <definedName name="habac" localSheetId="40">#REF!</definedName>
    <definedName name="habac" localSheetId="41">#REF!</definedName>
    <definedName name="habac" localSheetId="42">#REF!</definedName>
    <definedName name="habac" localSheetId="45">#REF!</definedName>
    <definedName name="habac" localSheetId="4">#REF!</definedName>
    <definedName name="habac" localSheetId="7">#REF!</definedName>
    <definedName name="habac">#REF!</definedName>
    <definedName name="Habac1">'[12]7 THAI NGUYEN'!$A$11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DGTT">#REF!</definedName>
    <definedName name="Heä_soá_laép_xaø_H">1.7</definedName>
    <definedName name="hhg" localSheetId="0">#REF!</definedName>
    <definedName name="hhg" localSheetId="9">#REF!</definedName>
    <definedName name="hhg" localSheetId="12">#REF!</definedName>
    <definedName name="hhg" localSheetId="14">#REF!</definedName>
    <definedName name="hhg" localSheetId="15">#REF!</definedName>
    <definedName name="hhg" localSheetId="16">#REF!</definedName>
    <definedName name="hhg" localSheetId="17">#REF!</definedName>
    <definedName name="hhg" localSheetId="1">#REF!</definedName>
    <definedName name="hhg" localSheetId="28">#REF!</definedName>
    <definedName name="hhg" localSheetId="2">#REF!</definedName>
    <definedName name="hhg" localSheetId="29">#REF!</definedName>
    <definedName name="hhg" localSheetId="31">#REF!</definedName>
    <definedName name="hhg" localSheetId="33">#REF!</definedName>
    <definedName name="hhg" localSheetId="34">#REF!</definedName>
    <definedName name="hhg" localSheetId="35">#REF!</definedName>
    <definedName name="hhg" localSheetId="37">#REF!</definedName>
    <definedName name="hhg" localSheetId="3">#REF!</definedName>
    <definedName name="hhg" localSheetId="39">#REF!</definedName>
    <definedName name="hhg" localSheetId="40">#REF!</definedName>
    <definedName name="hhg" localSheetId="41">#REF!</definedName>
    <definedName name="hhg" localSheetId="42">#REF!</definedName>
    <definedName name="hhg" localSheetId="45">#REF!</definedName>
    <definedName name="hhg" localSheetId="4">#REF!</definedName>
    <definedName name="hhg" localSheetId="7">#REF!</definedName>
    <definedName name="hhg">#REF!</definedName>
    <definedName name="HM">#REF!</definedName>
    <definedName name="Hmong">#REF!</definedName>
    <definedName name="hoa_luu">#REF!</definedName>
    <definedName name="HOME_MANP">#REF!</definedName>
    <definedName name="HOMEOFFICE_COST">#REF!</definedName>
    <definedName name="HOSO_TCTK_2005">#REF!</definedName>
    <definedName name="HS">#REF!</definedName>
    <definedName name="hs_HS">#REF!</definedName>
    <definedName name="HSCT3">0.1</definedName>
    <definedName name="HSDN">2.5</definedName>
    <definedName name="hsnv">#REF!</definedName>
    <definedName name="ht" hidden="1">{"'TDTGT (theo Dphuong)'!$A$4:$F$75"}</definedName>
    <definedName name="HTML" hidden="1">{"'TDTGT (theo Dphuong)'!$A$4:$F$75"}</definedName>
    <definedName name="HTML_CodePage" hidden="1">1252</definedName>
    <definedName name="HTML_Control" localSheetId="0" hidden="1">{"'TDTGT (theo Dphuong)'!$A$4:$F$75"}</definedName>
    <definedName name="HTML_Control" localSheetId="9" hidden="1">{"'TDTGT (theo Dphuong)'!$A$4:$F$75"}</definedName>
    <definedName name="HTML_Control" localSheetId="10" hidden="1">{"'TDTGT (theo Dphuong)'!$A$4:$F$75"}</definedName>
    <definedName name="HTML_Control" localSheetId="12" hidden="1">{"'TDTGT (theo Dphuong)'!$A$4:$F$75"}</definedName>
    <definedName name="HTML_Control" localSheetId="14" hidden="1">{"'TDTGT (theo Dphuong)'!$A$4:$F$75"}</definedName>
    <definedName name="HTML_Control" localSheetId="17" hidden="1">{"'TDTGT (theo Dphuong)'!$A$4:$F$75"}</definedName>
    <definedName name="HTML_Control" localSheetId="1" hidden="1">{"'TDTGT (theo Dphuong)'!$A$4:$F$75"}</definedName>
    <definedName name="HTML_Control" localSheetId="28" hidden="1">{"'TDTGT (theo Dphuong)'!$A$4:$F$75"}</definedName>
    <definedName name="HTML_Control" localSheetId="2" hidden="1">{"'TDTGT (theo Dphuong)'!$A$4:$F$75"}</definedName>
    <definedName name="HTML_Control" localSheetId="29" hidden="1">{"'TDTGT (theo Dphuong)'!$A$4:$F$75"}</definedName>
    <definedName name="HTML_Control" localSheetId="31" hidden="1">{"'TDTGT (theo Dphuong)'!$A$4:$F$75"}</definedName>
    <definedName name="HTML_Control" localSheetId="32" hidden="1">{"'TDTGT (theo Dphuong)'!$A$4:$F$75"}</definedName>
    <definedName name="HTML_Control" localSheetId="33" hidden="1">{"'TDTGT (theo Dphuong)'!$A$4:$F$75"}</definedName>
    <definedName name="HTML_Control" localSheetId="34" hidden="1">{"'TDTGT (theo Dphuong)'!$A$4:$F$75"}</definedName>
    <definedName name="HTML_Control" localSheetId="35" hidden="1">{"'TDTGT (theo Dphuong)'!$A$4:$F$75"}</definedName>
    <definedName name="HTML_Control" localSheetId="3" hidden="1">{"'TDTGT (theo Dphuong)'!$A$4:$F$75"}</definedName>
    <definedName name="HTML_Control" localSheetId="40" hidden="1">{"'TDTGT (theo Dphuong)'!$A$4:$F$75"}</definedName>
    <definedName name="HTML_Control" localSheetId="41" hidden="1">{"'TDTGT (theo Dphuong)'!$A$4:$F$75"}</definedName>
    <definedName name="HTML_Control" localSheetId="42" hidden="1">{"'TDTGT (theo Dphuong)'!$A$4:$F$75"}</definedName>
    <definedName name="HTML_Control" localSheetId="45" hidden="1">{"'TDTGT (theo Dphuong)'!$A$4:$F$75"}</definedName>
    <definedName name="HTML_Control" localSheetId="4" hidden="1">{"'TDTGT (theo Dphuong)'!$A$4:$F$75"}</definedName>
    <definedName name="HTML_Control" localSheetId="7" hidden="1">{"'TDTGT (theo Dphuong)'!$A$4:$F$75"}</definedName>
    <definedName name="HTML_Control" hidden="1">{"'TDTGT (theo Dphuong)'!$A$4:$F$75"}</definedName>
    <definedName name="HTML_Description" hidden="1">""</definedName>
    <definedName name="HTML_Email" hidden="1">"cvhoach@www.gso.gov.vn"</definedName>
    <definedName name="HTML_Header" hidden="1">"TDTGT (theo Dphuong)"</definedName>
    <definedName name="HTML_LastUpdate" hidden="1">"1/21/99"</definedName>
    <definedName name="HTML_LineAfter" hidden="1">TRUE</definedName>
    <definedName name="HTML_LineBefore" hidden="1">TRUE</definedName>
    <definedName name="HTML_Name" hidden="1">"PHONG TRONG TROT"</definedName>
    <definedName name="HTML_OBDlg2" hidden="1">TRUE</definedName>
    <definedName name="HTML_OBDlg4" hidden="1">TRUE</definedName>
    <definedName name="HTML_OS" hidden="1">0</definedName>
    <definedName name="HTML_PathFile" hidden="1">"c:\hoach\thuhTM.htm"</definedName>
    <definedName name="HTML_Title" hidden="1">"Sè liÖuu 90-98 Phßng trång trät"</definedName>
    <definedName name="httk">#REF!</definedName>
    <definedName name="huy" hidden="1">{"'Sheet1'!$L$16"}</definedName>
    <definedName name="HVLDP">#REF!</definedName>
    <definedName name="i" localSheetId="0" hidden="1">{#N/A,#N/A,FALSE,"Chung"}</definedName>
    <definedName name="i" localSheetId="9" hidden="1">{#N/A,#N/A,FALSE,"Chung"}</definedName>
    <definedName name="i" localSheetId="10" hidden="1">{#N/A,#N/A,FALSE,"Chung"}</definedName>
    <definedName name="i" localSheetId="12" hidden="1">{#N/A,#N/A,FALSE,"Chung"}</definedName>
    <definedName name="i" localSheetId="14" hidden="1">{#N/A,#N/A,FALSE,"Chung"}</definedName>
    <definedName name="i" localSheetId="17" hidden="1">{#N/A,#N/A,FALSE,"Chung"}</definedName>
    <definedName name="i" localSheetId="1" hidden="1">{#N/A,#N/A,FALSE,"Chung"}</definedName>
    <definedName name="i" localSheetId="28" hidden="1">{#N/A,#N/A,FALSE,"Chung"}</definedName>
    <definedName name="i" localSheetId="2" hidden="1">{#N/A,#N/A,FALSE,"Chung"}</definedName>
    <definedName name="i" localSheetId="29" hidden="1">{#N/A,#N/A,FALSE,"Chung"}</definedName>
    <definedName name="i" localSheetId="31" hidden="1">{#N/A,#N/A,FALSE,"Chung"}</definedName>
    <definedName name="i" localSheetId="32" hidden="1">{#N/A,#N/A,FALSE,"Chung"}</definedName>
    <definedName name="i" localSheetId="33" hidden="1">{#N/A,#N/A,FALSE,"Chung"}</definedName>
    <definedName name="i" localSheetId="34" hidden="1">{#N/A,#N/A,FALSE,"Chung"}</definedName>
    <definedName name="i" localSheetId="35" hidden="1">{#N/A,#N/A,FALSE,"Chung"}</definedName>
    <definedName name="i" localSheetId="3" hidden="1">{#N/A,#N/A,FALSE,"Chung"}</definedName>
    <definedName name="i" localSheetId="40" hidden="1">{#N/A,#N/A,FALSE,"Chung"}</definedName>
    <definedName name="i" localSheetId="41" hidden="1">{#N/A,#N/A,FALSE,"Chung"}</definedName>
    <definedName name="i" localSheetId="45" hidden="1">{#N/A,#N/A,FALSE,"Chung"}</definedName>
    <definedName name="i" localSheetId="4" hidden="1">{#N/A,#N/A,FALSE,"Chung"}</definedName>
    <definedName name="i" localSheetId="7" hidden="1">{#N/A,#N/A,FALSE,"Chung"}</definedName>
    <definedName name="i" hidden="1">{#N/A,#N/A,FALSE,"Chung"}</definedName>
    <definedName name="IDLAB_COST">#REF!</definedName>
    <definedName name="IN_SITU">#REF!</definedName>
    <definedName name="IND_LAB">#REF!</definedName>
    <definedName name="INDMANP">#REF!</definedName>
    <definedName name="IO" localSheetId="0">'[1]COAT&amp;WRAP-QIOT-#3'!#REF!</definedName>
    <definedName name="IO" localSheetId="9">'[2]COAT&amp;WRAP-QIOT-#3'!#REF!</definedName>
    <definedName name="IO" localSheetId="12">'[3]COAT&amp;WRAP-QIOT-#3'!#REF!</definedName>
    <definedName name="IO" localSheetId="14">'[2]COAT&amp;WRAP-QIOT-#3'!#REF!</definedName>
    <definedName name="IO" localSheetId="15">'[2]COAT&amp;WRAP-QIOT-#3'!#REF!</definedName>
    <definedName name="IO" localSheetId="16">'[2]COAT&amp;WRAP-QIOT-#3'!#REF!</definedName>
    <definedName name="IO" localSheetId="17">'[2]COAT&amp;WRAP-QIOT-#3'!#REF!</definedName>
    <definedName name="IO" localSheetId="1">'[1]COAT&amp;WRAP-QIOT-#3'!#REF!</definedName>
    <definedName name="IO" localSheetId="23">'[2]COAT&amp;WRAP-QIOT-#3'!#REF!</definedName>
    <definedName name="IO" localSheetId="2">'[1]COAT&amp;WRAP-QIOT-#3'!#REF!</definedName>
    <definedName name="IO" localSheetId="29">'[2]COAT&amp;WRAP-QIOT-#3'!#REF!</definedName>
    <definedName name="IO" localSheetId="37">'[1]COAT&amp;WRAP-QIOT-#3'!#REF!</definedName>
    <definedName name="IO" localSheetId="3">'[1]COAT&amp;WRAP-QIOT-#3'!#REF!</definedName>
    <definedName name="IO" localSheetId="39">'[1]COAT&amp;WRAP-QIOT-#3'!#REF!</definedName>
    <definedName name="IO" localSheetId="41">'[1]COAT&amp;WRAP-QIOT-#3'!#REF!</definedName>
    <definedName name="IO" localSheetId="4">'[1]COAT&amp;WRAP-QIOT-#3'!#REF!</definedName>
    <definedName name="IO" localSheetId="7">'[2]COAT&amp;WRAP-QIOT-#3'!#REF!</definedName>
    <definedName name="IO">'[2]COAT&amp;WRAP-QIOT-#3'!#REF!</definedName>
    <definedName name="jflksdjlsfk">#REF!</definedName>
    <definedName name="K">#REF!</definedName>
    <definedName name="khee">#REF!</definedName>
    <definedName name="kiem">#REF!</definedName>
    <definedName name="kjh" localSheetId="0" hidden="1">{#N/A,#N/A,FALSE,"Chung"}</definedName>
    <definedName name="kjh" localSheetId="9" hidden="1">{#N/A,#N/A,FALSE,"Chung"}</definedName>
    <definedName name="kjh" localSheetId="10" hidden="1">{#N/A,#N/A,FALSE,"Chung"}</definedName>
    <definedName name="kjh" localSheetId="12" hidden="1">{#N/A,#N/A,FALSE,"Chung"}</definedName>
    <definedName name="kjh" localSheetId="14" hidden="1">{#N/A,#N/A,FALSE,"Chung"}</definedName>
    <definedName name="kjh" localSheetId="17" hidden="1">{#N/A,#N/A,FALSE,"Chung"}</definedName>
    <definedName name="kjh" localSheetId="1" hidden="1">{#N/A,#N/A,FALSE,"Chung"}</definedName>
    <definedName name="kjh" localSheetId="28" hidden="1">{#N/A,#N/A,FALSE,"Chung"}</definedName>
    <definedName name="kjh" localSheetId="2" hidden="1">{#N/A,#N/A,FALSE,"Chung"}</definedName>
    <definedName name="kjh" localSheetId="29" hidden="1">{#N/A,#N/A,FALSE,"Chung"}</definedName>
    <definedName name="kjh" localSheetId="31" hidden="1">{#N/A,#N/A,FALSE,"Chung"}</definedName>
    <definedName name="kjh" localSheetId="32" hidden="1">{#N/A,#N/A,FALSE,"Chung"}</definedName>
    <definedName name="kjh" localSheetId="33" hidden="1">{#N/A,#N/A,FALSE,"Chung"}</definedName>
    <definedName name="kjh" localSheetId="34" hidden="1">{#N/A,#N/A,FALSE,"Chung"}</definedName>
    <definedName name="kjh" localSheetId="35" hidden="1">{#N/A,#N/A,FALSE,"Chung"}</definedName>
    <definedName name="kjh" localSheetId="3" hidden="1">{#N/A,#N/A,FALSE,"Chung"}</definedName>
    <definedName name="kjh" localSheetId="40" hidden="1">{#N/A,#N/A,FALSE,"Chung"}</definedName>
    <definedName name="kjh" localSheetId="41" hidden="1">{#N/A,#N/A,FALSE,"Chung"}</definedName>
    <definedName name="kjh" localSheetId="45" hidden="1">{#N/A,#N/A,FALSE,"Chung"}</definedName>
    <definedName name="kjh" localSheetId="4" hidden="1">{#N/A,#N/A,FALSE,"Chung"}</definedName>
    <definedName name="kjh" localSheetId="7" hidden="1">{#N/A,#N/A,FALSE,"Chung"}</definedName>
    <definedName name="kjh" hidden="1">{#N/A,#N/A,FALSE,"Chung"}</definedName>
    <definedName name="kjhjfhdjkfndfndf" localSheetId="0">#REF!</definedName>
    <definedName name="kjhjfhdjkfndfndf" localSheetId="9">#REF!</definedName>
    <definedName name="kjhjfhdjkfndfndf" localSheetId="12">#REF!</definedName>
    <definedName name="kjhjfhdjkfndfndf" localSheetId="14">#REF!</definedName>
    <definedName name="kjhjfhdjkfndfndf" localSheetId="15">#REF!</definedName>
    <definedName name="kjhjfhdjkfndfndf" localSheetId="16">#REF!</definedName>
    <definedName name="kjhjfhdjkfndfndf" localSheetId="17">#REF!</definedName>
    <definedName name="kjhjfhdjkfndfndf" localSheetId="1">#REF!</definedName>
    <definedName name="kjhjfhdjkfndfndf" localSheetId="28">#REF!</definedName>
    <definedName name="kjhjfhdjkfndfndf" localSheetId="2">#REF!</definedName>
    <definedName name="kjhjfhdjkfndfndf" localSheetId="29">#REF!</definedName>
    <definedName name="kjhjfhdjkfndfndf" localSheetId="31">#REF!</definedName>
    <definedName name="kjhjfhdjkfndfndf" localSheetId="33">#REF!</definedName>
    <definedName name="kjhjfhdjkfndfndf" localSheetId="34">#REF!</definedName>
    <definedName name="kjhjfhdjkfndfndf" localSheetId="35">#REF!</definedName>
    <definedName name="kjhjfhdjkfndfndf" localSheetId="37">#REF!</definedName>
    <definedName name="kjhjfhdjkfndfndf" localSheetId="3">#REF!</definedName>
    <definedName name="kjhjfhdjkfndfndf" localSheetId="39">#REF!</definedName>
    <definedName name="kjhjfhdjkfndfndf" localSheetId="40">#REF!</definedName>
    <definedName name="kjhjfhdjkfndfndf" localSheetId="41">#REF!</definedName>
    <definedName name="kjhjfhdjkfndfndf" localSheetId="42">#REF!</definedName>
    <definedName name="kjhjfhdjkfndfndf" localSheetId="45">#REF!</definedName>
    <definedName name="kjhjfhdjkfndfndf" localSheetId="4">#REF!</definedName>
    <definedName name="kjhjfhdjkfndfndf" localSheetId="7">#REF!</definedName>
    <definedName name="kjhjfhdjkfndfndf">#REF!</definedName>
    <definedName name="KLVL">#REF!</definedName>
    <definedName name="KLVL1">#REF!</definedName>
    <definedName name="KLVLV">#REF!</definedName>
    <definedName name="KVC">#REF!</definedName>
    <definedName name="l" localSheetId="12" hidden="1">{"'TDTGT (theo Dphuong)'!$A$4:$F$75"}</definedName>
    <definedName name="L">#REF!</definedName>
    <definedName name="lanhto">#REF!</definedName>
    <definedName name="LM">#REF!</definedName>
    <definedName name="LUI">#REF!</definedName>
    <definedName name="lVC">#REF!</definedName>
    <definedName name="m" localSheetId="0" hidden="1">{"'TDTGT (theo Dphuong)'!$A$4:$F$75"}</definedName>
    <definedName name="m" localSheetId="9" hidden="1">{"'TDTGT (theo Dphuong)'!$A$4:$F$75"}</definedName>
    <definedName name="m" localSheetId="10" hidden="1">{"'TDTGT (theo Dphuong)'!$A$4:$F$75"}</definedName>
    <definedName name="m" localSheetId="12" hidden="1">{"'TDTGT (theo Dphuong)'!$A$4:$F$75"}</definedName>
    <definedName name="m" localSheetId="14" hidden="1">{"'TDTGT (theo Dphuong)'!$A$4:$F$75"}</definedName>
    <definedName name="m" localSheetId="17" hidden="1">{"'TDTGT (theo Dphuong)'!$A$4:$F$75"}</definedName>
    <definedName name="m" localSheetId="1" hidden="1">{"'TDTGT (theo Dphuong)'!$A$4:$F$75"}</definedName>
    <definedName name="m" localSheetId="28" hidden="1">{"'TDTGT (theo Dphuong)'!$A$4:$F$75"}</definedName>
    <definedName name="m" localSheetId="2" hidden="1">{"'TDTGT (theo Dphuong)'!$A$4:$F$75"}</definedName>
    <definedName name="m" localSheetId="29" hidden="1">{"'TDTGT (theo Dphuong)'!$A$4:$F$75"}</definedName>
    <definedName name="m" localSheetId="31" hidden="1">{"'TDTGT (theo Dphuong)'!$A$4:$F$75"}</definedName>
    <definedName name="m" localSheetId="32" hidden="1">{"'TDTGT (theo Dphuong)'!$A$4:$F$75"}</definedName>
    <definedName name="m" localSheetId="33" hidden="1">{"'TDTGT (theo Dphuong)'!$A$4:$F$75"}</definedName>
    <definedName name="m" localSheetId="34" hidden="1">{"'TDTGT (theo Dphuong)'!$A$4:$F$75"}</definedName>
    <definedName name="m" localSheetId="35" hidden="1">{"'TDTGT (theo Dphuong)'!$A$4:$F$75"}</definedName>
    <definedName name="m" localSheetId="3" hidden="1">{"'TDTGT (theo Dphuong)'!$A$4:$F$75"}</definedName>
    <definedName name="m" localSheetId="40" hidden="1">{"'TDTGT (theo Dphuong)'!$A$4:$F$75"}</definedName>
    <definedName name="m" localSheetId="41" hidden="1">{"'TDTGT (theo Dphuong)'!$A$4:$F$75"}</definedName>
    <definedName name="m" localSheetId="45" hidden="1">{"'TDTGT (theo Dphuong)'!$A$4:$F$75"}</definedName>
    <definedName name="m" localSheetId="4" hidden="1">{"'TDTGT (theo Dphuong)'!$A$4:$F$75"}</definedName>
    <definedName name="m" localSheetId="7" hidden="1">{"'TDTGT (theo Dphuong)'!$A$4:$F$75"}</definedName>
    <definedName name="m" hidden="1">{"'TDTGT (theo Dphuong)'!$A$4:$F$75"}</definedName>
    <definedName name="Macro2">#REF!</definedName>
    <definedName name="MAHANGXK">#REF!</definedName>
    <definedName name="MAJ_CON_EQP">#REF!</definedName>
    <definedName name="MAT" localSheetId="0">'[1]COAT&amp;WRAP-QIOT-#3'!#REF!</definedName>
    <definedName name="MAT" localSheetId="9">'[2]COAT&amp;WRAP-QIOT-#3'!#REF!</definedName>
    <definedName name="MAT" localSheetId="12">'[3]COAT&amp;WRAP-QIOT-#3'!#REF!</definedName>
    <definedName name="MAT" localSheetId="14">'[2]COAT&amp;WRAP-QIOT-#3'!#REF!</definedName>
    <definedName name="MAT" localSheetId="15">'[2]COAT&amp;WRAP-QIOT-#3'!#REF!</definedName>
    <definedName name="MAT" localSheetId="16">'[2]COAT&amp;WRAP-QIOT-#3'!#REF!</definedName>
    <definedName name="MAT" localSheetId="17">'[2]COAT&amp;WRAP-QIOT-#3'!#REF!</definedName>
    <definedName name="MAT" localSheetId="1">'[1]COAT&amp;WRAP-QIOT-#3'!#REF!</definedName>
    <definedName name="MAT" localSheetId="23">'[2]COAT&amp;WRAP-QIOT-#3'!#REF!</definedName>
    <definedName name="MAT" localSheetId="2">'[1]COAT&amp;WRAP-QIOT-#3'!#REF!</definedName>
    <definedName name="MAT" localSheetId="29">'[2]COAT&amp;WRAP-QIOT-#3'!#REF!</definedName>
    <definedName name="MAT" localSheetId="37">'[1]COAT&amp;WRAP-QIOT-#3'!#REF!</definedName>
    <definedName name="MAT" localSheetId="3">'[1]COAT&amp;WRAP-QIOT-#3'!#REF!</definedName>
    <definedName name="MAT" localSheetId="39">'[1]COAT&amp;WRAP-QIOT-#3'!#REF!</definedName>
    <definedName name="MAT" localSheetId="41">'[1]COAT&amp;WRAP-QIOT-#3'!#REF!</definedName>
    <definedName name="MAT" localSheetId="4">'[1]COAT&amp;WRAP-QIOT-#3'!#REF!</definedName>
    <definedName name="MAT" localSheetId="7">'[2]COAT&amp;WRAP-QIOT-#3'!#REF!</definedName>
    <definedName name="MAT">'[2]COAT&amp;WRAP-QIOT-#3'!#REF!</definedName>
    <definedName name="MAVL">#REF!</definedName>
    <definedName name="MAVLV">#REF!</definedName>
    <definedName name="MAVT">#REF!</definedName>
    <definedName name="mc" localSheetId="0">#REF!</definedName>
    <definedName name="mc" localSheetId="9">#REF!</definedName>
    <definedName name="mc" localSheetId="12">#REF!</definedName>
    <definedName name="mc" localSheetId="14">#REF!</definedName>
    <definedName name="mc" localSheetId="15">#REF!</definedName>
    <definedName name="mc" localSheetId="16">#REF!</definedName>
    <definedName name="mc" localSheetId="17">#REF!</definedName>
    <definedName name="mc" localSheetId="1">#REF!</definedName>
    <definedName name="mc" localSheetId="28">#REF!</definedName>
    <definedName name="mc" localSheetId="2">#REF!</definedName>
    <definedName name="mc" localSheetId="29">#REF!</definedName>
    <definedName name="mc" localSheetId="31">#REF!</definedName>
    <definedName name="mc" localSheetId="33">#REF!</definedName>
    <definedName name="mc" localSheetId="34">#REF!</definedName>
    <definedName name="mc" localSheetId="35">#REF!</definedName>
    <definedName name="mc" localSheetId="37">#REF!</definedName>
    <definedName name="mc" localSheetId="3">#REF!</definedName>
    <definedName name="mc" localSheetId="39">#REF!</definedName>
    <definedName name="mc" localSheetId="40">#REF!</definedName>
    <definedName name="mc" localSheetId="41">#REF!</definedName>
    <definedName name="mc" localSheetId="42">#REF!</definedName>
    <definedName name="mc" localSheetId="45">#REF!</definedName>
    <definedName name="mc" localSheetId="4">#REF!</definedName>
    <definedName name="mc" localSheetId="7">#REF!</definedName>
    <definedName name="mc">#REF!</definedName>
    <definedName name="MF" localSheetId="0">'[1]COAT&amp;WRAP-QIOT-#3'!#REF!</definedName>
    <definedName name="MF" localSheetId="9">'[2]COAT&amp;WRAP-QIOT-#3'!#REF!</definedName>
    <definedName name="MF" localSheetId="12">'[3]COAT&amp;WRAP-QIOT-#3'!#REF!</definedName>
    <definedName name="MF" localSheetId="14">'[2]COAT&amp;WRAP-QIOT-#3'!#REF!</definedName>
    <definedName name="MF" localSheetId="15">'[2]COAT&amp;WRAP-QIOT-#3'!#REF!</definedName>
    <definedName name="MF" localSheetId="16">'[2]COAT&amp;WRAP-QIOT-#3'!#REF!</definedName>
    <definedName name="MF" localSheetId="17">'[2]COAT&amp;WRAP-QIOT-#3'!#REF!</definedName>
    <definedName name="MF" localSheetId="1">'[1]COAT&amp;WRAP-QIOT-#3'!#REF!</definedName>
    <definedName name="MF" localSheetId="23">'[2]COAT&amp;WRAP-QIOT-#3'!#REF!</definedName>
    <definedName name="MF" localSheetId="2">'[1]COAT&amp;WRAP-QIOT-#3'!#REF!</definedName>
    <definedName name="MF" localSheetId="29">'[2]COAT&amp;WRAP-QIOT-#3'!#REF!</definedName>
    <definedName name="MF" localSheetId="37">'[1]COAT&amp;WRAP-QIOT-#3'!#REF!</definedName>
    <definedName name="MF" localSheetId="3">'[1]COAT&amp;WRAP-QIOT-#3'!#REF!</definedName>
    <definedName name="MF" localSheetId="39">'[1]COAT&amp;WRAP-QIOT-#3'!#REF!</definedName>
    <definedName name="MF" localSheetId="41">'[1]COAT&amp;WRAP-QIOT-#3'!#REF!</definedName>
    <definedName name="MF" localSheetId="45">'[2]COAT&amp;WRAP-QIOT-#3'!#REF!</definedName>
    <definedName name="MF" localSheetId="4">'[1]COAT&amp;WRAP-QIOT-#3'!#REF!</definedName>
    <definedName name="MF" localSheetId="7">'[2]COAT&amp;WRAP-QIOT-#3'!#REF!</definedName>
    <definedName name="MF">'[2]COAT&amp;WRAP-QIOT-#3'!#REF!</definedName>
    <definedName name="MG_A">#REF!</definedName>
    <definedName name="mhh">#REF!</definedName>
    <definedName name="mnh" localSheetId="0">'[13]2.74'!#REF!</definedName>
    <definedName name="mnh" localSheetId="9">'[13]2.74'!#REF!</definedName>
    <definedName name="mnh" localSheetId="12">'[14]2.74'!#REF!</definedName>
    <definedName name="mnh" localSheetId="14">'[15]2.74'!#REF!</definedName>
    <definedName name="mnh" localSheetId="15">'[15]2.74'!#REF!</definedName>
    <definedName name="mnh" localSheetId="16">'[15]2.74'!#REF!</definedName>
    <definedName name="mnh" localSheetId="17">'[15]2.74'!#REF!</definedName>
    <definedName name="mnh" localSheetId="1">'[13]2.74'!#REF!</definedName>
    <definedName name="mnh" localSheetId="23">'[13]2.74'!#REF!</definedName>
    <definedName name="mnh" localSheetId="2">'[13]2.74'!#REF!</definedName>
    <definedName name="mnh" localSheetId="29">'[13]2.74'!#REF!</definedName>
    <definedName name="mnh" localSheetId="37">'[13]2.74'!#REF!</definedName>
    <definedName name="mnh" localSheetId="3">'[13]2.74'!#REF!</definedName>
    <definedName name="mnh" localSheetId="39">'[13]2.74'!#REF!</definedName>
    <definedName name="mnh" localSheetId="41">'[13]2.74'!#REF!</definedName>
    <definedName name="mnh" localSheetId="4">'[13]2.74'!#REF!</definedName>
    <definedName name="mnh" localSheetId="7">'[13]2.74'!#REF!</definedName>
    <definedName name="mnh">'[13]2.74'!#REF!</definedName>
    <definedName name="Mong">#REF!</definedName>
    <definedName name="mongbang">#REF!</definedName>
    <definedName name="mongdon">#REF!</definedName>
    <definedName name="MRday">#REF!</definedName>
    <definedName name="mvt">#REF!</definedName>
    <definedName name="n" localSheetId="0">'[13]2.74'!#REF!</definedName>
    <definedName name="n" localSheetId="9">'[13]2.74'!#REF!</definedName>
    <definedName name="n" localSheetId="12">'[14]2.74'!#REF!</definedName>
    <definedName name="n" localSheetId="15">'[15]2.74'!#REF!</definedName>
    <definedName name="n" localSheetId="16">'[15]2.74'!#REF!</definedName>
    <definedName name="n" localSheetId="17">'[15]2.74'!#REF!</definedName>
    <definedName name="n" localSheetId="1">'[13]2.74'!#REF!</definedName>
    <definedName name="n" localSheetId="23">'[13]2.74'!#REF!</definedName>
    <definedName name="n" localSheetId="2">'[13]2.74'!#REF!</definedName>
    <definedName name="n" localSheetId="29">'[13]2.74'!#REF!</definedName>
    <definedName name="n" localSheetId="37">'[13]2.74'!#REF!</definedName>
    <definedName name="n" localSheetId="3">'[13]2.74'!#REF!</definedName>
    <definedName name="n" localSheetId="39">'[13]2.74'!#REF!</definedName>
    <definedName name="n" localSheetId="41">'[13]2.74'!#REF!</definedName>
    <definedName name="n" localSheetId="4">'[13]2.74'!#REF!</definedName>
    <definedName name="n" localSheetId="7">'[13]2.74'!#REF!</definedName>
    <definedName name="n">'[13]2.74'!#REF!</definedName>
    <definedName name="Năm">[16]Năm!$H$2:$H$27</definedName>
    <definedName name="nc">#REF!</definedName>
    <definedName name="NCcap0.7">#REF!</definedName>
    <definedName name="NCcap1">#REF!</definedName>
    <definedName name="nct_DL">#REF!</definedName>
    <definedName name="nctleft_DL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han" localSheetId="0">#REF!</definedName>
    <definedName name="nhan" localSheetId="9">#REF!</definedName>
    <definedName name="nhan" localSheetId="12">#REF!</definedName>
    <definedName name="nhan" localSheetId="14">#REF!</definedName>
    <definedName name="nhan" localSheetId="15">#REF!</definedName>
    <definedName name="nhan" localSheetId="16">#REF!</definedName>
    <definedName name="nhan" localSheetId="17">#REF!</definedName>
    <definedName name="nhan" localSheetId="1">#REF!</definedName>
    <definedName name="nhan" localSheetId="28">#REF!</definedName>
    <definedName name="nhan" localSheetId="2">#REF!</definedName>
    <definedName name="nhan" localSheetId="29">#REF!</definedName>
    <definedName name="nhan" localSheetId="31">#REF!</definedName>
    <definedName name="nhan" localSheetId="33">#REF!</definedName>
    <definedName name="nhan" localSheetId="34">#REF!</definedName>
    <definedName name="nhan" localSheetId="37">#REF!</definedName>
    <definedName name="nhan" localSheetId="3">#REF!</definedName>
    <definedName name="nhan" localSheetId="39">#REF!</definedName>
    <definedName name="nhan" localSheetId="40">#REF!</definedName>
    <definedName name="nhan" localSheetId="41">#REF!</definedName>
    <definedName name="nhan" localSheetId="42">#REF!</definedName>
    <definedName name="nhan" localSheetId="45">#REF!</definedName>
    <definedName name="nhan" localSheetId="4">#REF!</definedName>
    <definedName name="nhan" localSheetId="7">#REF!</definedName>
    <definedName name="nhan">#REF!</definedName>
    <definedName name="Nhan_xet_cua_dai">"Picture 1"</definedName>
    <definedName name="No">#REF!</definedName>
    <definedName name="No_dau_ky">#REF!</definedName>
    <definedName name="nuoc" localSheetId="0">#REF!</definedName>
    <definedName name="nuoc" localSheetId="9">#REF!</definedName>
    <definedName name="nuoc" localSheetId="12">#REF!</definedName>
    <definedName name="nuoc" localSheetId="14">#REF!</definedName>
    <definedName name="nuoc" localSheetId="15">#REF!</definedName>
    <definedName name="nuoc" localSheetId="16">#REF!</definedName>
    <definedName name="nuoc" localSheetId="17">#REF!</definedName>
    <definedName name="nuoc" localSheetId="1">#REF!</definedName>
    <definedName name="nuoc" localSheetId="28">#REF!</definedName>
    <definedName name="nuoc" localSheetId="2">#REF!</definedName>
    <definedName name="nuoc" localSheetId="29">#REF!</definedName>
    <definedName name="nuoc" localSheetId="31">#REF!</definedName>
    <definedName name="nuoc" localSheetId="33">#REF!</definedName>
    <definedName name="nuoc" localSheetId="34">#REF!</definedName>
    <definedName name="nuoc" localSheetId="35">#REF!</definedName>
    <definedName name="nuoc" localSheetId="37">#REF!</definedName>
    <definedName name="nuoc" localSheetId="3">#REF!</definedName>
    <definedName name="nuoc" localSheetId="39">#REF!</definedName>
    <definedName name="nuoc" localSheetId="40">#REF!</definedName>
    <definedName name="nuoc" localSheetId="41">#REF!</definedName>
    <definedName name="nuoc" localSheetId="45">#REF!</definedName>
    <definedName name="nuoc" localSheetId="4">#REF!</definedName>
    <definedName name="nuoc" localSheetId="7">#REF!</definedName>
    <definedName name="nuoc">#REF!</definedName>
    <definedName name="oanh" localSheetId="0" hidden="1">{#N/A,#N/A,FALSE,"Chung"}</definedName>
    <definedName name="oanh" localSheetId="9" hidden="1">{#N/A,#N/A,FALSE,"Chung"}</definedName>
    <definedName name="oanh" localSheetId="10" hidden="1">{#N/A,#N/A,FALSE,"Chung"}</definedName>
    <definedName name="oanh" localSheetId="12" hidden="1">{#N/A,#N/A,FALSE,"Chung"}</definedName>
    <definedName name="oanh" localSheetId="14" hidden="1">{#N/A,#N/A,FALSE,"Chung"}</definedName>
    <definedName name="oanh" localSheetId="17" hidden="1">{#N/A,#N/A,FALSE,"Chung"}</definedName>
    <definedName name="oanh" localSheetId="1" hidden="1">{#N/A,#N/A,FALSE,"Chung"}</definedName>
    <definedName name="oanh" localSheetId="28" hidden="1">{#N/A,#N/A,FALSE,"Chung"}</definedName>
    <definedName name="oanh" localSheetId="2" hidden="1">{#N/A,#N/A,FALSE,"Chung"}</definedName>
    <definedName name="oanh" localSheetId="29" hidden="1">{#N/A,#N/A,FALSE,"Chung"}</definedName>
    <definedName name="oanh" localSheetId="31" hidden="1">{#N/A,#N/A,FALSE,"Chung"}</definedName>
    <definedName name="oanh" localSheetId="32" hidden="1">{#N/A,#N/A,FALSE,"Chung"}</definedName>
    <definedName name="oanh" localSheetId="33" hidden="1">{#N/A,#N/A,FALSE,"Chung"}</definedName>
    <definedName name="oanh" localSheetId="34" hidden="1">{#N/A,#N/A,FALSE,"Chung"}</definedName>
    <definedName name="oanh" localSheetId="35" hidden="1">{#N/A,#N/A,FALSE,"Chung"}</definedName>
    <definedName name="oanh" localSheetId="3" hidden="1">{#N/A,#N/A,FALSE,"Chung"}</definedName>
    <definedName name="oanh" localSheetId="40" hidden="1">{#N/A,#N/A,FALSE,"Chung"}</definedName>
    <definedName name="oanh" localSheetId="41" hidden="1">{#N/A,#N/A,FALSE,"Chung"}</definedName>
    <definedName name="oanh" localSheetId="42" hidden="1">{#N/A,#N/A,FALSE,"Chung"}</definedName>
    <definedName name="oanh" localSheetId="45" hidden="1">{#N/A,#N/A,FALSE,"Chung"}</definedName>
    <definedName name="oanh" localSheetId="4" hidden="1">{#N/A,#N/A,FALSE,"Chung"}</definedName>
    <definedName name="oanh" localSheetId="7" hidden="1">{#N/A,#N/A,FALSE,"Chung"}</definedName>
    <definedName name="oanh" hidden="1">{#N/A,#N/A,FALSE,"Chung"}</definedName>
    <definedName name="OFF">#REF!</definedName>
    <definedName name="ổi">#REF!</definedName>
    <definedName name="P" localSheetId="0">'[1]PNT-QUOT-#3'!#REF!</definedName>
    <definedName name="P" localSheetId="9">'[2]PNT-QUOT-#3'!#REF!</definedName>
    <definedName name="P" localSheetId="12">'[3]PNT-QUOT-#3'!#REF!</definedName>
    <definedName name="P" localSheetId="14">'[2]PNT-QUOT-#3'!#REF!</definedName>
    <definedName name="P" localSheetId="15">'[2]PNT-QUOT-#3'!#REF!</definedName>
    <definedName name="P" localSheetId="16">'[2]PNT-QUOT-#3'!#REF!</definedName>
    <definedName name="P" localSheetId="17">'[2]PNT-QUOT-#3'!#REF!</definedName>
    <definedName name="P" localSheetId="1">'[1]PNT-QUOT-#3'!#REF!</definedName>
    <definedName name="P" localSheetId="23">'[2]PNT-QUOT-#3'!#REF!</definedName>
    <definedName name="P" localSheetId="2">'[1]PNT-QUOT-#3'!#REF!</definedName>
    <definedName name="P" localSheetId="29">'[2]PNT-QUOT-#3'!#REF!</definedName>
    <definedName name="P" localSheetId="37">'[1]PNT-QUOT-#3'!#REF!</definedName>
    <definedName name="P" localSheetId="3">'[1]PNT-QUOT-#3'!#REF!</definedName>
    <definedName name="P" localSheetId="39">'[1]PNT-QUOT-#3'!#REF!</definedName>
    <definedName name="P" localSheetId="41">'[1]PNT-QUOT-#3'!#REF!</definedName>
    <definedName name="P" localSheetId="4">'[1]PNT-QUOT-#3'!#REF!</definedName>
    <definedName name="P" localSheetId="7">'[2]PNT-QUOT-#3'!#REF!</definedName>
    <definedName name="P">'[2]PNT-QUOT-#3'!#REF!</definedName>
    <definedName name="PA">#REF!</definedName>
    <definedName name="panen">#REF!</definedName>
    <definedName name="PAYMENT">#REF!</definedName>
    <definedName name="PEJM" localSheetId="0">'[1]COAT&amp;WRAP-QIOT-#3'!#REF!</definedName>
    <definedName name="PEJM" localSheetId="9">'[2]COAT&amp;WRAP-QIOT-#3'!#REF!</definedName>
    <definedName name="PEJM" localSheetId="12">'[3]COAT&amp;WRAP-QIOT-#3'!#REF!</definedName>
    <definedName name="PEJM" localSheetId="14">'[2]COAT&amp;WRAP-QIOT-#3'!#REF!</definedName>
    <definedName name="PEJM" localSheetId="15">'[2]COAT&amp;WRAP-QIOT-#3'!#REF!</definedName>
    <definedName name="PEJM" localSheetId="16">'[2]COAT&amp;WRAP-QIOT-#3'!#REF!</definedName>
    <definedName name="PEJM" localSheetId="17">'[2]COAT&amp;WRAP-QIOT-#3'!#REF!</definedName>
    <definedName name="PEJM" localSheetId="1">'[1]COAT&amp;WRAP-QIOT-#3'!#REF!</definedName>
    <definedName name="PEJM" localSheetId="23">'[2]COAT&amp;WRAP-QIOT-#3'!#REF!</definedName>
    <definedName name="PEJM" localSheetId="2">'[1]COAT&amp;WRAP-QIOT-#3'!#REF!</definedName>
    <definedName name="PEJM" localSheetId="29">'[2]COAT&amp;WRAP-QIOT-#3'!#REF!</definedName>
    <definedName name="PEJM" localSheetId="37">'[1]COAT&amp;WRAP-QIOT-#3'!#REF!</definedName>
    <definedName name="PEJM" localSheetId="3">'[1]COAT&amp;WRAP-QIOT-#3'!#REF!</definedName>
    <definedName name="PEJM" localSheetId="39">'[1]COAT&amp;WRAP-QIOT-#3'!#REF!</definedName>
    <definedName name="PEJM" localSheetId="41">'[1]COAT&amp;WRAP-QIOT-#3'!#REF!</definedName>
    <definedName name="PEJM" localSheetId="4">'[1]COAT&amp;WRAP-QIOT-#3'!#REF!</definedName>
    <definedName name="PEJM" localSheetId="7">'[2]COAT&amp;WRAP-QIOT-#3'!#REF!</definedName>
    <definedName name="PEJM">'[2]COAT&amp;WRAP-QIOT-#3'!#REF!</definedName>
    <definedName name="PF" localSheetId="0">'[1]PNT-QUOT-#3'!#REF!</definedName>
    <definedName name="PF" localSheetId="9">'[2]PNT-QUOT-#3'!#REF!</definedName>
    <definedName name="PF" localSheetId="12">'[3]PNT-QUOT-#3'!#REF!</definedName>
    <definedName name="PF" localSheetId="14">'[2]PNT-QUOT-#3'!#REF!</definedName>
    <definedName name="PF" localSheetId="15">'[2]PNT-QUOT-#3'!#REF!</definedName>
    <definedName name="PF" localSheetId="16">'[2]PNT-QUOT-#3'!#REF!</definedName>
    <definedName name="PF" localSheetId="17">'[2]PNT-QUOT-#3'!#REF!</definedName>
    <definedName name="PF" localSheetId="1">'[1]PNT-QUOT-#3'!#REF!</definedName>
    <definedName name="PF" localSheetId="23">'[2]PNT-QUOT-#3'!#REF!</definedName>
    <definedName name="PF" localSheetId="2">'[1]PNT-QUOT-#3'!#REF!</definedName>
    <definedName name="PF" localSheetId="29">'[2]PNT-QUOT-#3'!#REF!</definedName>
    <definedName name="PF" localSheetId="37">'[1]PNT-QUOT-#3'!#REF!</definedName>
    <definedName name="PF" localSheetId="3">'[1]PNT-QUOT-#3'!#REF!</definedName>
    <definedName name="PF" localSheetId="39">'[1]PNT-QUOT-#3'!#REF!</definedName>
    <definedName name="PF" localSheetId="41">'[1]PNT-QUOT-#3'!#REF!</definedName>
    <definedName name="PF" localSheetId="4">'[1]PNT-QUOT-#3'!#REF!</definedName>
    <definedName name="PF" localSheetId="7">'[2]PNT-QUOT-#3'!#REF!</definedName>
    <definedName name="PF">'[2]PNT-QUOT-#3'!#REF!</definedName>
    <definedName name="PH">#REF!</definedName>
    <definedName name="PILE">#REF!</definedName>
    <definedName name="PILE_LENG">#REF!</definedName>
    <definedName name="PILE_TYPE">#REF!</definedName>
    <definedName name="pj" localSheetId="12" hidden="1">{"'TDTGT (theo Dphuong)'!$A$4:$F$75"}</definedName>
    <definedName name="pj" hidden="1">{"'TDTGT (theo Dphuong)'!$A$4:$F$75"}</definedName>
    <definedName name="PM" localSheetId="0">[17]IBASE!$AH$16:$AV$110</definedName>
    <definedName name="PM" localSheetId="12">[18]IBASE!$AH$16:$AV$110</definedName>
    <definedName name="PM" localSheetId="14">[19]IBASE!$AH$16:$AV$110</definedName>
    <definedName name="PM" localSheetId="17">[19]IBASE!$AH$16:$AV$110</definedName>
    <definedName name="PM" localSheetId="1">[17]IBASE!$AH$16:$AV$110</definedName>
    <definedName name="PM" localSheetId="2">[17]IBASE!$AH$16:$AV$110</definedName>
    <definedName name="PM" localSheetId="3">[19]IBASE!$AH$16:$AV$110</definedName>
    <definedName name="PM" localSheetId="4">[19]IBASE!$AH$16:$AV$110</definedName>
    <definedName name="PM">[19]IBASE!$AH$16:$AV$110</definedName>
    <definedName name="PRICE">#REF!</definedName>
    <definedName name="PRICE1">#REF!</definedName>
    <definedName name="_xlnm.Print_Area">#REF!</definedName>
    <definedName name="Print_Area_MI" localSheetId="0">[20]ESTI.!$A$1:$U$52</definedName>
    <definedName name="Print_Area_MI" localSheetId="12">[21]ESTI.!$A$1:$U$52</definedName>
    <definedName name="Print_Area_MI" localSheetId="14">[22]ESTI.!$A$1:$U$52</definedName>
    <definedName name="Print_Area_MI" localSheetId="17">[22]ESTI.!$A$1:$U$52</definedName>
    <definedName name="Print_Area_MI" localSheetId="1">[20]ESTI.!$A$1:$U$52</definedName>
    <definedName name="Print_Area_MI" localSheetId="2">[23]ESTI.!$A$1:$U$52</definedName>
    <definedName name="Print_Area_MI" localSheetId="3">[22]ESTI.!$A$1:$U$52</definedName>
    <definedName name="Print_Area_MI" localSheetId="4">[22]ESTI.!$A$1:$U$52</definedName>
    <definedName name="Print_Area_MI">[22]ESTI.!$A$1:$U$52</definedName>
    <definedName name="_xlnm.Print_Titles" localSheetId="9">'[24]TiÕn ®é thùc hiÖn KC'!#REF!</definedName>
    <definedName name="_xlnm.Print_Titles" localSheetId="15">'[24]TiÕn ®é thùc hiÖn KC'!#REF!</definedName>
    <definedName name="_xlnm.Print_Titles" localSheetId="16">'[24]TiÕn ®é thùc hiÖn KC'!#REF!</definedName>
    <definedName name="_xlnm.Print_Titles" localSheetId="17">'[24]TiÕn ®é thùc hiÖn KC'!#REF!</definedName>
    <definedName name="_xlnm.Print_Titles" localSheetId="1">'[24]TiÕn ®é thùc hiÖn KC'!#REF!</definedName>
    <definedName name="_xlnm.Print_Titles" localSheetId="28">'[24]TiÕn ®é thùc hiÖn KC'!#REF!</definedName>
    <definedName name="_xlnm.Print_Titles" localSheetId="37">'[24]TiÕn ®é thùc hiÖn KC'!#REF!</definedName>
    <definedName name="_xlnm.Print_Titles" localSheetId="3">'[24]TiÕn ®é thùc hiÖn KC'!#REF!</definedName>
    <definedName name="_xlnm.Print_Titles" localSheetId="39">'[24]TiÕn ®é thùc hiÖn KC'!#REF!</definedName>
    <definedName name="_xlnm.Print_Titles" localSheetId="41">'[24]TiÕn ®é thùc hiÖn KC'!#REF!</definedName>
    <definedName name="_xlnm.Print_Titles" localSheetId="45">'[24]TiÕn ®é thùc hiÖn KC'!#REF!</definedName>
    <definedName name="_xlnm.Print_Titles" localSheetId="7">'[24]TiÕn ®é thùc hiÖn KC'!#REF!</definedName>
    <definedName name="_xlnm.Print_Titles">'[24]TiÕn ®é thùc hiÖn KC'!#REF!</definedName>
    <definedName name="PRINT_TITLES_MI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POSAL">#REF!</definedName>
    <definedName name="pt" localSheetId="0">#REF!</definedName>
    <definedName name="pt" localSheetId="9">#REF!</definedName>
    <definedName name="pt" localSheetId="12">#REF!</definedName>
    <definedName name="pt" localSheetId="14">#REF!</definedName>
    <definedName name="pt" localSheetId="15">#REF!</definedName>
    <definedName name="pt" localSheetId="16">#REF!</definedName>
    <definedName name="pt" localSheetId="17">#REF!</definedName>
    <definedName name="pt" localSheetId="1">#REF!</definedName>
    <definedName name="pt" localSheetId="28">#REF!</definedName>
    <definedName name="pt" localSheetId="2">#REF!</definedName>
    <definedName name="pt" localSheetId="29">#REF!</definedName>
    <definedName name="pt" localSheetId="31">#REF!</definedName>
    <definedName name="pt" localSheetId="33">#REF!</definedName>
    <definedName name="pt" localSheetId="34">#REF!</definedName>
    <definedName name="pt" localSheetId="35">#REF!</definedName>
    <definedName name="pt" localSheetId="37">#REF!</definedName>
    <definedName name="pt" localSheetId="3">#REF!</definedName>
    <definedName name="pt" localSheetId="39">#REF!</definedName>
    <definedName name="pt" localSheetId="40">#REF!</definedName>
    <definedName name="pt" localSheetId="41">#REF!</definedName>
    <definedName name="pt" localSheetId="45">#REF!</definedName>
    <definedName name="pt" localSheetId="4">#REF!</definedName>
    <definedName name="pt" localSheetId="7">#REF!</definedName>
    <definedName name="pt">#REF!</definedName>
    <definedName name="PtichDTL">#N/A</definedName>
    <definedName name="ptr" localSheetId="0">#REF!</definedName>
    <definedName name="ptr" localSheetId="9">#REF!</definedName>
    <definedName name="ptr" localSheetId="12">#REF!</definedName>
    <definedName name="ptr" localSheetId="14">#REF!</definedName>
    <definedName name="ptr" localSheetId="15">#REF!</definedName>
    <definedName name="ptr" localSheetId="16">#REF!</definedName>
    <definedName name="ptr" localSheetId="17">#REF!</definedName>
    <definedName name="ptr" localSheetId="1">#REF!</definedName>
    <definedName name="ptr" localSheetId="28">#REF!</definedName>
    <definedName name="ptr" localSheetId="2">#REF!</definedName>
    <definedName name="ptr" localSheetId="29">#REF!</definedName>
    <definedName name="ptr" localSheetId="31">#REF!</definedName>
    <definedName name="ptr" localSheetId="37">#REF!</definedName>
    <definedName name="ptr" localSheetId="3">#REF!</definedName>
    <definedName name="ptr" localSheetId="39">#REF!</definedName>
    <definedName name="ptr" localSheetId="40">#REF!</definedName>
    <definedName name="ptr" localSheetId="41">#REF!</definedName>
    <definedName name="ptr" localSheetId="45">#REF!</definedName>
    <definedName name="ptr" localSheetId="4">#REF!</definedName>
    <definedName name="ptr" localSheetId="7">#REF!</definedName>
    <definedName name="ptr">#REF!</definedName>
    <definedName name="ptvt">'[25]ma-pt'!$A$6:$IV$228</definedName>
    <definedName name="PTVT_B">#REF!</definedName>
    <definedName name="QL18CLBC">#REF!</definedName>
    <definedName name="QL18conlai">#REF!</definedName>
    <definedName name="qưeqwrqw" localSheetId="0" hidden="1">{#N/A,#N/A,FALSE,"Chung"}</definedName>
    <definedName name="qưeqwrqw" localSheetId="9" hidden="1">{#N/A,#N/A,FALSE,"Chung"}</definedName>
    <definedName name="qưeqwrqw" localSheetId="10" hidden="1">{#N/A,#N/A,FALSE,"Chung"}</definedName>
    <definedName name="qưeqwrqw" localSheetId="12" hidden="1">{#N/A,#N/A,FALSE,"Chung"}</definedName>
    <definedName name="qưeqwrqw" localSheetId="14" hidden="1">{#N/A,#N/A,FALSE,"Chung"}</definedName>
    <definedName name="qưeqwrqw" localSheetId="17" hidden="1">{#N/A,#N/A,FALSE,"Chung"}</definedName>
    <definedName name="qưeqwrqw" localSheetId="1" hidden="1">{#N/A,#N/A,FALSE,"Chung"}</definedName>
    <definedName name="qưeqwrqw" localSheetId="28" hidden="1">{#N/A,#N/A,FALSE,"Chung"}</definedName>
    <definedName name="qưeqwrqw" localSheetId="2" hidden="1">{#N/A,#N/A,FALSE,"Chung"}</definedName>
    <definedName name="qưeqwrqw" localSheetId="29" hidden="1">{#N/A,#N/A,FALSE,"Chung"}</definedName>
    <definedName name="qưeqwrqw" localSheetId="31" hidden="1">{#N/A,#N/A,FALSE,"Chung"}</definedName>
    <definedName name="qưeqwrqw" localSheetId="32" hidden="1">{#N/A,#N/A,FALSE,"Chung"}</definedName>
    <definedName name="qưeqwrqw" localSheetId="33" hidden="1">{#N/A,#N/A,FALSE,"Chung"}</definedName>
    <definedName name="qưeqwrqw" localSheetId="34" hidden="1">{#N/A,#N/A,FALSE,"Chung"}</definedName>
    <definedName name="qưeqwrqw" localSheetId="35" hidden="1">{#N/A,#N/A,FALSE,"Chung"}</definedName>
    <definedName name="qưeqwrqw" localSheetId="3" hidden="1">{#N/A,#N/A,FALSE,"Chung"}</definedName>
    <definedName name="qưeqwrqw" localSheetId="40" hidden="1">{#N/A,#N/A,FALSE,"Chung"}</definedName>
    <definedName name="qưeqwrqw" localSheetId="41" hidden="1">{#N/A,#N/A,FALSE,"Chung"}</definedName>
    <definedName name="qưeqwrqw" localSheetId="45" hidden="1">{#N/A,#N/A,FALSE,"Chung"}</definedName>
    <definedName name="qưeqwrqw" localSheetId="4" hidden="1">{#N/A,#N/A,FALSE,"Chung"}</definedName>
    <definedName name="qưeqwrqw" localSheetId="7" hidden="1">{#N/A,#N/A,FALSE,"Chung"}</definedName>
    <definedName name="qưeqwrqw" hidden="1">{#N/A,#N/A,FALSE,"Chung"}</definedName>
    <definedName name="Ra">2100</definedName>
    <definedName name="_xlnm.Recorder">#REF!</definedName>
    <definedName name="RECOUT">#N/A</definedName>
    <definedName name="RETENTION">#REF!</definedName>
    <definedName name="RFnOTHER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k">7.5</definedName>
    <definedName name="Rn">90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T" localSheetId="0">'[1]COAT&amp;WRAP-QIOT-#3'!#REF!</definedName>
    <definedName name="RT" localSheetId="9">'[2]COAT&amp;WRAP-QIOT-#3'!#REF!</definedName>
    <definedName name="RT" localSheetId="12">'[3]COAT&amp;WRAP-QIOT-#3'!#REF!</definedName>
    <definedName name="RT" localSheetId="14">'[2]COAT&amp;WRAP-QIOT-#3'!#REF!</definedName>
    <definedName name="RT" localSheetId="15">'[2]COAT&amp;WRAP-QIOT-#3'!#REF!</definedName>
    <definedName name="RT" localSheetId="16">'[2]COAT&amp;WRAP-QIOT-#3'!#REF!</definedName>
    <definedName name="RT" localSheetId="17">'[2]COAT&amp;WRAP-QIOT-#3'!#REF!</definedName>
    <definedName name="RT" localSheetId="1">'[1]COAT&amp;WRAP-QIOT-#3'!#REF!</definedName>
    <definedName name="RT" localSheetId="23">'[2]COAT&amp;WRAP-QIOT-#3'!#REF!</definedName>
    <definedName name="RT" localSheetId="2">'[1]COAT&amp;WRAP-QIOT-#3'!#REF!</definedName>
    <definedName name="RT" localSheetId="29">'[2]COAT&amp;WRAP-QIOT-#3'!#REF!</definedName>
    <definedName name="RT" localSheetId="37">'[1]COAT&amp;WRAP-QIOT-#3'!#REF!</definedName>
    <definedName name="RT" localSheetId="3">'[1]COAT&amp;WRAP-QIOT-#3'!#REF!</definedName>
    <definedName name="RT" localSheetId="39">'[1]COAT&amp;WRAP-QIOT-#3'!#REF!</definedName>
    <definedName name="RT" localSheetId="41">'[1]COAT&amp;WRAP-QIOT-#3'!#REF!</definedName>
    <definedName name="RT" localSheetId="4">'[1]COAT&amp;WRAP-QIOT-#3'!#REF!</definedName>
    <definedName name="RT" localSheetId="7">'[2]COAT&amp;WRAP-QIOT-#3'!#REF!</definedName>
    <definedName name="RT">'[2]COAT&amp;WRAP-QIOT-#3'!#REF!</definedName>
    <definedName name="san">#REF!</definedName>
    <definedName name="SB" localSheetId="0">[17]IBASE!$AH$7:$AL$14</definedName>
    <definedName name="SB" localSheetId="12">[18]IBASE!$AH$7:$AL$14</definedName>
    <definedName name="SB" localSheetId="14">[19]IBASE!$AH$7:$AL$14</definedName>
    <definedName name="SB" localSheetId="17">[19]IBASE!$AH$7:$AL$14</definedName>
    <definedName name="SB" localSheetId="1">[17]IBASE!$AH$7:$AL$14</definedName>
    <definedName name="SB" localSheetId="2">[17]IBASE!$AH$7:$AL$14</definedName>
    <definedName name="SB" localSheetId="3">[19]IBASE!$AH$7:$AL$14</definedName>
    <definedName name="SB" localSheetId="4">[19]IBASE!$AH$7:$AL$14</definedName>
    <definedName name="SB">[19]IBASE!$AH$7:$AL$14</definedName>
    <definedName name="SCH">#REF!</definedName>
    <definedName name="SIZE">#REF!</definedName>
    <definedName name="SL">#REF!</definedName>
    <definedName name="slg">#REF!</definedName>
    <definedName name="slh">#REF!</definedName>
    <definedName name="sln">#REF!</definedName>
    <definedName name="slx">#REF!</definedName>
    <definedName name="So_du_Co">#REF!</definedName>
    <definedName name="So_du_No">#REF!</definedName>
    <definedName name="So_TK">#REF!</definedName>
    <definedName name="SORT" localSheetId="0">#REF!</definedName>
    <definedName name="SORT" localSheetId="9">#REF!</definedName>
    <definedName name="SORT" localSheetId="12">#REF!</definedName>
    <definedName name="SORT" localSheetId="14">#REF!</definedName>
    <definedName name="SORT" localSheetId="15">#REF!</definedName>
    <definedName name="SORT" localSheetId="16">#REF!</definedName>
    <definedName name="SORT" localSheetId="17">#REF!</definedName>
    <definedName name="SORT" localSheetId="1">#REF!</definedName>
    <definedName name="SORT" localSheetId="28">#REF!</definedName>
    <definedName name="SORT" localSheetId="2">#REF!</definedName>
    <definedName name="SORT" localSheetId="29">#REF!</definedName>
    <definedName name="SORT" localSheetId="31">#REF!</definedName>
    <definedName name="SORT" localSheetId="33">#REF!</definedName>
    <definedName name="SORT" localSheetId="34">#REF!</definedName>
    <definedName name="SORT" localSheetId="35">#REF!</definedName>
    <definedName name="SORT" localSheetId="37">#REF!</definedName>
    <definedName name="SORT" localSheetId="3">#REF!</definedName>
    <definedName name="SORT" localSheetId="39">#REF!</definedName>
    <definedName name="SORT" localSheetId="40">#REF!</definedName>
    <definedName name="SORT" localSheetId="41">#REF!</definedName>
    <definedName name="SORT" localSheetId="42">#REF!</definedName>
    <definedName name="SORT" localSheetId="45">#REF!</definedName>
    <definedName name="SORT" localSheetId="4">#REF!</definedName>
    <definedName name="SORT" localSheetId="7">#REF!</definedName>
    <definedName name="SORT">#REF!</definedName>
    <definedName name="SORT_AREA" localSheetId="0">'[20]DI-ESTI'!$A$8:$R$489</definedName>
    <definedName name="SORT_AREA" localSheetId="12">'[21]DI-ESTI'!$A$8:$R$489</definedName>
    <definedName name="SORT_AREA" localSheetId="14">'[22]DI-ESTI'!$A$8:$R$489</definedName>
    <definedName name="SORT_AREA" localSheetId="17">'[22]DI-ESTI'!$A$8:$R$489</definedName>
    <definedName name="SORT_AREA" localSheetId="1">'[20]DI-ESTI'!$A$8:$R$489</definedName>
    <definedName name="SORT_AREA" localSheetId="2">'[23]DI-ESTI'!$A$8:$R$489</definedName>
    <definedName name="SORT_AREA" localSheetId="3">'[22]DI-ESTI'!$A$8:$R$489</definedName>
    <definedName name="SORT_AREA" localSheetId="4">'[22]DI-ESTI'!$A$8:$R$489</definedName>
    <definedName name="SORT_AREA">'[22]DI-ESTI'!$A$8:$R$489</definedName>
    <definedName name="SP" localSheetId="0">'[1]PNT-QUOT-#3'!#REF!</definedName>
    <definedName name="SP" localSheetId="9">'[2]PNT-QUOT-#3'!#REF!</definedName>
    <definedName name="SP" localSheetId="12">'[3]PNT-QUOT-#3'!#REF!</definedName>
    <definedName name="SP" localSheetId="14">'[2]PNT-QUOT-#3'!#REF!</definedName>
    <definedName name="SP" localSheetId="15">'[2]PNT-QUOT-#3'!#REF!</definedName>
    <definedName name="SP" localSheetId="16">'[2]PNT-QUOT-#3'!#REF!</definedName>
    <definedName name="SP" localSheetId="17">'[2]PNT-QUOT-#3'!#REF!</definedName>
    <definedName name="SP" localSheetId="1">'[1]PNT-QUOT-#3'!#REF!</definedName>
    <definedName name="SP" localSheetId="2">'[1]PNT-QUOT-#3'!#REF!</definedName>
    <definedName name="SP" localSheetId="29">'[1]PNT-QUOT-#3'!#REF!</definedName>
    <definedName name="SP" localSheetId="37">'[1]PNT-QUOT-#3'!#REF!</definedName>
    <definedName name="SP" localSheetId="3">'[1]PNT-QUOT-#3'!#REF!</definedName>
    <definedName name="SP" localSheetId="39">'[1]PNT-QUOT-#3'!#REF!</definedName>
    <definedName name="SP" localSheetId="41">'[1]PNT-QUOT-#3'!#REF!</definedName>
    <definedName name="SP" localSheetId="45">'[2]PNT-QUOT-#3'!#REF!</definedName>
    <definedName name="SP" localSheetId="4">'[1]PNT-QUOT-#3'!#REF!</definedName>
    <definedName name="SP" localSheetId="7">'[2]PNT-QUOT-#3'!#REF!</definedName>
    <definedName name="SP">'[2]PNT-QUOT-#3'!#REF!</definedName>
    <definedName name="SPEC">#REF!</definedName>
    <definedName name="SPECSUMMARY">#REF!</definedName>
    <definedName name="Sprack">#REF!</definedName>
    <definedName name="sps">#REF!</definedName>
    <definedName name="sps_DL">#REF!</definedName>
    <definedName name="sss" localSheetId="0">#REF!</definedName>
    <definedName name="sss" localSheetId="9">#REF!</definedName>
    <definedName name="sss" localSheetId="12">#REF!</definedName>
    <definedName name="sss" localSheetId="14">#REF!</definedName>
    <definedName name="sss" localSheetId="15">#REF!</definedName>
    <definedName name="sss" localSheetId="16">#REF!</definedName>
    <definedName name="sss" localSheetId="17">#REF!</definedName>
    <definedName name="sss" localSheetId="1">#REF!</definedName>
    <definedName name="sss" localSheetId="28">#REF!</definedName>
    <definedName name="sss" localSheetId="2">#REF!</definedName>
    <definedName name="sss" localSheetId="29">#REF!</definedName>
    <definedName name="sss" localSheetId="31">#REF!</definedName>
    <definedName name="sss" localSheetId="33">#REF!</definedName>
    <definedName name="sss" localSheetId="34">#REF!</definedName>
    <definedName name="sss" localSheetId="35">#REF!</definedName>
    <definedName name="sss" localSheetId="37">#REF!</definedName>
    <definedName name="sss" localSheetId="3">#REF!</definedName>
    <definedName name="sss" localSheetId="39">#REF!</definedName>
    <definedName name="sss" localSheetId="40">#REF!</definedName>
    <definedName name="sss" localSheetId="41">#REF!</definedName>
    <definedName name="sss" localSheetId="42">#REF!</definedName>
    <definedName name="sss" localSheetId="45">#REF!</definedName>
    <definedName name="sss" localSheetId="4">#REF!</definedName>
    <definedName name="sss" localSheetId="7">#REF!</definedName>
    <definedName name="sss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vn">#REF!</definedName>
    <definedName name="SUM">#REF!,#REF!</definedName>
    <definedName name="SUMMARY">#REF!</definedName>
    <definedName name="Super_Str">#REF!</definedName>
    <definedName name="svl">50</definedName>
    <definedName name="T">#REF!</definedName>
    <definedName name="TAMTINH">#REF!</definedName>
    <definedName name="TANK">#REF!</definedName>
    <definedName name="TaxTV">10%</definedName>
    <definedName name="TaxXL">5%</definedName>
    <definedName name="TBA" localSheetId="0">#REF!</definedName>
    <definedName name="TBA" localSheetId="9">#REF!</definedName>
    <definedName name="TBA" localSheetId="12">#REF!</definedName>
    <definedName name="TBA" localSheetId="14">#REF!</definedName>
    <definedName name="TBA" localSheetId="15">#REF!</definedName>
    <definedName name="TBA" localSheetId="16">#REF!</definedName>
    <definedName name="TBA" localSheetId="17">#REF!</definedName>
    <definedName name="TBA" localSheetId="1">#REF!</definedName>
    <definedName name="TBA" localSheetId="28">#REF!</definedName>
    <definedName name="TBA" localSheetId="2">#REF!</definedName>
    <definedName name="TBA" localSheetId="29">#REF!</definedName>
    <definedName name="TBA" localSheetId="31">#REF!</definedName>
    <definedName name="TBA" localSheetId="37">#REF!</definedName>
    <definedName name="TBA" localSheetId="3">#REF!</definedName>
    <definedName name="TBA" localSheetId="39">#REF!</definedName>
    <definedName name="TBA" localSheetId="40">#REF!</definedName>
    <definedName name="TBA" localSheetId="41">#REF!</definedName>
    <definedName name="TBA" localSheetId="42">#REF!</definedName>
    <definedName name="TBA" localSheetId="45">#REF!</definedName>
    <definedName name="TBA" localSheetId="4">#REF!</definedName>
    <definedName name="TBA" localSheetId="7">#REF!</definedName>
    <definedName name="TBA">#REF!</definedName>
    <definedName name="td" localSheetId="9">#REF!</definedName>
    <definedName name="td" localSheetId="12">#REF!</definedName>
    <definedName name="td" localSheetId="14">#REF!</definedName>
    <definedName name="td" localSheetId="15">#REF!</definedName>
    <definedName name="td" localSheetId="16">#REF!</definedName>
    <definedName name="td" localSheetId="17">#REF!</definedName>
    <definedName name="td" localSheetId="1">#REF!</definedName>
    <definedName name="td" localSheetId="28">#REF!</definedName>
    <definedName name="td" localSheetId="2">#REF!</definedName>
    <definedName name="td" localSheetId="29">#REF!</definedName>
    <definedName name="td" localSheetId="31">#REF!</definedName>
    <definedName name="td" localSheetId="37">#REF!</definedName>
    <definedName name="td" localSheetId="39">#REF!</definedName>
    <definedName name="td" localSheetId="40">#REF!</definedName>
    <definedName name="td" localSheetId="41">#REF!</definedName>
    <definedName name="td" localSheetId="45">#REF!</definedName>
    <definedName name="td" localSheetId="7">#REF!</definedName>
    <definedName name="td">#REF!</definedName>
    <definedName name="tenck">#REF!</definedName>
    <definedName name="test">#REF!</definedName>
    <definedName name="th_bl" localSheetId="0">#REF!</definedName>
    <definedName name="th_bl" localSheetId="9">#REF!</definedName>
    <definedName name="th_bl" localSheetId="12">#REF!</definedName>
    <definedName name="th_bl" localSheetId="14">#REF!</definedName>
    <definedName name="th_bl" localSheetId="15">#REF!</definedName>
    <definedName name="th_bl" localSheetId="16">#REF!</definedName>
    <definedName name="th_bl" localSheetId="17">#REF!</definedName>
    <definedName name="th_bl" localSheetId="1">#REF!</definedName>
    <definedName name="th_bl" localSheetId="28">#REF!</definedName>
    <definedName name="th_bl" localSheetId="2">#REF!</definedName>
    <definedName name="th_bl" localSheetId="29">#REF!</definedName>
    <definedName name="th_bl" localSheetId="31">#REF!</definedName>
    <definedName name="th_bl" localSheetId="33">#REF!</definedName>
    <definedName name="th_bl" localSheetId="34">#REF!</definedName>
    <definedName name="th_bl" localSheetId="35">#REF!</definedName>
    <definedName name="th_bl" localSheetId="37">#REF!</definedName>
    <definedName name="th_bl" localSheetId="39">#REF!</definedName>
    <definedName name="th_bl" localSheetId="40">#REF!</definedName>
    <definedName name="th_bl" localSheetId="41">#REF!</definedName>
    <definedName name="th_bl" localSheetId="42">#REF!</definedName>
    <definedName name="th_bl" localSheetId="45">#REF!</definedName>
    <definedName name="th_bl" localSheetId="7">#REF!</definedName>
    <definedName name="th_bl">#REF!</definedName>
    <definedName name="thang">#REF!</definedName>
    <definedName name="Tháng">'[16]Thời gian'!$D$2:$D$21</definedName>
    <definedName name="thanh" localSheetId="0" hidden="1">{"'TDTGT (theo Dphuong)'!$A$4:$F$75"}</definedName>
    <definedName name="thanh" localSheetId="9" hidden="1">{"'TDTGT (theo Dphuong)'!$A$4:$F$75"}</definedName>
    <definedName name="thanh" localSheetId="10" hidden="1">{"'TDTGT (theo Dphuong)'!$A$4:$F$75"}</definedName>
    <definedName name="thanh" localSheetId="12" hidden="1">{"'TDTGT (theo Dphuong)'!$A$4:$F$75"}</definedName>
    <definedName name="thanh" localSheetId="14" hidden="1">{"'TDTGT (theo Dphuong)'!$A$4:$F$75"}</definedName>
    <definedName name="thanh" localSheetId="17" hidden="1">{"'TDTGT (theo Dphuong)'!$A$4:$F$75"}</definedName>
    <definedName name="thanh" localSheetId="1" hidden="1">{"'TDTGT (theo Dphuong)'!$A$4:$F$75"}</definedName>
    <definedName name="thanh" localSheetId="28" hidden="1">{"'TDTGT (theo Dphuong)'!$A$4:$F$75"}</definedName>
    <definedName name="thanh" localSheetId="2" hidden="1">{"'TDTGT (theo Dphuong)'!$A$4:$F$75"}</definedName>
    <definedName name="thanh" localSheetId="29" hidden="1">{"'TDTGT (theo Dphuong)'!$A$4:$F$75"}</definedName>
    <definedName name="thanh" localSheetId="31" hidden="1">{"'TDTGT (theo Dphuong)'!$A$4:$F$75"}</definedName>
    <definedName name="thanh" localSheetId="32" hidden="1">{"'TDTGT (theo Dphuong)'!$A$4:$F$75"}</definedName>
    <definedName name="thanh" localSheetId="33" hidden="1">{"'TDTGT (theo Dphuong)'!$A$4:$F$75"}</definedName>
    <definedName name="thanh" localSheetId="34" hidden="1">{"'TDTGT (theo Dphuong)'!$A$4:$F$75"}</definedName>
    <definedName name="thanh" localSheetId="35" hidden="1">{"'TDTGT (theo Dphuong)'!$A$4:$F$75"}</definedName>
    <definedName name="thanh" localSheetId="3" hidden="1">{"'TDTGT (theo Dphuong)'!$A$4:$F$75"}</definedName>
    <definedName name="thanh" localSheetId="40" hidden="1">{"'TDTGT (theo Dphuong)'!$A$4:$F$75"}</definedName>
    <definedName name="thanh" localSheetId="41" hidden="1">{"'TDTGT (theo Dphuong)'!$A$4:$F$75"}</definedName>
    <definedName name="thanh" localSheetId="45" hidden="1">{"'TDTGT (theo Dphuong)'!$A$4:$F$75"}</definedName>
    <definedName name="thanh" localSheetId="4" hidden="1">{"'TDTGT (theo Dphuong)'!$A$4:$F$75"}</definedName>
    <definedName name="thanh" localSheetId="7" hidden="1">{"'TDTGT (theo Dphuong)'!$A$4:$F$75"}</definedName>
    <definedName name="thanh" hidden="1">{"'TDTGT (theo Dphuong)'!$A$4:$F$75"}</definedName>
    <definedName name="thanhtien">#REF!</definedName>
    <definedName name="thepban">#REF!</definedName>
    <definedName name="thetichck">#REF!</definedName>
    <definedName name="THI">#REF!</definedName>
    <definedName name="THK" localSheetId="0">'[1]COAT&amp;WRAP-QIOT-#3'!#REF!</definedName>
    <definedName name="THK" localSheetId="9">'[2]COAT&amp;WRAP-QIOT-#3'!#REF!</definedName>
    <definedName name="THK" localSheetId="12">'[3]COAT&amp;WRAP-QIOT-#3'!#REF!</definedName>
    <definedName name="THK" localSheetId="14">'[2]COAT&amp;WRAP-QIOT-#3'!#REF!</definedName>
    <definedName name="THK" localSheetId="15">'[2]COAT&amp;WRAP-QIOT-#3'!#REF!</definedName>
    <definedName name="THK" localSheetId="16">'[2]COAT&amp;WRAP-QIOT-#3'!#REF!</definedName>
    <definedName name="THK" localSheetId="17">'[2]COAT&amp;WRAP-QIOT-#3'!#REF!</definedName>
    <definedName name="THK" localSheetId="1">'[1]COAT&amp;WRAP-QIOT-#3'!#REF!</definedName>
    <definedName name="THK" localSheetId="23">'[2]COAT&amp;WRAP-QIOT-#3'!#REF!</definedName>
    <definedName name="THK" localSheetId="2">'[1]COAT&amp;WRAP-QIOT-#3'!#REF!</definedName>
    <definedName name="THK" localSheetId="29">'[2]COAT&amp;WRAP-QIOT-#3'!#REF!</definedName>
    <definedName name="THK" localSheetId="37">'[1]COAT&amp;WRAP-QIOT-#3'!#REF!</definedName>
    <definedName name="THK" localSheetId="3">'[1]COAT&amp;WRAP-QIOT-#3'!#REF!</definedName>
    <definedName name="THK" localSheetId="39">'[1]COAT&amp;WRAP-QIOT-#3'!#REF!</definedName>
    <definedName name="THK" localSheetId="41">'[1]COAT&amp;WRAP-QIOT-#3'!#REF!</definedName>
    <definedName name="THK" localSheetId="4">'[1]COAT&amp;WRAP-QIOT-#3'!#REF!</definedName>
    <definedName name="THK" localSheetId="7">'[2]COAT&amp;WRAP-QIOT-#3'!#REF!</definedName>
    <definedName name="THK">'[2]COAT&amp;WRAP-QIOT-#3'!#REF!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ue">#REF!</definedName>
    <definedName name="THUEMA">#REF!</definedName>
    <definedName name="Tien">#REF!</definedName>
    <definedName name="Tinh">#REF!</definedName>
    <definedName name="Tỉnh">#REF!</definedName>
    <definedName name="Tinh_Vung">[16]Tỉnh!$H$1:$H$69</definedName>
    <definedName name="TITAN">#REF!</definedName>
    <definedName name="tkc">#REF!</definedName>
    <definedName name="tkc_DL">#REF!</definedName>
    <definedName name="tkco">#REF!</definedName>
    <definedName name="TKM" hidden="1">{"'TDTGT (theo Dphuong)'!$A$4:$F$75"}</definedName>
    <definedName name="tkn">#REF!</definedName>
    <definedName name="tkn_DL">#REF!</definedName>
    <definedName name="tkno">#REF!</definedName>
    <definedName name="TKYB">"TKYB"</definedName>
    <definedName name="TMBLCSG" localSheetId="9">#REF!</definedName>
    <definedName name="TMBLCSG" localSheetId="12">#REF!</definedName>
    <definedName name="TMBLCSG" localSheetId="23">#REF!</definedName>
    <definedName name="TMBLCSG" localSheetId="28">#REF!</definedName>
    <definedName name="TMBLCSG" localSheetId="2">#REF!</definedName>
    <definedName name="TMBLCSG" localSheetId="29">#REF!</definedName>
    <definedName name="TMBLCSG" localSheetId="37">#REF!</definedName>
    <definedName name="TMBLCSG" localSheetId="39">#REF!</definedName>
    <definedName name="TMBLCSG" localSheetId="41">#REF!</definedName>
    <definedName name="TMBLCSG" localSheetId="45">#REF!</definedName>
    <definedName name="TMBLCSG" localSheetId="7">#REF!</definedName>
    <definedName name="TMBLCSG">#REF!</definedName>
    <definedName name="Tnghiep" localSheetId="0" hidden="1">{"'TDTGT (theo Dphuong)'!$A$4:$F$75"}</definedName>
    <definedName name="Tnghiep" localSheetId="9" hidden="1">{"'TDTGT (theo Dphuong)'!$A$4:$F$75"}</definedName>
    <definedName name="Tnghiep" localSheetId="10" hidden="1">{"'TDTGT (theo Dphuong)'!$A$4:$F$75"}</definedName>
    <definedName name="Tnghiep" localSheetId="12" hidden="1">{"'TDTGT (theo Dphuong)'!$A$4:$F$75"}</definedName>
    <definedName name="Tnghiep" localSheetId="14" hidden="1">{"'TDTGT (theo Dphuong)'!$A$4:$F$75"}</definedName>
    <definedName name="Tnghiep" localSheetId="17" hidden="1">{"'TDTGT (theo Dphuong)'!$A$4:$F$75"}</definedName>
    <definedName name="Tnghiep" localSheetId="1" hidden="1">{"'TDTGT (theo Dphuong)'!$A$4:$F$75"}</definedName>
    <definedName name="Tnghiep" localSheetId="28" hidden="1">{"'TDTGT (theo Dphuong)'!$A$4:$F$75"}</definedName>
    <definedName name="Tnghiep" localSheetId="2" hidden="1">{"'TDTGT (theo Dphuong)'!$A$4:$F$75"}</definedName>
    <definedName name="Tnghiep" localSheetId="29" hidden="1">{"'TDTGT (theo Dphuong)'!$A$4:$F$75"}</definedName>
    <definedName name="Tnghiep" localSheetId="31" hidden="1">{"'TDTGT (theo Dphuong)'!$A$4:$F$75"}</definedName>
    <definedName name="Tnghiep" localSheetId="32" hidden="1">{"'TDTGT (theo Dphuong)'!$A$4:$F$75"}</definedName>
    <definedName name="Tnghiep" localSheetId="33" hidden="1">{"'TDTGT (theo Dphuong)'!$A$4:$F$75"}</definedName>
    <definedName name="Tnghiep" localSheetId="34" hidden="1">{"'TDTGT (theo Dphuong)'!$A$4:$F$75"}</definedName>
    <definedName name="Tnghiep" localSheetId="35" hidden="1">{"'TDTGT (theo Dphuong)'!$A$4:$F$75"}</definedName>
    <definedName name="Tnghiep" localSheetId="3" hidden="1">{"'TDTGT (theo Dphuong)'!$A$4:$F$75"}</definedName>
    <definedName name="Tnghiep" localSheetId="40" hidden="1">{"'TDTGT (theo Dphuong)'!$A$4:$F$75"}</definedName>
    <definedName name="Tnghiep" localSheetId="41" hidden="1">{"'TDTGT (theo Dphuong)'!$A$4:$F$75"}</definedName>
    <definedName name="Tnghiep" localSheetId="45" hidden="1">{"'TDTGT (theo Dphuong)'!$A$4:$F$75"}</definedName>
    <definedName name="Tnghiep" localSheetId="4" hidden="1">{"'TDTGT (theo Dphuong)'!$A$4:$F$75"}</definedName>
    <definedName name="Tnghiep" localSheetId="7" hidden="1">{"'TDTGT (theo Dphuong)'!$A$4:$F$75"}</definedName>
    <definedName name="Tnghiep" hidden="1">{"'TDTGT (theo Dphuong)'!$A$4:$F$75"}</definedName>
    <definedName name="TONG_DL">#REF!</definedName>
    <definedName name="tongbt">#REF!</definedName>
    <definedName name="tongcong">#REF!</definedName>
    <definedName name="tongdientich">#REF!</definedName>
    <definedName name="Tonghop">#REF!</definedName>
    <definedName name="TonghopHtxH">#REF!</definedName>
    <definedName name="TonghopHtxT">#REF!</definedName>
    <definedName name="tongthep">#REF!</definedName>
    <definedName name="tongthetich">#REF!</definedName>
    <definedName name="TOTAL">#REF!</definedName>
    <definedName name="TPLRP">#REF!</definedName>
    <definedName name="TPVT">#REF!</definedName>
    <definedName name="TR">#REF!</definedName>
    <definedName name="Tra_don_gia_KS">#REF!</definedName>
    <definedName name="TRADE2">#REF!</definedName>
    <definedName name="TRISO">#REF!</definedName>
    <definedName name="TT_chung">#REF!</definedName>
    <definedName name="ttbt">#REF!</definedName>
    <definedName name="ttn">#REF!</definedName>
    <definedName name="ttt" localSheetId="0">#REF!</definedName>
    <definedName name="ttt" localSheetId="9">#REF!</definedName>
    <definedName name="ttt" localSheetId="12">#REF!</definedName>
    <definedName name="ttt" localSheetId="14">#REF!</definedName>
    <definedName name="ttt" localSheetId="15">#REF!</definedName>
    <definedName name="ttt" localSheetId="16">#REF!</definedName>
    <definedName name="ttt" localSheetId="17">#REF!</definedName>
    <definedName name="ttt" localSheetId="1">#REF!</definedName>
    <definedName name="ttt" localSheetId="28">#REF!</definedName>
    <definedName name="ttt" localSheetId="2">#REF!</definedName>
    <definedName name="ttt" localSheetId="29">#REF!</definedName>
    <definedName name="ttt" localSheetId="31">#REF!</definedName>
    <definedName name="ttt" localSheetId="33">#REF!</definedName>
    <definedName name="ttt" localSheetId="34">#REF!</definedName>
    <definedName name="ttt" localSheetId="35">#REF!</definedName>
    <definedName name="ttt" localSheetId="37">#REF!</definedName>
    <definedName name="ttt" localSheetId="3">#REF!</definedName>
    <definedName name="ttt" localSheetId="39">#REF!</definedName>
    <definedName name="ttt" localSheetId="40">#REF!</definedName>
    <definedName name="ttt" localSheetId="41">#REF!</definedName>
    <definedName name="ttt" localSheetId="45">#REF!</definedName>
    <definedName name="ttt" localSheetId="4">#REF!</definedName>
    <definedName name="ttt" localSheetId="7">#REF!</definedName>
    <definedName name="ttt">#REF!</definedName>
    <definedName name="ttx">#REF!</definedName>
    <definedName name="TXLM">#REF!</definedName>
    <definedName name="TXNB">#REF!</definedName>
    <definedName name="ty_le_BTN">#REF!</definedName>
    <definedName name="UP">#REF!,#REF!,#REF!,#REF!,#REF!,#REF!,#REF!,#REF!,#REF!,#REF!,#REF!</definedName>
    <definedName name="usd">15000</definedName>
    <definedName name="v">#REF!</definedName>
    <definedName name="VARIINST">#REF!</definedName>
    <definedName name="VARIPURC">#REF!</definedName>
    <definedName name="Vat_tu">#REF!</definedName>
    <definedName name="VatTuTungHangMuc">#REF!</definedName>
    <definedName name="VC">#REF!</definedName>
    <definedName name="vccot">#REF!</definedName>
    <definedName name="vctb">#REF!</definedName>
    <definedName name="vfff" localSheetId="0">#REF!</definedName>
    <definedName name="vfff" localSheetId="9">#REF!</definedName>
    <definedName name="vfff" localSheetId="12">#REF!</definedName>
    <definedName name="vfff" localSheetId="14">#REF!</definedName>
    <definedName name="vfff" localSheetId="15">#REF!</definedName>
    <definedName name="vfff" localSheetId="16">#REF!</definedName>
    <definedName name="vfff" localSheetId="17">#REF!</definedName>
    <definedName name="vfff" localSheetId="1">#REF!</definedName>
    <definedName name="vfff" localSheetId="28">#REF!</definedName>
    <definedName name="vfff" localSheetId="2">#REF!</definedName>
    <definedName name="vfff" localSheetId="29">#REF!</definedName>
    <definedName name="vfff" localSheetId="31">#REF!</definedName>
    <definedName name="vfff" localSheetId="37">#REF!</definedName>
    <definedName name="vfff" localSheetId="3">#REF!</definedName>
    <definedName name="vfff" localSheetId="39">#REF!</definedName>
    <definedName name="vfff" localSheetId="40">#REF!</definedName>
    <definedName name="vfff" localSheetId="41">#REF!</definedName>
    <definedName name="vfff" localSheetId="42">#REF!</definedName>
    <definedName name="vfff" localSheetId="45">#REF!</definedName>
    <definedName name="vfff" localSheetId="4">#REF!</definedName>
    <definedName name="vfff" localSheetId="7">#REF!</definedName>
    <definedName name="vfff">#REF!</definedName>
    <definedName name="Vlcap0.7">#REF!</definedName>
    <definedName name="VLcap1">#REF!</definedName>
    <definedName name="VLDP">#REF!</definedName>
    <definedName name="vn" localSheetId="9">#REF!</definedName>
    <definedName name="vn" localSheetId="12">#REF!</definedName>
    <definedName name="vn" localSheetId="23">#REF!</definedName>
    <definedName name="vn" localSheetId="28">#REF!</definedName>
    <definedName name="vn" localSheetId="2">#REF!</definedName>
    <definedName name="vn" localSheetId="29">#REF!</definedName>
    <definedName name="vn" localSheetId="37">#REF!</definedName>
    <definedName name="vn" localSheetId="39">#REF!</definedName>
    <definedName name="vn" localSheetId="41">#REF!</definedName>
    <definedName name="vn" localSheetId="45">#REF!</definedName>
    <definedName name="vn" localSheetId="7">#REF!</definedName>
    <definedName name="vn">#REF!</definedName>
    <definedName name="VT">#REF!</definedName>
    <definedName name="VTu">#REF!</definedName>
    <definedName name="VTVUA">#REF!</definedName>
    <definedName name="vv" localSheetId="0" hidden="1">{"'TDTGT (theo Dphuong)'!$A$4:$F$75"}</definedName>
    <definedName name="vv" localSheetId="9" hidden="1">{"'TDTGT (theo Dphuong)'!$A$4:$F$75"}</definedName>
    <definedName name="vv" localSheetId="10" hidden="1">{"'TDTGT (theo Dphuong)'!$A$4:$F$75"}</definedName>
    <definedName name="vv" localSheetId="12" hidden="1">{"'TDTGT (theo Dphuong)'!$A$4:$F$75"}</definedName>
    <definedName name="vv" localSheetId="14" hidden="1">{"'TDTGT (theo Dphuong)'!$A$4:$F$75"}</definedName>
    <definedName name="vv" localSheetId="17" hidden="1">{"'TDTGT (theo Dphuong)'!$A$4:$F$75"}</definedName>
    <definedName name="vv" localSheetId="1" hidden="1">{"'TDTGT (theo Dphuong)'!$A$4:$F$75"}</definedName>
    <definedName name="vv" localSheetId="28" hidden="1">{"'TDTGT (theo Dphuong)'!$A$4:$F$75"}</definedName>
    <definedName name="vv" localSheetId="2" hidden="1">{"'TDTGT (theo Dphuong)'!$A$4:$F$75"}</definedName>
    <definedName name="vv" localSheetId="29" hidden="1">{"'TDTGT (theo Dphuong)'!$A$4:$F$75"}</definedName>
    <definedName name="vv" localSheetId="31" hidden="1">{"'TDTGT (theo Dphuong)'!$A$4:$F$75"}</definedName>
    <definedName name="vv" localSheetId="32" hidden="1">{"'TDTGT (theo Dphuong)'!$A$4:$F$75"}</definedName>
    <definedName name="vv" localSheetId="33" hidden="1">{"'TDTGT (theo Dphuong)'!$A$4:$F$75"}</definedName>
    <definedName name="vv" localSheetId="34" hidden="1">{"'TDTGT (theo Dphuong)'!$A$4:$F$75"}</definedName>
    <definedName name="vv" localSheetId="35" hidden="1">{"'TDTGT (theo Dphuong)'!$A$4:$F$75"}</definedName>
    <definedName name="vv" localSheetId="3" hidden="1">{"'TDTGT (theo Dphuong)'!$A$4:$F$75"}</definedName>
    <definedName name="vv" localSheetId="40" hidden="1">{"'TDTGT (theo Dphuong)'!$A$4:$F$75"}</definedName>
    <definedName name="vv" localSheetId="41" hidden="1">{"'TDTGT (theo Dphuong)'!$A$4:$F$75"}</definedName>
    <definedName name="vv" localSheetId="45" hidden="1">{"'TDTGT (theo Dphuong)'!$A$4:$F$75"}</definedName>
    <definedName name="vv" localSheetId="4" hidden="1">{"'TDTGT (theo Dphuong)'!$A$4:$F$75"}</definedName>
    <definedName name="vv" localSheetId="7" hidden="1">{"'TDTGT (theo Dphuong)'!$A$4:$F$75"}</definedName>
    <definedName name="vv" hidden="1">{"'TDTGT (theo Dphuong)'!$A$4:$F$75"}</definedName>
    <definedName name="W">#REF!</definedName>
    <definedName name="wrn.thu." localSheetId="0" hidden="1">{#N/A,#N/A,FALSE,"Chung"}</definedName>
    <definedName name="wrn.thu." localSheetId="9" hidden="1">{#N/A,#N/A,FALSE,"Chung"}</definedName>
    <definedName name="wrn.thu." localSheetId="10" hidden="1">{#N/A,#N/A,FALSE,"Chung"}</definedName>
    <definedName name="wrn.thu." localSheetId="12" hidden="1">{#N/A,#N/A,FALSE,"Chung"}</definedName>
    <definedName name="wrn.thu." localSheetId="14" hidden="1">{#N/A,#N/A,FALSE,"Chung"}</definedName>
    <definedName name="wrn.thu." localSheetId="17" hidden="1">{#N/A,#N/A,FALSE,"Chung"}</definedName>
    <definedName name="wrn.thu." localSheetId="1" hidden="1">{#N/A,#N/A,FALSE,"Chung"}</definedName>
    <definedName name="wrn.thu." localSheetId="28" hidden="1">{#N/A,#N/A,FALSE,"Chung"}</definedName>
    <definedName name="wrn.thu." localSheetId="2" hidden="1">{#N/A,#N/A,FALSE,"Chung"}</definedName>
    <definedName name="wrn.thu." localSheetId="29" hidden="1">{#N/A,#N/A,FALSE,"Chung"}</definedName>
    <definedName name="wrn.thu." localSheetId="31" hidden="1">{#N/A,#N/A,FALSE,"Chung"}</definedName>
    <definedName name="wrn.thu." localSheetId="32" hidden="1">{#N/A,#N/A,FALSE,"Chung"}</definedName>
    <definedName name="wrn.thu." localSheetId="33" hidden="1">{#N/A,#N/A,FALSE,"Chung"}</definedName>
    <definedName name="wrn.thu." localSheetId="34" hidden="1">{#N/A,#N/A,FALSE,"Chung"}</definedName>
    <definedName name="wrn.thu." localSheetId="35" hidden="1">{#N/A,#N/A,FALSE,"Chung"}</definedName>
    <definedName name="wrn.thu." localSheetId="3" hidden="1">{#N/A,#N/A,FALSE,"Chung"}</definedName>
    <definedName name="wrn.thu." localSheetId="40" hidden="1">{#N/A,#N/A,FALSE,"Chung"}</definedName>
    <definedName name="wrn.thu." localSheetId="41" hidden="1">{#N/A,#N/A,FALSE,"Chung"}</definedName>
    <definedName name="wrn.thu." localSheetId="42" hidden="1">{#N/A,#N/A,FALSE,"Chung"}</definedName>
    <definedName name="wrn.thu." localSheetId="45" hidden="1">{#N/A,#N/A,FALSE,"Chung"}</definedName>
    <definedName name="wrn.thu." localSheetId="4" hidden="1">{#N/A,#N/A,FALSE,"Chung"}</definedName>
    <definedName name="wrn.thu." localSheetId="7" hidden="1">{#N/A,#N/A,FALSE,"Chung"}</definedName>
    <definedName name="wrn.thu." hidden="1">{#N/A,#N/A,FALSE,"Chung"}</definedName>
    <definedName name="X">#REF!</definedName>
    <definedName name="XCCT">0.5</definedName>
    <definedName name="xd" localSheetId="0">'[26]7 THAI NGUYEN'!$A$11</definedName>
    <definedName name="xd" localSheetId="12">'[27]7 THAI NGUYEN'!$A$11</definedName>
    <definedName name="xd" localSheetId="17">'[26]7 THAI NGUYEN'!$A$11</definedName>
    <definedName name="xd" localSheetId="1">'[26]7 THAI NGUYEN'!$A$11</definedName>
    <definedName name="xd" localSheetId="3">'[26]7 THAI NGUYEN'!$A$11</definedName>
    <definedName name="xd" localSheetId="4">'[26]7 THAI NGUYEN'!$A$11</definedName>
    <definedName name="xd">'[26]7 THAI NGUYEN'!$A$11</definedName>
    <definedName name="xl">[10]THKP!#REF!</definedName>
    <definedName name="xlc">[10]THKP!#REF!</definedName>
    <definedName name="xlk">[10]THKP!#REF!</definedName>
    <definedName name="ZYX" localSheetId="0">#REF!</definedName>
    <definedName name="ZYX" localSheetId="9">#REF!</definedName>
    <definedName name="ZYX" localSheetId="12">#REF!</definedName>
    <definedName name="ZYX" localSheetId="14">#REF!</definedName>
    <definedName name="ZYX" localSheetId="15">#REF!</definedName>
    <definedName name="ZYX" localSheetId="16">#REF!</definedName>
    <definedName name="ZYX" localSheetId="17">#REF!</definedName>
    <definedName name="ZYX" localSheetId="1">#REF!</definedName>
    <definedName name="ZYX" localSheetId="28">#REF!</definedName>
    <definedName name="ZYX" localSheetId="2">#REF!</definedName>
    <definedName name="ZYX" localSheetId="29">#REF!</definedName>
    <definedName name="ZYX" localSheetId="31">#REF!</definedName>
    <definedName name="ZYX" localSheetId="33">#REF!</definedName>
    <definedName name="ZYX" localSheetId="34">#REF!</definedName>
    <definedName name="ZYX" localSheetId="35">#REF!</definedName>
    <definedName name="ZYX" localSheetId="37">#REF!</definedName>
    <definedName name="ZYX" localSheetId="3">#REF!</definedName>
    <definedName name="ZYX" localSheetId="39">#REF!</definedName>
    <definedName name="ZYX" localSheetId="40">#REF!</definedName>
    <definedName name="ZYX" localSheetId="41">#REF!</definedName>
    <definedName name="ZYX" localSheetId="42">#REF!</definedName>
    <definedName name="ZYX" localSheetId="45">#REF!</definedName>
    <definedName name="ZYX" localSheetId="4">#REF!</definedName>
    <definedName name="ZYX" localSheetId="7">#REF!</definedName>
    <definedName name="ZYX">#REF!</definedName>
    <definedName name="ZZZ" localSheetId="0">#REF!</definedName>
    <definedName name="ZZZ" localSheetId="9">#REF!</definedName>
    <definedName name="ZZZ" localSheetId="12">#REF!</definedName>
    <definedName name="ZZZ" localSheetId="14">#REF!</definedName>
    <definedName name="ZZZ" localSheetId="15">#REF!</definedName>
    <definedName name="ZZZ" localSheetId="16">#REF!</definedName>
    <definedName name="ZZZ" localSheetId="17">#REF!</definedName>
    <definedName name="ZZZ" localSheetId="1">#REF!</definedName>
    <definedName name="ZZZ" localSheetId="28">#REF!</definedName>
    <definedName name="ZZZ" localSheetId="2">#REF!</definedName>
    <definedName name="ZZZ" localSheetId="29">#REF!</definedName>
    <definedName name="ZZZ" localSheetId="31">#REF!</definedName>
    <definedName name="ZZZ" localSheetId="37">#REF!</definedName>
    <definedName name="ZZZ" localSheetId="3">#REF!</definedName>
    <definedName name="ZZZ" localSheetId="39">#REF!</definedName>
    <definedName name="ZZZ" localSheetId="40">#REF!</definedName>
    <definedName name="ZZZ" localSheetId="41">#REF!</definedName>
    <definedName name="ZZZ" localSheetId="42">#REF!</definedName>
    <definedName name="ZZZ" localSheetId="45">#REF!</definedName>
    <definedName name="ZZZ" localSheetId="4">#REF!</definedName>
    <definedName name="ZZZ" localSheetId="7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47" l="1"/>
  <c r="E11" i="47" s="1"/>
  <c r="C11" i="47"/>
  <c r="D34" i="41"/>
  <c r="C34" i="41"/>
  <c r="C33" i="41"/>
  <c r="D32" i="41"/>
  <c r="C32" i="41"/>
  <c r="B32" i="41"/>
  <c r="D30" i="41"/>
  <c r="C30" i="41"/>
  <c r="B30" i="41"/>
  <c r="D29" i="41"/>
  <c r="C29" i="41"/>
  <c r="B29" i="41"/>
  <c r="D27" i="41"/>
  <c r="C27" i="41"/>
  <c r="B27" i="41"/>
  <c r="D26" i="41"/>
  <c r="C26" i="41"/>
  <c r="B26" i="41"/>
  <c r="E26" i="16"/>
  <c r="D26" i="16"/>
  <c r="D25" i="16"/>
  <c r="E25" i="16" s="1"/>
  <c r="E24" i="16"/>
  <c r="D24" i="16"/>
  <c r="D23" i="16"/>
  <c r="E23" i="16" s="1"/>
  <c r="E22" i="16"/>
  <c r="D22" i="16"/>
  <c r="D21" i="16"/>
  <c r="E21" i="16" s="1"/>
  <c r="E20" i="16"/>
  <c r="D20" i="16"/>
  <c r="D19" i="16"/>
  <c r="E19" i="16" s="1"/>
  <c r="E18" i="16"/>
  <c r="D18" i="16"/>
  <c r="D17" i="16"/>
  <c r="E17" i="16" s="1"/>
  <c r="E16" i="16"/>
  <c r="D16" i="16"/>
  <c r="D15" i="16"/>
  <c r="E15" i="16" s="1"/>
  <c r="C14" i="16"/>
  <c r="B14" i="16"/>
  <c r="D14" i="16" s="1"/>
  <c r="E14" i="16" s="1"/>
  <c r="E13" i="16"/>
  <c r="D13" i="16"/>
  <c r="D12" i="16"/>
  <c r="E12" i="16" s="1"/>
  <c r="E11" i="16"/>
  <c r="D11" i="16"/>
  <c r="D10" i="16"/>
  <c r="C9" i="16"/>
  <c r="C7" i="16" s="1"/>
  <c r="B9" i="16"/>
  <c r="B7" i="16" s="1"/>
  <c r="D8" i="16"/>
  <c r="D26" i="15"/>
  <c r="D25" i="15"/>
  <c r="D24" i="15"/>
  <c r="D23" i="15"/>
  <c r="D22" i="15"/>
  <c r="D21" i="15"/>
  <c r="D20" i="15"/>
  <c r="D19" i="15"/>
  <c r="D18" i="15"/>
  <c r="D17" i="15"/>
  <c r="D16" i="15"/>
  <c r="D15" i="15"/>
  <c r="C14" i="15"/>
  <c r="D14" i="15" s="1"/>
  <c r="B14" i="15"/>
  <c r="D13" i="15"/>
  <c r="D12" i="15"/>
  <c r="D11" i="15"/>
  <c r="D10" i="15"/>
  <c r="C9" i="15"/>
  <c r="C7" i="15" s="1"/>
  <c r="D7" i="15" s="1"/>
  <c r="B9" i="15"/>
  <c r="B7" i="15" s="1"/>
  <c r="D8" i="15"/>
  <c r="D26" i="14"/>
  <c r="D25" i="14"/>
  <c r="D24" i="14"/>
  <c r="D23" i="14"/>
  <c r="D22" i="14"/>
  <c r="D21" i="14"/>
  <c r="D20" i="14"/>
  <c r="D19" i="14"/>
  <c r="D18" i="14"/>
  <c r="D17" i="14"/>
  <c r="D16" i="14"/>
  <c r="D15" i="14"/>
  <c r="C14" i="14"/>
  <c r="D14" i="14" s="1"/>
  <c r="B14" i="14"/>
  <c r="D13" i="14"/>
  <c r="D12" i="14"/>
  <c r="D11" i="14"/>
  <c r="D10" i="14"/>
  <c r="C9" i="14"/>
  <c r="B9" i="14"/>
  <c r="B7" i="14" s="1"/>
  <c r="D8" i="14"/>
  <c r="I29" i="13"/>
  <c r="H29" i="13"/>
  <c r="G29" i="13"/>
  <c r="J29" i="13" s="1"/>
  <c r="I28" i="13"/>
  <c r="H28" i="13"/>
  <c r="G28" i="13"/>
  <c r="J28" i="13" s="1"/>
  <c r="I27" i="13"/>
  <c r="H27" i="13"/>
  <c r="G27" i="13"/>
  <c r="J27" i="13" s="1"/>
  <c r="I26" i="13"/>
  <c r="H26" i="13"/>
  <c r="G26" i="13"/>
  <c r="J26" i="13" s="1"/>
  <c r="I25" i="13"/>
  <c r="H25" i="13"/>
  <c r="G25" i="13"/>
  <c r="J25" i="13" s="1"/>
  <c r="I24" i="13"/>
  <c r="H24" i="13"/>
  <c r="G24" i="13"/>
  <c r="J24" i="13" s="1"/>
  <c r="I23" i="13"/>
  <c r="H23" i="13"/>
  <c r="G23" i="13"/>
  <c r="J23" i="13" s="1"/>
  <c r="I22" i="13"/>
  <c r="H22" i="13"/>
  <c r="G22" i="13"/>
  <c r="J22" i="13" s="1"/>
  <c r="I21" i="13"/>
  <c r="H21" i="13"/>
  <c r="G21" i="13"/>
  <c r="J21" i="13" s="1"/>
  <c r="I20" i="13"/>
  <c r="H20" i="13"/>
  <c r="G20" i="13"/>
  <c r="J20" i="13" s="1"/>
  <c r="I19" i="13"/>
  <c r="H19" i="13"/>
  <c r="G19" i="13"/>
  <c r="J19" i="13" s="1"/>
  <c r="I18" i="13"/>
  <c r="H18" i="13"/>
  <c r="G18" i="13"/>
  <c r="J18" i="13" s="1"/>
  <c r="N17" i="13"/>
  <c r="M17" i="13"/>
  <c r="L17" i="13"/>
  <c r="J17" i="13"/>
  <c r="G17" i="13"/>
  <c r="P17" i="13" s="1"/>
  <c r="E17" i="13"/>
  <c r="E9" i="13" s="1"/>
  <c r="D17" i="13"/>
  <c r="H17" i="13" s="1"/>
  <c r="Q17" i="13" s="1"/>
  <c r="C17" i="13"/>
  <c r="J16" i="13"/>
  <c r="I16" i="13"/>
  <c r="H16" i="13"/>
  <c r="G16" i="13"/>
  <c r="J15" i="13"/>
  <c r="I15" i="13"/>
  <c r="H15" i="13"/>
  <c r="G15" i="13"/>
  <c r="I14" i="13"/>
  <c r="H14" i="13"/>
  <c r="G14" i="13"/>
  <c r="I13" i="13"/>
  <c r="H13" i="13"/>
  <c r="G13" i="13"/>
  <c r="N12" i="13"/>
  <c r="N9" i="13" s="1"/>
  <c r="M12" i="13"/>
  <c r="L12" i="13"/>
  <c r="H12" i="13"/>
  <c r="Q12" i="13" s="1"/>
  <c r="E12" i="13"/>
  <c r="D12" i="13"/>
  <c r="D9" i="13" s="1"/>
  <c r="H9" i="13" s="1"/>
  <c r="Q9" i="13" s="1"/>
  <c r="C12" i="13"/>
  <c r="C9" i="13" s="1"/>
  <c r="G9" i="13" s="1"/>
  <c r="P9" i="13" s="1"/>
  <c r="P11" i="13"/>
  <c r="I11" i="13"/>
  <c r="R11" i="13" s="1"/>
  <c r="H11" i="13"/>
  <c r="Q11" i="13" s="1"/>
  <c r="G11" i="13"/>
  <c r="M9" i="13"/>
  <c r="L9" i="13"/>
  <c r="Q17" i="12"/>
  <c r="P17" i="12"/>
  <c r="N17" i="12"/>
  <c r="H17" i="12"/>
  <c r="G17" i="12"/>
  <c r="F17" i="12"/>
  <c r="M17" i="12" s="1"/>
  <c r="E17" i="12"/>
  <c r="L17" i="12" s="1"/>
  <c r="Q16" i="12"/>
  <c r="P16" i="12"/>
  <c r="L16" i="12"/>
  <c r="G16" i="12"/>
  <c r="N16" i="12" s="1"/>
  <c r="F16" i="12"/>
  <c r="M16" i="12" s="1"/>
  <c r="E16" i="12"/>
  <c r="H16" i="12" s="1"/>
  <c r="Q15" i="12"/>
  <c r="P15" i="12"/>
  <c r="M15" i="12"/>
  <c r="G15" i="12"/>
  <c r="N15" i="12" s="1"/>
  <c r="F15" i="12"/>
  <c r="E15" i="12"/>
  <c r="L15" i="12" s="1"/>
  <c r="Q14" i="12"/>
  <c r="P14" i="12"/>
  <c r="N14" i="12"/>
  <c r="L14" i="12"/>
  <c r="H14" i="12"/>
  <c r="G14" i="12"/>
  <c r="F14" i="12"/>
  <c r="M14" i="12" s="1"/>
  <c r="E14" i="12"/>
  <c r="Q13" i="12"/>
  <c r="P13" i="12"/>
  <c r="J13" i="12"/>
  <c r="I13" i="12"/>
  <c r="F13" i="12" s="1"/>
  <c r="M13" i="12" s="1"/>
  <c r="E13" i="12"/>
  <c r="L13" i="12" s="1"/>
  <c r="D13" i="12"/>
  <c r="G13" i="12" s="1"/>
  <c r="N13" i="12" s="1"/>
  <c r="C13" i="12"/>
  <c r="B13" i="12"/>
  <c r="Q12" i="12"/>
  <c r="P12" i="12"/>
  <c r="M12" i="12"/>
  <c r="L12" i="12"/>
  <c r="G12" i="12"/>
  <c r="N12" i="12" s="1"/>
  <c r="F12" i="12"/>
  <c r="E12" i="12"/>
  <c r="Q11" i="12"/>
  <c r="P11" i="12"/>
  <c r="M11" i="12"/>
  <c r="L11" i="12"/>
  <c r="G11" i="12"/>
  <c r="N11" i="12" s="1"/>
  <c r="F11" i="12"/>
  <c r="E11" i="12"/>
  <c r="Q10" i="12"/>
  <c r="P10" i="12"/>
  <c r="M10" i="12"/>
  <c r="L10" i="12"/>
  <c r="G10" i="12"/>
  <c r="N10" i="12" s="1"/>
  <c r="F10" i="12"/>
  <c r="E10" i="12"/>
  <c r="L8" i="12"/>
  <c r="N7" i="12"/>
  <c r="L7" i="12"/>
  <c r="M7" i="12" s="1"/>
  <c r="L5" i="12"/>
  <c r="L4" i="12"/>
  <c r="N4" i="12" s="1"/>
  <c r="D7" i="16" l="1"/>
  <c r="I9" i="13"/>
  <c r="R9" i="13" s="1"/>
  <c r="G12" i="13"/>
  <c r="P12" i="13" s="1"/>
  <c r="I12" i="13"/>
  <c r="R12" i="13" s="1"/>
  <c r="H15" i="12"/>
  <c r="D9" i="14"/>
  <c r="M4" i="12"/>
  <c r="I17" i="13"/>
  <c r="R17" i="13" s="1"/>
  <c r="D9" i="15"/>
  <c r="C7" i="14"/>
  <c r="D7" i="14" s="1"/>
  <c r="D9" i="16"/>
</calcChain>
</file>

<file path=xl/sharedStrings.xml><?xml version="1.0" encoding="utf-8"?>
<sst xmlns="http://schemas.openxmlformats.org/spreadsheetml/2006/main" count="1963" uniqueCount="697">
  <si>
    <t>Nghìn ha</t>
  </si>
  <si>
    <t>Thực hiện cùng</t>
  </si>
  <si>
    <t>Thực hiện</t>
  </si>
  <si>
    <t>Thực hiện kỳ này</t>
  </si>
  <si>
    <t>kỳ năm trước</t>
  </si>
  <si>
    <t>kỳ này</t>
  </si>
  <si>
    <t>so với cùng kỳ</t>
  </si>
  <si>
    <t>năm trước (%)</t>
  </si>
  <si>
    <t>Thu hoạch lúa hè thu</t>
  </si>
  <si>
    <t>Gieo cấy lúa mùa</t>
  </si>
  <si>
    <t>Miền Bắc</t>
  </si>
  <si>
    <t>Miền Nam</t>
  </si>
  <si>
    <t>Trong đó:</t>
  </si>
  <si>
    <t>Ngô</t>
  </si>
  <si>
    <t>Khoai lang</t>
  </si>
  <si>
    <t>Đậu tương</t>
  </si>
  <si>
    <t>Lạc</t>
  </si>
  <si>
    <t xml:space="preserve">4. Sản phẩm chăn nuôi </t>
  </si>
  <si>
    <t xml:space="preserve">Thực hiện </t>
  </si>
  <si>
    <t>Ước tính</t>
  </si>
  <si>
    <t xml:space="preserve">Cộng dồn </t>
  </si>
  <si>
    <t>So với cùng kỳ năm trước (%)</t>
  </si>
  <si>
    <t>quý II</t>
  </si>
  <si>
    <t xml:space="preserve">quý III </t>
  </si>
  <si>
    <t>9 tháng</t>
  </si>
  <si>
    <t>Quý II</t>
  </si>
  <si>
    <t>Quý III</t>
  </si>
  <si>
    <t xml:space="preserve">9 tháng </t>
  </si>
  <si>
    <t>năm</t>
  </si>
  <si>
    <t>Sản lượng thịt hơi xuất chuồng (Nghìn tấn)</t>
  </si>
  <si>
    <t>Thịt lợn</t>
  </si>
  <si>
    <t>Thịt gia cầm</t>
  </si>
  <si>
    <t>Thịt trâu</t>
  </si>
  <si>
    <t>Thịt bò</t>
  </si>
  <si>
    <t xml:space="preserve">Sản lượng sản phẩm chăn nuôi khác </t>
  </si>
  <si>
    <t>Trứng (Triệu quả)</t>
  </si>
  <si>
    <t>Sữa (Nghìn tấn)</t>
  </si>
  <si>
    <t>3. Sản xuất nông nghiệp đến ngày 20 tháng 9 năm 2025</t>
  </si>
  <si>
    <t>Gieo trồng cây hằng năm khác</t>
  </si>
  <si>
    <t>Rau các loại</t>
  </si>
  <si>
    <t>Đậu các loại</t>
  </si>
  <si>
    <t>quý I</t>
  </si>
  <si>
    <t>quý III</t>
  </si>
  <si>
    <t>6 tháng</t>
  </si>
  <si>
    <t>Quý I</t>
  </si>
  <si>
    <t xml:space="preserve">6 tháng </t>
  </si>
  <si>
    <t>Diện tích rừng trồng mới tập trung
(Nghìn ha)</t>
  </si>
  <si>
    <t>Số cây lâm nghiệp trồng phân tán
(Triệu cây)</t>
  </si>
  <si>
    <r>
      <t>Sản lượng gỗ khai thác (Nghìn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)</t>
    </r>
  </si>
  <si>
    <t>Diện tích rừng bị thiệt hại (Ha)</t>
  </si>
  <si>
    <t>Cháy rừng</t>
  </si>
  <si>
    <t>Chặt phá rừng</t>
  </si>
  <si>
    <t>Nghìn tấn</t>
  </si>
  <si>
    <t>năm 2025</t>
  </si>
  <si>
    <t>năm 2026</t>
  </si>
  <si>
    <t>Tổng số</t>
  </si>
  <si>
    <t>Cá</t>
  </si>
  <si>
    <t>Tôm</t>
  </si>
  <si>
    <t>Thủy sản khác</t>
  </si>
  <si>
    <t>Nuôi trồng</t>
  </si>
  <si>
    <t>Khai thác</t>
  </si>
  <si>
    <t>%</t>
  </si>
  <si>
    <t>Tháng 8</t>
  </si>
  <si>
    <t>Tháng 9</t>
  </si>
  <si>
    <t>so với</t>
  </si>
  <si>
    <t>cùng kỳ</t>
  </si>
  <si>
    <t xml:space="preserve">tháng </t>
  </si>
  <si>
    <t xml:space="preserve">cùng kỳ </t>
  </si>
  <si>
    <t>năm trước</t>
  </si>
  <si>
    <t>trước</t>
  </si>
  <si>
    <t>Toàn ngành công nghiệp</t>
  </si>
  <si>
    <t>Khai khoáng</t>
  </si>
  <si>
    <t>Khai thác than cứng và than non</t>
  </si>
  <si>
    <t>Khai thác dầu thô và khí đốt tự nhiên</t>
  </si>
  <si>
    <t>Khai thác quặng kim loại</t>
  </si>
  <si>
    <t>Khai khoáng khác</t>
  </si>
  <si>
    <t>Hoạt động dịch vụ hỗ trợ khai thác mỏ và quặng</t>
  </si>
  <si>
    <t>Công nghiệp chế biến, chế tạo</t>
  </si>
  <si>
    <t>Sản xuất,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</si>
  <si>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</si>
  <si>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</si>
  <si>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</si>
  <si>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</si>
  <si>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</si>
  <si>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
(trừ giường, tủ, bàn ghế); sản xuất sản phẩm từ rơm,
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</si>
  <si>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</si>
  <si>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</si>
  <si>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</si>
  <si>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hoá chất và sản phẩm hoá chất</t>
  </si>
  <si>
    <t>Sản xuất thuốc, hoá dược và dược liệu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</si>
  <si>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</si>
  <si>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</si>
  <si>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</si>
  <si>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
(trừ máy móc, thiết bị)</t>
  </si>
  <si>
    <t>Sản xuất sản phẩm điện tử, máy vi tính 
và sản phẩm quang học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</si>
  <si>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</si>
  <si>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</si>
  <si>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</si>
  <si>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</si>
  <si>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</si>
  <si>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Công nghiệp chế biến, chế tạo khác</t>
  </si>
  <si>
    <t>Sửa chữa, bảo dưỡng và lắp đặt máy móc, thiết bị</t>
  </si>
  <si>
    <t>Sản xuất và phân phối điện</t>
  </si>
  <si>
    <t>Cung cấp nước; hoạt động quản lý và xử lý 
rác thải, nước thải</t>
  </si>
  <si>
    <t>Khai thác, xử lý và cung cấp nước</t>
  </si>
  <si>
    <t>Thoát nước và xử lý nước thải</t>
  </si>
  <si>
    <t>Hoạt động thu gom, xử lý và tiêu huỷ rác thải;
tái chế phế liệu</t>
  </si>
  <si>
    <t>8. Chỉ số sản xuất công nghiệp các quý năm 2025</t>
  </si>
  <si>
    <t>Chế biến gỗ và sản xuất sản phẩm từ gỗ, tre, nứa 
(trừ giường, tủ, bàn ghế); sản xuất sản phẩm từ rơm, rạ
và vật liệu tết bện</t>
  </si>
  <si>
    <t>Sản xuất sản phẩm từ kim loại đúc sẵn (trừ máy móc, thiết bị)</t>
  </si>
  <si>
    <t>Sản xuất sản phẩm điện tử, máy vi tính và sản phẩm quang học</t>
  </si>
  <si>
    <t>Cung cấp nước; hoạt động quản lý và xử lý rác thải, 
nước thải</t>
  </si>
  <si>
    <t>Hoạt động thu gom, xử lý và tiêu huỷ rác thải; tái chế phế liệu</t>
  </si>
  <si>
    <t xml:space="preserve">      tháng 9 và 9 tháng năm 2025</t>
  </si>
  <si>
    <t>Đơn vị</t>
  </si>
  <si>
    <t>Cộng dồn</t>
  </si>
  <si>
    <t>tính</t>
  </si>
  <si>
    <t>tháng 8</t>
  </si>
  <si>
    <t>tháng 9</t>
  </si>
  <si>
    <t>Than đá (than sạch)</t>
  </si>
  <si>
    <t>Dầu mỏ thô khai thác</t>
  </si>
  <si>
    <t>"</t>
  </si>
  <si>
    <t>Khí đốt thiên nhiên dạng khí</t>
  </si>
  <si>
    <r>
      <t>Triệu m</t>
    </r>
    <r>
      <rPr>
        <vertAlign val="superscript"/>
        <sz val="9"/>
        <rFont val="Arial"/>
        <family val="2"/>
      </rPr>
      <t>3</t>
    </r>
  </si>
  <si>
    <t>Khí hoá lỏng (LPG)</t>
  </si>
  <si>
    <t>Xăng, dầu</t>
  </si>
  <si>
    <t>Alumin</t>
  </si>
  <si>
    <t>Thuỷ hải sản chế biến</t>
  </si>
  <si>
    <t>Sữa tươi</t>
  </si>
  <si>
    <t>Triệu lít</t>
  </si>
  <si>
    <t>Sữa bột</t>
  </si>
  <si>
    <t>Đường kính</t>
  </si>
  <si>
    <t>Bột ngọt</t>
  </si>
  <si>
    <t>Thức ăn cho gia súc</t>
  </si>
  <si>
    <t>Thức ăn cho thủy sản</t>
  </si>
  <si>
    <t>Bia</t>
  </si>
  <si>
    <t>Thuốc lá điếu</t>
  </si>
  <si>
    <t>Triệu bao</t>
  </si>
  <si>
    <t>Vải dệt từ sợi tự nhiên</t>
  </si>
  <si>
    <r>
      <t>Triệu m</t>
    </r>
    <r>
      <rPr>
        <vertAlign val="superscript"/>
        <sz val="9"/>
        <rFont val="Arial"/>
        <family val="2"/>
      </rPr>
      <t>2</t>
    </r>
  </si>
  <si>
    <t>Vải dệt từ sợi tổng hợp 
hoặc sợi nhân tạo</t>
  </si>
  <si>
    <t>Quần áo mặc thường</t>
  </si>
  <si>
    <t>Triệu cái</t>
  </si>
  <si>
    <t>Giày, dép da</t>
  </si>
  <si>
    <t>Triệu đôi</t>
  </si>
  <si>
    <t>Phân U rê</t>
  </si>
  <si>
    <t>Phân hỗn hợp N.P.K</t>
  </si>
  <si>
    <t xml:space="preserve">Sơn hoá học </t>
  </si>
  <si>
    <t>Xi măng</t>
  </si>
  <si>
    <t>Triệu tấn</t>
  </si>
  <si>
    <t>Sắt, thép thô</t>
  </si>
  <si>
    <t>Thép cán</t>
  </si>
  <si>
    <t>Thép thanh, thép góc</t>
  </si>
  <si>
    <t>Điện thoại di động</t>
  </si>
  <si>
    <t>Linh kiện điện thoại</t>
  </si>
  <si>
    <t>Nghìn 
tỷ đồng</t>
  </si>
  <si>
    <t xml:space="preserve">Tivi </t>
  </si>
  <si>
    <t>Nghìn cái</t>
  </si>
  <si>
    <t>Ô tô</t>
  </si>
  <si>
    <t>Nghìn chiếc</t>
  </si>
  <si>
    <t>Xe máy</t>
  </si>
  <si>
    <t>Điện sản xuất</t>
  </si>
  <si>
    <t>Tỷ kwh</t>
  </si>
  <si>
    <t>Nước máy thương phẩm</t>
  </si>
  <si>
    <t>10. Một số sản phẩm chủ yếu của ngành công nghiệp các quý năm 2025</t>
  </si>
  <si>
    <t>Đơn vị tính</t>
  </si>
  <si>
    <t>Chỉ số tiêu thụ</t>
  </si>
  <si>
    <t>Chỉ số tồn kho</t>
  </si>
  <si>
    <t xml:space="preserve"> Tháng 9</t>
  </si>
  <si>
    <t>Thời điểm</t>
  </si>
  <si>
    <t>30/9/2025</t>
  </si>
  <si>
    <t>so với cùng</t>
  </si>
  <si>
    <t>tháng</t>
  </si>
  <si>
    <t xml:space="preserve"> cùng kỳ</t>
  </si>
  <si>
    <t xml:space="preserve"> thời điểm</t>
  </si>
  <si>
    <t>tháng trước</t>
  </si>
  <si>
    <t>Toàn ngành chế biến, chế tạo</t>
  </si>
  <si>
    <t>Chế biến gỗ và sản xuất sản phẩm từ gỗ, tre, nứa (trừ giường, tủ, bàn, ghế); sản xuất sản phẩm từ rơm, rạ và vật liệu tết bện</t>
  </si>
  <si>
    <t>Sản xuất sản phẩm từ khoáng
phi kim loại khác</t>
  </si>
  <si>
    <t>Sản xuất sản phẩm điện tử, máy vi tính
và sản phẩm quang học</t>
  </si>
  <si>
    <t>Sản xuất máy móc, thiết bị 
chưa được phân vào đâu</t>
  </si>
  <si>
    <t>Chỉ số sử dụng</t>
  </si>
  <si>
    <t>lao động thời điểm</t>
  </si>
  <si>
    <t>cùng thời điểm</t>
  </si>
  <si>
    <t>Chế biến gỗ và sản xuất sản phẩm từ gỗ, tre, nứa (trừ giường,
tủ, bàn ghế); sản xuất sản phẩm từ rơm, rạ và vật liệu tết bện</t>
  </si>
  <si>
    <t>Cung cấp nước; hoạt động quản lý và xử lý rác thải, nước thải</t>
  </si>
  <si>
    <t>Xử lý ô nhiễm và hoạt động quản lý chất thải khác</t>
  </si>
  <si>
    <t xml:space="preserve">    phân theo địa phương</t>
  </si>
  <si>
    <t>Chỉ số sử dụng lao động</t>
  </si>
  <si>
    <t xml:space="preserve"> thời điểm 01/9/2025 so với</t>
  </si>
  <si>
    <t>cùng thời điểm tháng trước</t>
  </si>
  <si>
    <t>cùng thời điểm năm trước</t>
  </si>
  <si>
    <t xml:space="preserve">CẢ NƯỚC </t>
  </si>
  <si>
    <t>Hà Nội</t>
  </si>
  <si>
    <t>Bắc Ninh</t>
  </si>
  <si>
    <t>Quảng Ninh</t>
  </si>
  <si>
    <t>Hải Phòng</t>
  </si>
  <si>
    <t>Hưng Yên</t>
  </si>
  <si>
    <t>Ninh Bình</t>
  </si>
  <si>
    <t>Cao Bằng</t>
  </si>
  <si>
    <t>Tuyên Quang</t>
  </si>
  <si>
    <t>Lào Cai</t>
  </si>
  <si>
    <t>Thái Nguyên</t>
  </si>
  <si>
    <t>Lạng Sơn</t>
  </si>
  <si>
    <t>Phú Thọ</t>
  </si>
  <si>
    <t>Điện Biên</t>
  </si>
  <si>
    <t>Lai Châu</t>
  </si>
  <si>
    <t>Sơn La</t>
  </si>
  <si>
    <t>Thanh Hóa</t>
  </si>
  <si>
    <t>Nghệ An</t>
  </si>
  <si>
    <t>Hà Tĩnh</t>
  </si>
  <si>
    <t>Quảng Trị</t>
  </si>
  <si>
    <t>Huế</t>
  </si>
  <si>
    <t xml:space="preserve">Đà Nẵng </t>
  </si>
  <si>
    <t>Quảng Ngãi</t>
  </si>
  <si>
    <t>Gia Lai</t>
  </si>
  <si>
    <t>Khánh Hòa</t>
  </si>
  <si>
    <t>Đắk Lắk</t>
  </si>
  <si>
    <t>Lâm Đồng</t>
  </si>
  <si>
    <t>Tây Ninh</t>
  </si>
  <si>
    <t>Đồng Nai</t>
  </si>
  <si>
    <t>TP. Hồ Chí Minh</t>
  </si>
  <si>
    <t>Vĩnh Long</t>
  </si>
  <si>
    <t xml:space="preserve">Đồng Tháp </t>
  </si>
  <si>
    <t xml:space="preserve">An Giang </t>
  </si>
  <si>
    <t>Cần Thơ</t>
  </si>
  <si>
    <t>Cà Mau</t>
  </si>
  <si>
    <t>Tổng</t>
  </si>
  <si>
    <t>+/-</t>
  </si>
  <si>
    <t>BQ</t>
  </si>
  <si>
    <t>Tháng 9 năm 2025</t>
  </si>
  <si>
    <t>so với (%)</t>
  </si>
  <si>
    <t>cùng kỳ năm</t>
  </si>
  <si>
    <t>2024 (%)</t>
  </si>
  <si>
    <t>Doanh nghiệp đăng ký thành lập mới (DN)</t>
  </si>
  <si>
    <t>Vốn đăng ký (Tỷ đồng)</t>
  </si>
  <si>
    <t>Lao động (Người)</t>
  </si>
  <si>
    <t>Vốn đăng ký bình quân 1 doanh nghiệp
(Tỷ đồng)</t>
  </si>
  <si>
    <t>Doanh nghiệp quay trở lại hoạt động (DN)</t>
  </si>
  <si>
    <t>Doanh nghiệp tạm ngừng kinh doanh
có thời hạn (DN)</t>
  </si>
  <si>
    <t>Doanh nghiệp tạm ngừng hoạt động
chờ làm thủ tục giải thể (DN)</t>
  </si>
  <si>
    <t>Doanh nghiệp hoàn tất thủ tục giải thể (DN)</t>
  </si>
  <si>
    <t>9 tháng năm 2025</t>
  </si>
  <si>
    <t xml:space="preserve">9 tháng năm 2025 so với </t>
  </si>
  <si>
    <t>9 tháng năm 2024</t>
  </si>
  <si>
    <t xml:space="preserve"> cùng kỳ năm 2024 (%)</t>
  </si>
  <si>
    <t>Số</t>
  </si>
  <si>
    <t xml:space="preserve">Vốn </t>
  </si>
  <si>
    <t>Số lao</t>
  </si>
  <si>
    <t>DN</t>
  </si>
  <si>
    <t>đăng ký</t>
  </si>
  <si>
    <t>động</t>
  </si>
  <si>
    <t>doanh</t>
  </si>
  <si>
    <t>(DN)</t>
  </si>
  <si>
    <t>(Tỷ đồng)</t>
  </si>
  <si>
    <t>(Người)</t>
  </si>
  <si>
    <t>nghiệp</t>
  </si>
  <si>
    <t>TỔNG SỐ</t>
  </si>
  <si>
    <t>Phân theo ngành kinh tế</t>
  </si>
  <si>
    <t>Nông, Lâm nghiệp và Thủy sản</t>
  </si>
  <si>
    <t>Công nghiệp và Xây dựng</t>
  </si>
  <si>
    <t>Sản xuất phân phối, điện, nước, gas</t>
  </si>
  <si>
    <t>Xây dựng</t>
  </si>
  <si>
    <t>Dịch vụ</t>
  </si>
  <si>
    <t>Bán buôn; bán lẻ; sửa chữa ô tô, xe máy</t>
  </si>
  <si>
    <t>Vận tải kho bãi</t>
  </si>
  <si>
    <t>Dịch vụ lưu trú và ăn uống</t>
  </si>
  <si>
    <t>Thông tin và truyền thông</t>
  </si>
  <si>
    <t>Tài chính, ngân hàng và bảo hiểm</t>
  </si>
  <si>
    <t>Kinh doanh bất động sản</t>
  </si>
  <si>
    <t>Khoa học, công nghệ; dịch vụ tư vấn, thiết kế; quảng cáo và chuyên môn khác</t>
  </si>
  <si>
    <t>Giáo dục và đào tạo</t>
  </si>
  <si>
    <t>Y tế và hoạt động trợ giúp xã hội</t>
  </si>
  <si>
    <t>Nghệ thuật, vui chơi và giải trí</t>
  </si>
  <si>
    <t>Dịch vụ việc làm; du lịch; cho thuê máy móc thiết bị, đồ dùng và các dịch vụ hỗ trợ khác</t>
  </si>
  <si>
    <t>Hoạt động dịch vụ khác</t>
  </si>
  <si>
    <t>Doanh nghiệp</t>
  </si>
  <si>
    <t>năm 2024</t>
  </si>
  <si>
    <t>cùng kỳ năm 2024 (%)</t>
  </si>
  <si>
    <t>Khoa học, công nghệ; dịch vụ tư vấn, thiết kế;
quảng cáo và chuyên môn khác</t>
  </si>
  <si>
    <t>Dịch vụ việc làm; du lịch; cho thuê máy móc
thiết bị, đồ dùng và các dịch vụ hỗ trợ khác</t>
  </si>
  <si>
    <t>Nghìn tỷ đồng</t>
  </si>
  <si>
    <t>Vốn đầu tư thuộc ngân sách Nhà nước</t>
  </si>
  <si>
    <t>Vốn tín dụng đầu tư theo kế hoạch NN</t>
  </si>
  <si>
    <t>Vốn vay từ các nguồn khác 
(của khu vực Nhà nước)</t>
  </si>
  <si>
    <t>Vốn đầu tư của doanh nghiệp Nhà nước
(Vốn tự có)</t>
  </si>
  <si>
    <t>Vốn đầu tư của dân cư và tư nhân</t>
  </si>
  <si>
    <t>Vốn đầu tư trực tiếp nước ngoài</t>
  </si>
  <si>
    <t>Vốn huy động khác</t>
  </si>
  <si>
    <t>Tỷ đồng</t>
  </si>
  <si>
    <t xml:space="preserve">Ước tính </t>
  </si>
  <si>
    <t>9 tháng năm</t>
  </si>
  <si>
    <t>2025 so với</t>
  </si>
  <si>
    <t xml:space="preserve"> kế hoạch</t>
  </si>
  <si>
    <t>năm 2024 (%)</t>
  </si>
  <si>
    <t>Trung ương</t>
  </si>
  <si>
    <t>Bộ Xây dựng</t>
  </si>
  <si>
    <t>Bộ Nông nghiệp và Môi trường</t>
  </si>
  <si>
    <t>Bộ Y tế</t>
  </si>
  <si>
    <t>Bộ Giáo dục và Đào tạo</t>
  </si>
  <si>
    <t>Bộ Văn hóa, Thể thao và Du lịch</t>
  </si>
  <si>
    <t>Bộ Khoa học và Công nghệ</t>
  </si>
  <si>
    <t>Bộ Công thương</t>
  </si>
  <si>
    <t>Địa phương</t>
  </si>
  <si>
    <t>Vốn ngân sách NN cấp tỉnh</t>
  </si>
  <si>
    <t>Vốn ngân sách NN cấp xã</t>
  </si>
  <si>
    <t>Phân theo một số tỉnh, thành phố</t>
  </si>
  <si>
    <t>Bắc Giang</t>
  </si>
  <si>
    <t>Đồng Tháp</t>
  </si>
  <si>
    <t>Đà Nẵng</t>
  </si>
  <si>
    <t>An Giang</t>
  </si>
  <si>
    <t/>
  </si>
  <si>
    <t>Triệu USD</t>
  </si>
  <si>
    <t>Số dự án</t>
  </si>
  <si>
    <t>Vốn đăng ký</t>
  </si>
  <si>
    <t>(Dự án)</t>
  </si>
  <si>
    <t>cấp mới</t>
  </si>
  <si>
    <t>điều chỉnh</t>
  </si>
  <si>
    <t>Phân theo một số địa phương</t>
  </si>
  <si>
    <t>Phân theo một số nước và vùng lãnh thổ</t>
  </si>
  <si>
    <t>Xin-ga-po</t>
  </si>
  <si>
    <t>Trung Quốc</t>
  </si>
  <si>
    <t>Đặc khu hành chính Hồng Kông (TQ)</t>
  </si>
  <si>
    <t>Thụy Điển</t>
  </si>
  <si>
    <t>Nhật Bản</t>
  </si>
  <si>
    <t>Đài Loan</t>
  </si>
  <si>
    <t>Hàn Quốc</t>
  </si>
  <si>
    <t>Hoa Kỳ</t>
  </si>
  <si>
    <t>Quần đảo Vigin thuộc Anh</t>
  </si>
  <si>
    <t>Xa-moa</t>
  </si>
  <si>
    <t>Ma-lai-xi-a</t>
  </si>
  <si>
    <t>Thái Lan</t>
  </si>
  <si>
    <t>Quần đảo Cây-men</t>
  </si>
  <si>
    <t>Lúc-xăm-bua</t>
  </si>
  <si>
    <t>Đan Mạch</t>
  </si>
  <si>
    <t>Hà Lan</t>
  </si>
  <si>
    <t>Đức</t>
  </si>
  <si>
    <t>Xây-xen</t>
  </si>
  <si>
    <t>Vương quốc Anh</t>
  </si>
  <si>
    <t>Ca-na-da</t>
  </si>
  <si>
    <t>Sơ bộ</t>
  </si>
  <si>
    <t>Cộng dồn 9 tháng</t>
  </si>
  <si>
    <t xml:space="preserve">Tháng 9 </t>
  </si>
  <si>
    <t>Cơ</t>
  </si>
  <si>
    <t>mức</t>
  </si>
  <si>
    <t>cấu (%)</t>
  </si>
  <si>
    <t>trước (%)</t>
  </si>
  <si>
    <t>Bán lẻ hàng hóa</t>
  </si>
  <si>
    <t>Dịch vụ lưu trú, ăn uống</t>
  </si>
  <si>
    <t>Du lịch lữ hành</t>
  </si>
  <si>
    <t>Dịch vụ khác</t>
  </si>
  <si>
    <t>Tháng 9 năm</t>
  </si>
  <si>
    <t>(%)</t>
  </si>
  <si>
    <t>I. Vận chuyển (Nghìn HK)</t>
  </si>
  <si>
    <t xml:space="preserve">  Phân theo khu vực vận tải</t>
  </si>
  <si>
    <t>Trong nước</t>
  </si>
  <si>
    <t>Ngoài nước</t>
  </si>
  <si>
    <t xml:space="preserve">  Phân theo ngành vận tải</t>
  </si>
  <si>
    <t>Đường sắt</t>
  </si>
  <si>
    <t>Đường biển</t>
  </si>
  <si>
    <t>Đường thủy nội địa</t>
  </si>
  <si>
    <t>Đường bộ</t>
  </si>
  <si>
    <t>Hàng không</t>
  </si>
  <si>
    <t>II. Luân chuyển (Triệu HK.km)</t>
  </si>
  <si>
    <t>I. Vận chuyển (Nghìn tấn)</t>
  </si>
  <si>
    <t>II. Luân chuyển (Triệu tấn.km)</t>
  </si>
  <si>
    <t>Lượt người</t>
  </si>
  <si>
    <t>Phân theo phương tiện đến</t>
  </si>
  <si>
    <t>Đường không</t>
  </si>
  <si>
    <t>Châu Á</t>
  </si>
  <si>
    <t>CHND Trung Hoa</t>
  </si>
  <si>
    <t>Cam-pu-chia</t>
  </si>
  <si>
    <t>Phi-li-pin</t>
  </si>
  <si>
    <t>Lào</t>
  </si>
  <si>
    <t>In-đô-nê-xi-a</t>
  </si>
  <si>
    <t>Ấn Độ</t>
  </si>
  <si>
    <t xml:space="preserve">Một số nước khác </t>
  </si>
  <si>
    <t>Châu Mỹ</t>
  </si>
  <si>
    <t>Ca-na-đa</t>
  </si>
  <si>
    <t>Một số nước khác thuộc châu Mỹ</t>
  </si>
  <si>
    <t>Châu Âu</t>
  </si>
  <si>
    <t>Liên bang Nga</t>
  </si>
  <si>
    <t>Pháp</t>
  </si>
  <si>
    <t>Tây Ban Nha</t>
  </si>
  <si>
    <t>I-ta-li-a</t>
  </si>
  <si>
    <t>Thụy Sỹ</t>
  </si>
  <si>
    <t>Bỉ</t>
  </si>
  <si>
    <t>Na Uy</t>
  </si>
  <si>
    <t>Cộng hoà Séc</t>
  </si>
  <si>
    <t>Ba Lan</t>
  </si>
  <si>
    <t>Một số nước khác</t>
  </si>
  <si>
    <t>Châu Úc</t>
  </si>
  <si>
    <t>Ôx-trây-li-a</t>
  </si>
  <si>
    <t>Niu-di-lân</t>
  </si>
  <si>
    <t xml:space="preserve">Nước, vùng lãnh thổ khác </t>
  </si>
  <si>
    <t>Châu Phi</t>
  </si>
  <si>
    <t>Nghìn tấn; Triệu USD</t>
  </si>
  <si>
    <t>Lượng</t>
  </si>
  <si>
    <t>Trị giá</t>
  </si>
  <si>
    <t>TỔNG TRỊ GIÁ</t>
  </si>
  <si>
    <t>Khu vực kinh tế trong nước</t>
  </si>
  <si>
    <t>Khu vực có vốn đầu tư NN</t>
  </si>
  <si>
    <t>Dầu thô</t>
  </si>
  <si>
    <t>Hàng hoá khác</t>
  </si>
  <si>
    <t>MẶT HÀNG CHỦ YẾU</t>
  </si>
  <si>
    <t xml:space="preserve">Thủy sản </t>
  </si>
  <si>
    <t>Rau quả</t>
  </si>
  <si>
    <t>Hạt điều</t>
  </si>
  <si>
    <t>Cà phê</t>
  </si>
  <si>
    <t>Chè</t>
  </si>
  <si>
    <t>Hạt tiêu</t>
  </si>
  <si>
    <t>Gạo</t>
  </si>
  <si>
    <t>Sắn và sản phẩm của sắn</t>
  </si>
  <si>
    <t>Bánh kẹo và các sản phẩm từ ngũ cốc</t>
  </si>
  <si>
    <t>Thức ăn gia súc và nguyên liệu</t>
  </si>
  <si>
    <t xml:space="preserve"> Clanhke và xi măng</t>
  </si>
  <si>
    <t xml:space="preserve">Dầu thô  </t>
  </si>
  <si>
    <t>Xăng dầu</t>
  </si>
  <si>
    <t>Hóa chất</t>
  </si>
  <si>
    <t>SP hóa chất</t>
  </si>
  <si>
    <t>Chất dẻo nguyên liệu</t>
  </si>
  <si>
    <t>Sản phẩm chất dẻo</t>
  </si>
  <si>
    <t>Cao su</t>
  </si>
  <si>
    <t>Sản phẩm từ cao su</t>
  </si>
  <si>
    <t>Túi xách, ví, va li, mũ, ô dù</t>
  </si>
  <si>
    <t>Gỗ và sản phẩm gỗ</t>
  </si>
  <si>
    <t>Giấy và các sản phẩm từ giấy</t>
  </si>
  <si>
    <t>Xơ, sợi dệt các loại</t>
  </si>
  <si>
    <t>Hàng dệt, may</t>
  </si>
  <si>
    <t>Giày dép</t>
  </si>
  <si>
    <t>Nguyên phụ liệu dệt, may, da, giày</t>
  </si>
  <si>
    <t>Thủy tinh và các sản phẩm từ thủy tinh</t>
  </si>
  <si>
    <t>Sắt thép</t>
  </si>
  <si>
    <t>Sản phẩm từ sắt thép</t>
  </si>
  <si>
    <t>Kim loại thường khác và sản phẩm</t>
  </si>
  <si>
    <t>Điện tử, máy tính và linh kiện</t>
  </si>
  <si>
    <t>Điện thoại các loại và linh kiện</t>
  </si>
  <si>
    <t>Máy ảnh, máy quay phim và linh kiện</t>
  </si>
  <si>
    <t>Máy móc, thiết bị, dụng cụ, phụ tùng khác</t>
  </si>
  <si>
    <t>Dây điện và cáp điện</t>
  </si>
  <si>
    <t>Phương tiện vận tải và phụ tùng</t>
  </si>
  <si>
    <t>Sản phẩm nội thất từ chất liệu khác gỗ</t>
  </si>
  <si>
    <t>Đồ chơi, dụng cụ thể thao và bộ phận</t>
  </si>
  <si>
    <t>Thủy sản</t>
  </si>
  <si>
    <t>Sữa và sản phẩm sữa</t>
  </si>
  <si>
    <t>Lúa mỳ</t>
  </si>
  <si>
    <t>Dầu mỡ động thực vật</t>
  </si>
  <si>
    <t>Chế phẩm thực phẩm khác</t>
  </si>
  <si>
    <t>Thức ăn gia súc và NPL</t>
  </si>
  <si>
    <t>Quặng và khoáng sản khác</t>
  </si>
  <si>
    <t>Than đá</t>
  </si>
  <si>
    <t xml:space="preserve">Xăng dầu </t>
  </si>
  <si>
    <t>Khí đốt hóa lỏng</t>
  </si>
  <si>
    <t>Sản phẩm khác từ dầu mỏ</t>
  </si>
  <si>
    <t xml:space="preserve">Hóa chất </t>
  </si>
  <si>
    <t>Sản phẩm hoá chất</t>
  </si>
  <si>
    <t>Tân dược</t>
  </si>
  <si>
    <t xml:space="preserve">Phân bón </t>
  </si>
  <si>
    <t>Chất thơm, mỹ phẩm và chế phẩm vệ sinh</t>
  </si>
  <si>
    <t xml:space="preserve">Chất dẻo </t>
  </si>
  <si>
    <t>Giấy các loại</t>
  </si>
  <si>
    <t>Sản phẩm từ giấy</t>
  </si>
  <si>
    <t xml:space="preserve">Bông </t>
  </si>
  <si>
    <t xml:space="preserve">Sợi dệt </t>
  </si>
  <si>
    <t>Vải</t>
  </si>
  <si>
    <t>Nguyên PL dệt, may, giày dép</t>
  </si>
  <si>
    <t>Phế liệu sắt thép</t>
  </si>
  <si>
    <t xml:space="preserve">Sắt thép </t>
  </si>
  <si>
    <t>Kim loại thường khác</t>
  </si>
  <si>
    <t>Sản phẩm từ kim loại thường khác</t>
  </si>
  <si>
    <t>Hàng điện gia dụng và linh kiện</t>
  </si>
  <si>
    <t xml:space="preserve"> Trong đó: Nguyên chiếc(*)</t>
  </si>
  <si>
    <t>Phương tiện vận tải khác và phụ tùng</t>
  </si>
  <si>
    <t>(*)Chiếc, triệu USD</t>
  </si>
  <si>
    <t>Nghìn tấn; triệu USD</t>
  </si>
  <si>
    <t>Clanhke và xi măng</t>
  </si>
  <si>
    <t>Sản phẩm hóa chất</t>
  </si>
  <si>
    <t>Sản phẩm từ chất dẻo</t>
  </si>
  <si>
    <t>Dệt, may</t>
  </si>
  <si>
    <t>Điện thoại và linh kiện</t>
  </si>
  <si>
    <t>SP nội thất từ chất liệu khác gỗ</t>
  </si>
  <si>
    <t>Khu vực KT trong nước</t>
  </si>
  <si>
    <t>Khu vực có vốn ĐTTTNN</t>
  </si>
  <si>
    <t>I.  XUẤT KHẨU DỊCH VỤ</t>
  </si>
  <si>
    <t xml:space="preserve">Dịch vụ vận tải </t>
  </si>
  <si>
    <t>Dịch vụ bưu chính viễn thông</t>
  </si>
  <si>
    <t>Dịch vụ du lịch</t>
  </si>
  <si>
    <t>Dịch vụ tài chính</t>
  </si>
  <si>
    <t xml:space="preserve">Dịch vụ bảo hiểm </t>
  </si>
  <si>
    <t xml:space="preserve">Dịch vụ Chính phủ </t>
  </si>
  <si>
    <t xml:space="preserve">Dịch vụ khác </t>
  </si>
  <si>
    <t>II.  NHẬP KHẨU DỊCH VỤ</t>
  </si>
  <si>
    <t>Trong đó phí vận tải hàng hóa nhập khẩu</t>
  </si>
  <si>
    <t>Trong đó phí bảo hiểm hàng hóa nhập khẩu</t>
  </si>
  <si>
    <t xml:space="preserve">       và lạm phát cơ bản tháng 9 năm 2025</t>
  </si>
  <si>
    <t>Tháng 9 năm 2025 so với:</t>
  </si>
  <si>
    <t>Bình quân</t>
  </si>
  <si>
    <t>Kỳ gốc</t>
  </si>
  <si>
    <t>Tháng 12</t>
  </si>
  <si>
    <t xml:space="preserve">năm </t>
  </si>
  <si>
    <t>CHỈ SỐ GIÁ TIÊU DÙNG</t>
  </si>
  <si>
    <t>Hàng ăn và dịch vụ ăn uống</t>
  </si>
  <si>
    <t xml:space="preserve">    Trong đó:</t>
  </si>
  <si>
    <t>Lương thực</t>
  </si>
  <si>
    <t>Thực phẩm</t>
  </si>
  <si>
    <t>Ăn uống ngoài gia đình</t>
  </si>
  <si>
    <t>Đồ uống và thuốc lá</t>
  </si>
  <si>
    <t xml:space="preserve">May mặc, mũ nón và giày dép </t>
  </si>
  <si>
    <r>
      <t>Nhà ở và vật liệu xây dựng</t>
    </r>
    <r>
      <rPr>
        <vertAlign val="superscript"/>
        <sz val="9.5"/>
        <rFont val="Arial"/>
        <family val="2"/>
      </rPr>
      <t>(*)</t>
    </r>
  </si>
  <si>
    <t>Thiết bị và đồ dùng gia đình</t>
  </si>
  <si>
    <t>Thuốc và dịch vụ y tế</t>
  </si>
  <si>
    <t>Dịch vụ y tế</t>
  </si>
  <si>
    <t>Giao thông</t>
  </si>
  <si>
    <t>Bưu chính viễn thông</t>
  </si>
  <si>
    <t>Giáo dục</t>
  </si>
  <si>
    <t>Dịch vụ giáo dục</t>
  </si>
  <si>
    <t>Văn hoá, giải trí và du lịch</t>
  </si>
  <si>
    <t>Hàng hóa và dịch vụ khác</t>
  </si>
  <si>
    <t>CHỈ SỐ GIÁ VÀNG</t>
  </si>
  <si>
    <t>CHỈ SỐ GIÁ ĐÔ LA MỸ</t>
  </si>
  <si>
    <t>LẠM PHÁT CƠ BẢN</t>
  </si>
  <si>
    <r>
      <rPr>
        <vertAlign val="superscript"/>
        <sz val="10"/>
        <rFont val="Arial"/>
        <family val="2"/>
      </rPr>
      <t xml:space="preserve">(*) </t>
    </r>
    <r>
      <rPr>
        <sz val="10"/>
        <rFont val="Arial"/>
        <family val="2"/>
      </rPr>
      <t>Nhóm này bao gồm: tiền thuê nhà ở, điện, nước, chất đốt và vật liệu xây dựng.</t>
    </r>
  </si>
  <si>
    <t>Quý III năm 2025 so với:</t>
  </si>
  <si>
    <t xml:space="preserve"> so với cùng kỳ </t>
  </si>
  <si>
    <t>Nông nghiệp, lâm nghiệp và thủy sản</t>
  </si>
  <si>
    <t>Nông nghiệp và dịch vụ có liên quan</t>
  </si>
  <si>
    <t>Lâm nghiệp và dịch vụ có liên quan</t>
  </si>
  <si>
    <t>Thủy sản khai thác, nuôi trồng</t>
  </si>
  <si>
    <t xml:space="preserve">Công nghiệp </t>
  </si>
  <si>
    <t xml:space="preserve">Điện, khí đốt, nước nóng, hơi nước và điều hòa
không khí </t>
  </si>
  <si>
    <t>Nước tự nhiên khai thác; dịch vụ quản lý nước và 
xử lý rác thải, nước thải</t>
  </si>
  <si>
    <r>
      <rPr>
        <vertAlign val="superscript"/>
        <sz val="10"/>
        <color theme="1"/>
        <rFont val="Arial"/>
        <family val="2"/>
      </rPr>
      <t>(*)</t>
    </r>
    <r>
      <rPr>
        <sz val="10"/>
        <rFont val="Arial"/>
        <family val="2"/>
      </rPr>
      <t xml:space="preserve"> Số liệu sơ bộ.</t>
    </r>
  </si>
  <si>
    <t>CHỈ SỐ CHUNG</t>
  </si>
  <si>
    <t>Dịch vụ vận tải đường sắt, đường bộ</t>
  </si>
  <si>
    <t>Vận tải đường sắt</t>
  </si>
  <si>
    <t>Vận tải đường bộ và xe buýt</t>
  </si>
  <si>
    <t>Dịch vụ vận tải đường thủy</t>
  </si>
  <si>
    <t>Dịch vụ vận tải đường ven biển và viễn dương</t>
  </si>
  <si>
    <t>Dịch vụ vận tải đường thủy nội địa</t>
  </si>
  <si>
    <t>Dịch vụ vận tải đường hàng không</t>
  </si>
  <si>
    <t>Dịch vụ kho bãi và các dịch vụ liên quan
đến hỗ trợ vận tải</t>
  </si>
  <si>
    <t xml:space="preserve">Trong đó: </t>
  </si>
  <si>
    <t>Dịch vụ liên quan đến hoạt động hỗ trợ vận tải</t>
  </si>
  <si>
    <t>Dịch vụ bốc xếp hàng hóa</t>
  </si>
  <si>
    <t>Dịch vụ bưu chính và chuyển phát</t>
  </si>
  <si>
    <t>Phân theo mục đích sử dụng</t>
  </si>
  <si>
    <t>Sử dụng cho sản xuất nông nghiệp, lâm nghiệp và thủy sản</t>
  </si>
  <si>
    <t>Sử dụng cho sản xuất công nghiệp chế biến, chế tạo</t>
  </si>
  <si>
    <t>Sử dụng cho xây dựng</t>
  </si>
  <si>
    <t>Phân theo ngành sản phẩm</t>
  </si>
  <si>
    <t>Sản phẩm nông nghiệp, lâm nghiệp và thủy sản</t>
  </si>
  <si>
    <t>Sản phẩm khai khoáng</t>
  </si>
  <si>
    <t>Sản phẩm công nghiệp chế biến, chế tạo</t>
  </si>
  <si>
    <t>Điện, khí đốt, hơi nước và điều hòa không khí</t>
  </si>
  <si>
    <t>Nước tự nhiên khai thác</t>
  </si>
  <si>
    <t>Dịch vụ xây dựng chuyên dụng</t>
  </si>
  <si>
    <t>Dịch vụ chuyên môn khoa học công nghệ</t>
  </si>
  <si>
    <t>Nông sản, thực phẩm</t>
  </si>
  <si>
    <t>Hàng thủy sản</t>
  </si>
  <si>
    <t>Hàng rau quả</t>
  </si>
  <si>
    <t>Sắn và sản phẩm từ sắn</t>
  </si>
  <si>
    <t>Nhiên liệu</t>
  </si>
  <si>
    <t>Xăng dầu các loại</t>
  </si>
  <si>
    <t>Hàng hóa chế biến, chế tạo khác</t>
  </si>
  <si>
    <t>Sản phẩm từ hóa chất</t>
  </si>
  <si>
    <t>Túi xách, ví, vali, mũ và ô dù</t>
  </si>
  <si>
    <t>Sản phẩm mây, tre, cói và thảm</t>
  </si>
  <si>
    <t>Gỗ và sản phẩm từ gỗ</t>
  </si>
  <si>
    <t>Giấy và sản phẩm từ giấy</t>
  </si>
  <si>
    <t>Hàng dệt may</t>
  </si>
  <si>
    <t>Giày dép các loại</t>
  </si>
  <si>
    <t>Máy vi tính, sản phẩm điện tử và linh kiện</t>
  </si>
  <si>
    <t>Điện thoại và thiết bị di động</t>
  </si>
  <si>
    <t>Máy móc, thiết bị, dụng cụ và phụ tùng khác</t>
  </si>
  <si>
    <t>Dây và cáp điện</t>
  </si>
  <si>
    <t xml:space="preserve">CHỈ SỐ CHUNG </t>
  </si>
  <si>
    <t xml:space="preserve"> Hàng thủy sản</t>
  </si>
  <si>
    <t xml:space="preserve"> Hàng rau quả</t>
  </si>
  <si>
    <t xml:space="preserve"> Lúa mỳ</t>
  </si>
  <si>
    <t xml:space="preserve"> Dầu mỡ động thực vật</t>
  </si>
  <si>
    <t>Thức ăn chăn nuôi và nguyên liệu</t>
  </si>
  <si>
    <t>Nguyên phụ liệu dược phẩm</t>
  </si>
  <si>
    <t>Phân bón</t>
  </si>
  <si>
    <t>Thuốc trừ sâu</t>
  </si>
  <si>
    <t>Cao su nguyên liệu</t>
  </si>
  <si>
    <t>Giấy</t>
  </si>
  <si>
    <t>Xơ, sợi dệt</t>
  </si>
  <si>
    <t>Vải may mặc</t>
  </si>
  <si>
    <t>Ô tô nguyên chiếc</t>
  </si>
  <si>
    <t>Máy móc, thiết bị, dụng cụ và phụ tùng</t>
  </si>
  <si>
    <t>Dây điện và dây cáp điện</t>
  </si>
  <si>
    <t>Linh kiện, phụ tùng ô tô</t>
  </si>
  <si>
    <t xml:space="preserve"> năm 2025</t>
  </si>
  <si>
    <t>Nghìn người</t>
  </si>
  <si>
    <t xml:space="preserve">Lực lượng lao động từ 15 tuổi trở lên </t>
  </si>
  <si>
    <t>Phân theo giới tính</t>
  </si>
  <si>
    <t xml:space="preserve">Nam </t>
  </si>
  <si>
    <t>Nữ</t>
  </si>
  <si>
    <t>Phân theo thành thị, nông thôn</t>
  </si>
  <si>
    <t xml:space="preserve">Thành thị </t>
  </si>
  <si>
    <t>Nông thôn</t>
  </si>
  <si>
    <t>Lao động có việc làm</t>
  </si>
  <si>
    <t>Nông, lâm nghiệp và thủy sản</t>
  </si>
  <si>
    <t>Công nghiệp và xây dựng</t>
  </si>
  <si>
    <t>Cơ cấu - %</t>
  </si>
  <si>
    <t>Chung</t>
  </si>
  <si>
    <t>Chia ra:</t>
  </si>
  <si>
    <t>Thành thị</t>
  </si>
  <si>
    <t>Tỷ lệ thất nghiệp trong độ tuổi lao động</t>
  </si>
  <si>
    <t>Quý I năm 2025</t>
  </si>
  <si>
    <t>Quý II năm 2025</t>
  </si>
  <si>
    <t>Quý III năm 2025</t>
  </si>
  <si>
    <t>Ước tính 9 tháng năm 2025</t>
  </si>
  <si>
    <t>Tỷ lệ thất nghiệp thanh niên (từ 15-24 tuổi)</t>
  </si>
  <si>
    <t>Tỷ lệ thiếu việc làm trong độ tuổi lao động</t>
  </si>
  <si>
    <t>Tỷ lệ chung</t>
  </si>
  <si>
    <r>
      <rPr>
        <vertAlign val="superscript"/>
        <sz val="10"/>
        <color indexed="8"/>
        <rFont val="Arial"/>
        <family val="2"/>
      </rPr>
      <t>(*)</t>
    </r>
    <r>
      <rPr>
        <sz val="10"/>
        <color indexed="8"/>
        <rFont val="Arial"/>
        <family val="2"/>
      </rPr>
      <t xml:space="preserve"> Bao gồm cả lao động làm việc trong khu vực hộ nông, lâm nghiệp và thủy sản.</t>
    </r>
  </si>
  <si>
    <t>Năm 2025</t>
  </si>
  <si>
    <t>Tai nạn giao thông</t>
  </si>
  <si>
    <t>Tổng số vụ tai nạn giao thông</t>
  </si>
  <si>
    <t>Vụ</t>
  </si>
  <si>
    <t>Số người chết</t>
  </si>
  <si>
    <t>Người</t>
  </si>
  <si>
    <t>Số người bị thương</t>
  </si>
  <si>
    <t>Thiệt hại do thiên tai</t>
  </si>
  <si>
    <t>Số người chết, mất tích</t>
  </si>
  <si>
    <t>Diện tích lúa hư hại</t>
  </si>
  <si>
    <t>Ha</t>
  </si>
  <si>
    <t>Diện tích hoa màu hư hại</t>
  </si>
  <si>
    <t>Nhà bị sập đổ, cuốn trôi</t>
  </si>
  <si>
    <t>Cái</t>
  </si>
  <si>
    <t>Nhà bị ngập, sạt lở, tốc mái</t>
  </si>
  <si>
    <t>Tổng giá trị thiệt hại</t>
  </si>
  <si>
    <t>Cháy, nổ</t>
  </si>
  <si>
    <t>Số vụ cháy, nổ</t>
  </si>
  <si>
    <t>Vi phạm môi trường</t>
  </si>
  <si>
    <t>Số vụ vi phạm môi trường</t>
  </si>
  <si>
    <t>Số vụ vi phạm môi trường đã xử lý</t>
  </si>
  <si>
    <t>Số tiền xử phạt</t>
  </si>
  <si>
    <t>5. Kết quả sản xuất lâm nghiệp</t>
  </si>
  <si>
    <t xml:space="preserve">6. Sản lượng thủy sản </t>
  </si>
  <si>
    <t>7. Chỉ số sản xuất công nghiệp tháng 9 và 9 tháng năm 2025</t>
  </si>
  <si>
    <t>9. Một số sản phẩm chủ yếu của ngành công nghiệp</t>
  </si>
  <si>
    <t>11. Chỉ số tiêu thụ và tồn kho ngành công nghiệp chế biến, chế tạo</t>
  </si>
  <si>
    <t xml:space="preserve">12. Chỉ số sử dụng lao động của doanh nghiệp công nghiệp </t>
  </si>
  <si>
    <t>01/9/2025 so với</t>
  </si>
  <si>
    <t xml:space="preserve">13. Chỉ số sử dụng lao động của doanh nghiệp công nghiệp </t>
  </si>
  <si>
    <t xml:space="preserve">14. Một số chỉ tiêu về doanh nghiệp </t>
  </si>
  <si>
    <t>15. Doanh nghiệp đăng ký thành lập mới</t>
  </si>
  <si>
    <t>16. Doanh nghiệp quay trở lại hoạt động</t>
  </si>
  <si>
    <t>17. Doanh nghiệp tạm ngừng kinh doanh có thời hạn</t>
  </si>
  <si>
    <t>18. Doanh nghiệp hoàn tất thủ tục giải thể</t>
  </si>
  <si>
    <t>19. Vốn đầu tư thực hiện toàn xã hội theo giá hiện hành</t>
  </si>
  <si>
    <t>20. Vốn đầu tư thực hiện từ nguồn ngân sách Nhà nước</t>
  </si>
  <si>
    <t>21. Vốn đầu tư thực hiện từ nguồn ngân sách Nhà nước các quý</t>
  </si>
  <si>
    <t>22. Đầu tư nước ngoài vào Việt Nam được cấp phép từ 01/01- 30/9/2025</t>
  </si>
  <si>
    <t>23. Tổng mức bán lẻ hàng hóa và doanh thu dịch vụ tiêu dùng</t>
  </si>
  <si>
    <t>24. Tổng mức bán lẻ hàng hóa và doanh thu dịch vụ tiêu dùng các quý năm 2025</t>
  </si>
  <si>
    <t>25. Hàng hóa xuất khẩu</t>
  </si>
  <si>
    <t>26. Hàng hóa nhập khẩu</t>
  </si>
  <si>
    <t>27. Hàng hóa xuất khẩu các quý năm 2025</t>
  </si>
  <si>
    <t>28. Hàng hóa nhập khẩu các quý năm 2025</t>
  </si>
  <si>
    <t>29. Xuất, nhập khẩu dịch vụ</t>
  </si>
  <si>
    <t xml:space="preserve">30. Chỉ số giá tiêu dùng, chỉ số giá vàng, chỉ số giá đô la Mỹ </t>
  </si>
  <si>
    <r>
      <t>31. Chỉ số giá sản xuất</t>
    </r>
    <r>
      <rPr>
        <b/>
        <vertAlign val="superscript"/>
        <sz val="12"/>
        <rFont val="Arial"/>
        <family val="2"/>
      </rPr>
      <t>(*)</t>
    </r>
  </si>
  <si>
    <r>
      <t>32. Chỉ số giá vận tải, kho bãi</t>
    </r>
    <r>
      <rPr>
        <b/>
        <vertAlign val="superscript"/>
        <sz val="12"/>
        <rFont val="Arial"/>
        <family val="2"/>
      </rPr>
      <t>(*)</t>
    </r>
  </si>
  <si>
    <r>
      <t>33. Chỉ số giá nguyên liệu, nhiên liệu, vật liệu dùng cho sản xuất</t>
    </r>
    <r>
      <rPr>
        <b/>
        <vertAlign val="superscript"/>
        <sz val="12"/>
        <rFont val="Arial"/>
        <family val="2"/>
      </rPr>
      <t>(*)</t>
    </r>
  </si>
  <si>
    <r>
      <t>34. Chỉ số giá xuất khẩu hàng hóa</t>
    </r>
    <r>
      <rPr>
        <b/>
        <vertAlign val="superscript"/>
        <sz val="12"/>
        <rFont val="Arial"/>
        <family val="2"/>
      </rPr>
      <t>(*)</t>
    </r>
  </si>
  <si>
    <r>
      <t>35. Chỉ số giá nhập khẩu hàng hóa</t>
    </r>
    <r>
      <rPr>
        <b/>
        <vertAlign val="superscript"/>
        <sz val="12"/>
        <rFont val="Arial"/>
        <family val="2"/>
      </rPr>
      <t>(*)</t>
    </r>
  </si>
  <si>
    <r>
      <t>36. Tỷ giá thương mại hàng hóa</t>
    </r>
    <r>
      <rPr>
        <b/>
        <vertAlign val="superscript"/>
        <sz val="12"/>
        <rFont val="Arial"/>
        <family val="2"/>
      </rPr>
      <t>(*)</t>
    </r>
  </si>
  <si>
    <t>37. Vận tải hành khách tháng 9 và 9 tháng năm 2025</t>
  </si>
  <si>
    <t>38. Vận tải hành khách các quý năm 2025</t>
  </si>
  <si>
    <t>39. Vận tải hàng hoá tháng 9 và 9 tháng năm 2025</t>
  </si>
  <si>
    <t>40. Vận tải hàng hoá các quý năm 2025</t>
  </si>
  <si>
    <t>41. Khách quốc tế đến Việt Nam</t>
  </si>
  <si>
    <t>42. Khách quốc tế đến Việt Nam các quý năm 2025</t>
  </si>
  <si>
    <t xml:space="preserve">43. Một số chỉ tiêu lao động </t>
  </si>
  <si>
    <t>44. Tỷ lệ thất nghiệp và tỷ lệ thiếu việc làm</t>
  </si>
  <si>
    <r>
      <t>45. Tỷ lệ lao động có việc làm phi chính thức</t>
    </r>
    <r>
      <rPr>
        <b/>
        <vertAlign val="superscript"/>
        <sz val="12"/>
        <color indexed="8"/>
        <rFont val="Arial"/>
        <family val="2"/>
      </rPr>
      <t>(*)</t>
    </r>
  </si>
  <si>
    <t>46. Một số chỉ tiêu xã hội - môi trường</t>
  </si>
  <si>
    <t>1. Tổng sản phẩm trong nước theo giá hiện hành</t>
  </si>
  <si>
    <t>Cơ cấu (%)</t>
  </si>
  <si>
    <t>Nông nghiệp</t>
  </si>
  <si>
    <t>Lâm nghiệp</t>
  </si>
  <si>
    <t>Công nghiệp</t>
  </si>
  <si>
    <t>Sản xuất và phân phối điện, khí đốt, 
nước nóng, hơi nước và điều hòa không khí</t>
  </si>
  <si>
    <t>Cung cấp nước; hoạt động quản lý
và xử lý rác thải, nước thải</t>
  </si>
  <si>
    <t>Bán buôn và bán lẻ; sửa chữa ô tô, mô tô, 
xe máy và xe có động cơ khác</t>
  </si>
  <si>
    <t>Vận tải, kho bãi</t>
  </si>
  <si>
    <t>Hoạt động tài chính, ngân hàng và bảo hiểm</t>
  </si>
  <si>
    <t>Hoạt động kinh doanh bất động sản</t>
  </si>
  <si>
    <t>Hoạt động chuyên môn, khoa học và công nghệ</t>
  </si>
  <si>
    <t>Hoạt động hành chính và dịch vụ hỗ trợ</t>
  </si>
  <si>
    <t>Hoạt động của Đảng Cộng sản, tổ chức
chính trị- xã hội; quản lý Nhà nước, an ninh
quốc phòng; đảm bảo xã hội bắt buộc</t>
  </si>
  <si>
    <t>Hoạt động làm thuê các công việc trong
các hộ gia đình, sản xuất sản phẩm vật chất
và dịch vụ tự tiêu dùng của hộ gia đình</t>
  </si>
  <si>
    <t>Thuế sản phẩm trừ trợ cấp sản phẩm</t>
  </si>
  <si>
    <t>2. Tổng sản phẩm trong nước theo giá so sánh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</si>
</sst>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\ \ ########"/>
    <numFmt numFmtId="165" formatCode="#,##0.0;[Red]\-#,##0.0;\ &quot;-&quot;;[Blue]@"/>
    <numFmt numFmtId="166" formatCode="0.0"/>
    <numFmt numFmtId="167" formatCode="_(* #,##0.0_);_(* \(#,##0.0\);_(* &quot;-&quot;??_);_(@_)"/>
    <numFmt numFmtId="168" formatCode="_(* #,##0_);_(* \(#,##0\);_(* &quot;-&quot;??_);_(@_)"/>
    <numFmt numFmtId="169" formatCode="_-* #,##0_-;\-* #,##0_-;_-* &quot;-&quot;_-;_-@_-"/>
    <numFmt numFmtId="170" formatCode="_-* #,##0.00_-;\-* #,##0.00_-;_-* &quot;-&quot;??_-;_-@_-"/>
    <numFmt numFmtId="171" formatCode="_-&quot;$&quot;* #.##0_-;\-&quot;$&quot;* #.##0_-;_-&quot;$&quot;* &quot;-&quot;_-;_-@_-"/>
    <numFmt numFmtId="172" formatCode="_(* #,##0.000_);_(* \(#,##0.000\);_(* &quot;-&quot;??_);_(@_)"/>
    <numFmt numFmtId="173" formatCode="0.000"/>
    <numFmt numFmtId="174" formatCode="0.0000"/>
    <numFmt numFmtId="175" formatCode="0.0%"/>
  </numFmts>
  <fonts count="1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.VnTime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13"/>
      <name val=".VnTime"/>
      <family val="2"/>
    </font>
    <font>
      <b/>
      <sz val="10"/>
      <name val="Arial"/>
      <family val="2"/>
    </font>
    <font>
      <b/>
      <sz val="13"/>
      <name val="Arial"/>
      <family val="2"/>
    </font>
    <font>
      <sz val="12"/>
      <name val=".VnArial"/>
      <family val="2"/>
    </font>
    <font>
      <b/>
      <sz val="10"/>
      <color theme="1"/>
      <name val="Arial"/>
      <family val="2"/>
    </font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vertAlign val="superscript"/>
      <sz val="10"/>
      <name val="Arial"/>
      <family val="2"/>
    </font>
    <font>
      <sz val="9.5"/>
      <name val="Arial"/>
      <family val="2"/>
    </font>
    <font>
      <b/>
      <sz val="12"/>
      <name val=".VnArial"/>
      <family val="2"/>
    </font>
    <font>
      <sz val="14"/>
      <color theme="1"/>
      <name val="Times New Roman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.VnArial"/>
      <family val="2"/>
    </font>
    <font>
      <sz val="11"/>
      <color indexed="8"/>
      <name val="Calibri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  <charset val="163"/>
    </font>
    <font>
      <sz val="10"/>
      <color indexed="8"/>
      <name val="Arial"/>
      <family val="2"/>
    </font>
    <font>
      <i/>
      <sz val="9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  <charset val="163"/>
    </font>
    <font>
      <sz val="10"/>
      <name val="MS Sans Serif"/>
      <family val="2"/>
    </font>
    <font>
      <sz val="8"/>
      <name val="Arial"/>
      <family val="2"/>
    </font>
    <font>
      <vertAlign val="superscript"/>
      <sz val="9"/>
      <name val="Arial"/>
      <family val="2"/>
    </font>
    <font>
      <sz val="9"/>
      <color indexed="8"/>
      <name val="Arial"/>
      <family val="2"/>
    </font>
    <font>
      <sz val="11"/>
      <color theme="1"/>
      <name val="Calibri"/>
      <family val="2"/>
      <charset val="163"/>
      <scheme val="minor"/>
    </font>
    <font>
      <sz val="9"/>
      <name val=".VnArial"/>
      <family val="2"/>
    </font>
    <font>
      <sz val="14"/>
      <color indexed="8"/>
      <name val="Times New Roman"/>
      <family val="2"/>
    </font>
    <font>
      <sz val="9"/>
      <color indexed="8"/>
      <name val="Times New Roman"/>
      <family val="2"/>
    </font>
    <font>
      <sz val="9.5"/>
      <color indexed="8"/>
      <name val="Arial"/>
      <family val="2"/>
    </font>
    <font>
      <sz val="9"/>
      <color rgb="FFFF0000"/>
      <name val="Arial"/>
      <family val="2"/>
    </font>
    <font>
      <b/>
      <sz val="9.5"/>
      <name val="Arial"/>
      <family val="2"/>
    </font>
    <font>
      <b/>
      <sz val="9.5"/>
      <color indexed="8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9.5"/>
      <color rgb="FF000000"/>
      <name val="Arial"/>
      <family val="2"/>
    </font>
    <font>
      <sz val="9.5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  <charset val="163"/>
    </font>
    <font>
      <sz val="11"/>
      <color theme="1"/>
      <name val="Arial"/>
      <family val="2"/>
    </font>
    <font>
      <b/>
      <i/>
      <sz val="10"/>
      <color indexed="8"/>
      <name val="Arial"/>
      <family val="2"/>
    </font>
    <font>
      <b/>
      <sz val="9"/>
      <color rgb="FF000000"/>
      <name val="Arial"/>
      <family val="2"/>
    </font>
    <font>
      <b/>
      <i/>
      <sz val="9.5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9"/>
      <color theme="1"/>
      <name val="Arial"/>
      <family val="2"/>
    </font>
    <font>
      <i/>
      <sz val="9.5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2"/>
      <name val="VNTime"/>
    </font>
    <font>
      <i/>
      <sz val="10"/>
      <name val="Arial"/>
      <family val="2"/>
    </font>
    <font>
      <sz val="10"/>
      <name val=".VnTime"/>
      <family val="2"/>
    </font>
    <font>
      <b/>
      <i/>
      <sz val="10"/>
      <name val=".VnArial"/>
      <family val="2"/>
    </font>
    <font>
      <sz val="10"/>
      <color theme="1"/>
      <name val="Times New Roman"/>
      <family val="2"/>
    </font>
    <font>
      <sz val="13"/>
      <name val="Arial"/>
      <family val="2"/>
    </font>
    <font>
      <sz val="13"/>
      <name val=".VnArial"/>
      <family val="2"/>
    </font>
    <font>
      <b/>
      <sz val="10"/>
      <name val="Arial"/>
      <family val="2"/>
      <charset val="163"/>
    </font>
    <font>
      <b/>
      <sz val="10"/>
      <color rgb="FFFF0000"/>
      <name val="Arial"/>
      <family val="2"/>
    </font>
    <font>
      <sz val="11"/>
      <name val="Times New Roman"/>
      <family val="1"/>
    </font>
    <font>
      <sz val="11.5"/>
      <name val="Times New Roman"/>
      <family val="1"/>
    </font>
    <font>
      <sz val="12"/>
      <color theme="1"/>
      <name val=".VnTime"/>
      <family val="2"/>
    </font>
    <font>
      <sz val="13"/>
      <color theme="1"/>
      <name val=".VnArial"/>
      <family val="2"/>
    </font>
    <font>
      <b/>
      <sz val="10"/>
      <color theme="1"/>
      <name val="Arial"/>
      <family val="2"/>
      <charset val="163"/>
    </font>
    <font>
      <sz val="11.5"/>
      <color theme="1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.5"/>
      <color theme="1"/>
      <name val=".VnTime"/>
      <family val="2"/>
    </font>
    <font>
      <sz val="9.5"/>
      <name val="Times New Roman"/>
      <family val="1"/>
    </font>
    <font>
      <sz val="11.5"/>
      <name val=".VnTime"/>
      <family val="2"/>
    </font>
    <font>
      <sz val="11.5"/>
      <name val="Arial"/>
      <family val="2"/>
    </font>
    <font>
      <b/>
      <sz val="11.5"/>
      <name val="Arial"/>
      <family val="2"/>
    </font>
    <font>
      <sz val="9"/>
      <color indexed="9"/>
      <name val="Arial"/>
      <family val="2"/>
    </font>
    <font>
      <i/>
      <vertAlign val="superscript"/>
      <sz val="9"/>
      <name val="Arial"/>
      <family val="2"/>
    </font>
    <font>
      <b/>
      <i/>
      <sz val="13"/>
      <name val="Arial"/>
      <family val="2"/>
    </font>
    <font>
      <b/>
      <sz val="13"/>
      <name val="Times New Roman"/>
      <family val="1"/>
    </font>
    <font>
      <b/>
      <i/>
      <sz val="13"/>
      <name val="Times New Roman"/>
      <family val="1"/>
    </font>
    <font>
      <sz val="13"/>
      <color theme="1"/>
      <name val="Times New Roman"/>
      <family val="1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color theme="1"/>
      <name val="Times New Roman"/>
      <family val="1"/>
    </font>
    <font>
      <b/>
      <sz val="13"/>
      <name val=".VnArial"/>
      <family val="2"/>
    </font>
    <font>
      <i/>
      <sz val="9.5"/>
      <name val="Arial"/>
      <family val="2"/>
    </font>
    <font>
      <vertAlign val="superscript"/>
      <sz val="9.5"/>
      <name val="Arial"/>
      <family val="2"/>
    </font>
    <font>
      <b/>
      <vertAlign val="superscript"/>
      <sz val="12"/>
      <name val="Arial"/>
      <family val="2"/>
    </font>
    <font>
      <vertAlign val="superscript"/>
      <sz val="10"/>
      <color theme="1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name val=".VnTime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vertAlign val="superscript"/>
      <sz val="12"/>
      <color indexed="8"/>
      <name val="Arial"/>
      <family val="2"/>
    </font>
    <font>
      <vertAlign val="superscript"/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sz val="9"/>
      <name val=".VnTime"/>
      <family val="2"/>
    </font>
    <font>
      <sz val="9"/>
      <name val="Times New Roman"/>
      <family val="1"/>
    </font>
    <font>
      <sz val="12"/>
      <name val="Times New Roman"/>
      <family val="2"/>
    </font>
    <font>
      <sz val="9"/>
      <name val="Times New Roman"/>
      <family val="2"/>
    </font>
    <font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7">
    <xf numFmtId="0" fontId="0" fillId="0" borderId="0"/>
    <xf numFmtId="0" fontId="2" fillId="0" borderId="0"/>
    <xf numFmtId="0" fontId="5" fillId="0" borderId="0"/>
    <xf numFmtId="0" fontId="8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1" fillId="0" borderId="0">
      <alignment vertical="center"/>
    </xf>
    <xf numFmtId="0" fontId="5" fillId="0" borderId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18" fillId="0" borderId="0"/>
    <xf numFmtId="0" fontId="19" fillId="0" borderId="0"/>
    <xf numFmtId="0" fontId="22" fillId="0" borderId="0"/>
    <xf numFmtId="0" fontId="8" fillId="0" borderId="0"/>
    <xf numFmtId="0" fontId="26" fillId="0" borderId="0"/>
    <xf numFmtId="0" fontId="13" fillId="0" borderId="0"/>
    <xf numFmtId="0" fontId="5" fillId="0" borderId="0"/>
    <xf numFmtId="0" fontId="30" fillId="0" borderId="0"/>
    <xf numFmtId="0" fontId="31" fillId="0" borderId="0"/>
    <xf numFmtId="0" fontId="2" fillId="0" borderId="0"/>
    <xf numFmtId="0" fontId="30" fillId="0" borderId="0"/>
    <xf numFmtId="0" fontId="35" fillId="0" borderId="0"/>
    <xf numFmtId="0" fontId="21" fillId="0" borderId="0" applyAlignment="0">
      <alignment vertical="top" wrapText="1"/>
      <protection locked="0"/>
    </xf>
    <xf numFmtId="0" fontId="22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1" fillId="0" borderId="0"/>
    <xf numFmtId="0" fontId="2" fillId="0" borderId="0"/>
    <xf numFmtId="0" fontId="31" fillId="0" borderId="0"/>
    <xf numFmtId="0" fontId="63" fillId="0" borderId="0"/>
    <xf numFmtId="0" fontId="5" fillId="0" borderId="0"/>
    <xf numFmtId="0" fontId="37" fillId="0" borderId="0"/>
    <xf numFmtId="0" fontId="18" fillId="0" borderId="0"/>
    <xf numFmtId="0" fontId="2" fillId="0" borderId="0"/>
    <xf numFmtId="0" fontId="5" fillId="0" borderId="0"/>
    <xf numFmtId="0" fontId="1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13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22" fillId="0" borderId="0"/>
    <xf numFmtId="0" fontId="5" fillId="0" borderId="0"/>
    <xf numFmtId="0" fontId="31" fillId="0" borderId="0"/>
    <xf numFmtId="4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22" fillId="0" borderId="0"/>
    <xf numFmtId="0" fontId="35" fillId="0" borderId="0"/>
    <xf numFmtId="0" fontId="1" fillId="0" borderId="0"/>
    <xf numFmtId="0" fontId="18" fillId="0" borderId="0"/>
    <xf numFmtId="0" fontId="2" fillId="0" borderId="0"/>
    <xf numFmtId="0" fontId="5" fillId="0" borderId="0"/>
    <xf numFmtId="0" fontId="35" fillId="0" borderId="0"/>
    <xf numFmtId="169" fontId="2" fillId="0" borderId="0" applyFont="0" applyFill="0" applyBorder="0" applyAlignment="0" applyProtection="0"/>
    <xf numFmtId="0" fontId="5" fillId="0" borderId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5" fillId="0" borderId="0"/>
    <xf numFmtId="0" fontId="65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65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2" fillId="0" borderId="0"/>
    <xf numFmtId="0" fontId="2" fillId="0" borderId="0"/>
    <xf numFmtId="0" fontId="22" fillId="0" borderId="0"/>
    <xf numFmtId="0" fontId="1" fillId="0" borderId="0"/>
    <xf numFmtId="0" fontId="22" fillId="0" borderId="0"/>
    <xf numFmtId="0" fontId="5" fillId="0" borderId="0"/>
    <xf numFmtId="0" fontId="22" fillId="0" borderId="0"/>
    <xf numFmtId="0" fontId="1" fillId="0" borderId="0"/>
    <xf numFmtId="0" fontId="22" fillId="0" borderId="0"/>
    <xf numFmtId="0" fontId="1" fillId="0" borderId="0"/>
  </cellStyleXfs>
  <cellXfs count="917">
    <xf numFmtId="0" fontId="0" fillId="0" borderId="0" xfId="0"/>
    <xf numFmtId="0" fontId="3" fillId="0" borderId="0" xfId="1" applyFont="1"/>
    <xf numFmtId="0" fontId="4" fillId="0" borderId="0" xfId="1" applyFont="1"/>
    <xf numFmtId="0" fontId="4" fillId="0" borderId="0" xfId="2" applyFont="1"/>
    <xf numFmtId="0" fontId="5" fillId="0" borderId="0" xfId="2"/>
    <xf numFmtId="0" fontId="6" fillId="0" borderId="0" xfId="1" applyFont="1"/>
    <xf numFmtId="0" fontId="6" fillId="0" borderId="1" xfId="1" applyFont="1" applyBorder="1"/>
    <xf numFmtId="0" fontId="7" fillId="0" borderId="0" xfId="1" applyFont="1" applyAlignment="1">
      <alignment horizontal="right"/>
    </xf>
    <xf numFmtId="0" fontId="6" fillId="0" borderId="2" xfId="1" applyFont="1" applyBorder="1"/>
    <xf numFmtId="0" fontId="6" fillId="0" borderId="2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164" fontId="9" fillId="0" borderId="0" xfId="3" applyNumberFormat="1" applyFont="1"/>
    <xf numFmtId="165" fontId="5" fillId="0" borderId="0" xfId="3" applyNumberFormat="1" applyFont="1"/>
    <xf numFmtId="166" fontId="9" fillId="0" borderId="0" xfId="2" applyNumberFormat="1" applyFont="1" applyAlignment="1">
      <alignment horizontal="right" indent="2"/>
    </xf>
    <xf numFmtId="166" fontId="9" fillId="0" borderId="0" xfId="1" applyNumberFormat="1" applyFont="1" applyAlignment="1">
      <alignment horizontal="right" indent="2"/>
    </xf>
    <xf numFmtId="166" fontId="5" fillId="0" borderId="0" xfId="2" applyNumberFormat="1"/>
    <xf numFmtId="164" fontId="5" fillId="0" borderId="0" xfId="3" applyNumberFormat="1" applyFont="1"/>
    <xf numFmtId="166" fontId="5" fillId="0" borderId="0" xfId="2" applyNumberFormat="1" applyAlignment="1">
      <alignment horizontal="right" indent="2"/>
    </xf>
    <xf numFmtId="166" fontId="5" fillId="0" borderId="0" xfId="1" applyNumberFormat="1" applyFont="1" applyAlignment="1">
      <alignment horizontal="right" indent="2"/>
    </xf>
    <xf numFmtId="49" fontId="5" fillId="0" borderId="0" xfId="3" applyNumberFormat="1" applyFont="1"/>
    <xf numFmtId="0" fontId="5" fillId="0" borderId="0" xfId="1" applyFont="1"/>
    <xf numFmtId="0" fontId="1" fillId="0" borderId="0" xfId="4"/>
    <xf numFmtId="0" fontId="10" fillId="0" borderId="0" xfId="5" applyFont="1"/>
    <xf numFmtId="0" fontId="5" fillId="0" borderId="0" xfId="5"/>
    <xf numFmtId="0" fontId="11" fillId="0" borderId="0" xfId="6" applyFont="1"/>
    <xf numFmtId="0" fontId="9" fillId="0" borderId="2" xfId="5" applyFont="1" applyBorder="1" applyAlignment="1">
      <alignment horizontal="center"/>
    </xf>
    <xf numFmtId="0" fontId="6" fillId="0" borderId="2" xfId="7" applyFont="1" applyBorder="1" applyAlignment="1">
      <alignment horizontal="center" vertical="center" wrapText="1"/>
    </xf>
    <xf numFmtId="0" fontId="9" fillId="0" borderId="0" xfId="5" applyFont="1" applyAlignment="1">
      <alignment horizontal="center" vertical="center"/>
    </xf>
    <xf numFmtId="0" fontId="6" fillId="0" borderId="0" xfId="7" applyFont="1" applyAlignment="1">
      <alignment horizontal="center" vertical="center" wrapText="1"/>
    </xf>
    <xf numFmtId="0" fontId="5" fillId="0" borderId="0" xfId="5" applyAlignment="1">
      <alignment horizontal="center" vertical="center"/>
    </xf>
    <xf numFmtId="0" fontId="6" fillId="0" borderId="1" xfId="7" applyFont="1" applyBorder="1" applyAlignment="1">
      <alignment horizontal="center" vertical="center" wrapText="1"/>
    </xf>
    <xf numFmtId="0" fontId="9" fillId="0" borderId="0" xfId="5" applyFont="1"/>
    <xf numFmtId="0" fontId="12" fillId="0" borderId="0" xfId="2" applyFont="1"/>
    <xf numFmtId="0" fontId="5" fillId="0" borderId="0" xfId="5" applyAlignment="1">
      <alignment horizontal="left" wrapText="1" indent="1"/>
    </xf>
    <xf numFmtId="166" fontId="5" fillId="0" borderId="0" xfId="5" applyNumberFormat="1" applyAlignment="1">
      <alignment horizontal="right" indent="1"/>
    </xf>
    <xf numFmtId="0" fontId="5" fillId="0" borderId="0" xfId="1" applyFont="1" applyAlignment="1">
      <alignment horizontal="left" wrapText="1" indent="1"/>
    </xf>
    <xf numFmtId="0" fontId="1" fillId="0" borderId="0" xfId="8"/>
    <xf numFmtId="0" fontId="5" fillId="0" borderId="0" xfId="2" applyAlignment="1">
      <alignment horizontal="left" indent="1"/>
    </xf>
    <xf numFmtId="166" fontId="5" fillId="0" borderId="0" xfId="5" applyNumberFormat="1" applyAlignment="1">
      <alignment horizontal="left" indent="1"/>
    </xf>
    <xf numFmtId="166" fontId="5" fillId="0" borderId="0" xfId="5" applyNumberFormat="1"/>
    <xf numFmtId="0" fontId="5" fillId="0" borderId="0" xfId="9" applyFont="1" applyAlignment="1">
      <alignment horizontal="left" indent="2"/>
    </xf>
    <xf numFmtId="0" fontId="3" fillId="0" borderId="0" xfId="5" applyFont="1"/>
    <xf numFmtId="0" fontId="4" fillId="0" borderId="0" xfId="6" applyFont="1"/>
    <xf numFmtId="0" fontId="9" fillId="0" borderId="0" xfId="5" applyFont="1" applyAlignment="1">
      <alignment horizontal="center"/>
    </xf>
    <xf numFmtId="0" fontId="5" fillId="0" borderId="0" xfId="5" applyAlignment="1">
      <alignment wrapText="1"/>
    </xf>
    <xf numFmtId="167" fontId="5" fillId="0" borderId="0" xfId="14" applyNumberFormat="1" applyFont="1" applyBorder="1" applyAlignment="1">
      <alignment horizontal="right"/>
    </xf>
    <xf numFmtId="167" fontId="5" fillId="0" borderId="0" xfId="12" applyNumberFormat="1" applyFont="1" applyBorder="1" applyAlignment="1">
      <alignment horizontal="right"/>
    </xf>
    <xf numFmtId="0" fontId="5" fillId="0" borderId="0" xfId="1" applyFont="1" applyAlignment="1">
      <alignment wrapText="1"/>
    </xf>
    <xf numFmtId="166" fontId="16" fillId="0" borderId="0" xfId="2" applyNumberFormat="1" applyFont="1" applyAlignment="1">
      <alignment horizontal="left" indent="2"/>
    </xf>
    <xf numFmtId="0" fontId="5" fillId="0" borderId="0" xfId="5" applyAlignment="1">
      <alignment vertical="center"/>
    </xf>
    <xf numFmtId="0" fontId="17" fillId="0" borderId="0" xfId="6" applyFont="1"/>
    <xf numFmtId="0" fontId="3" fillId="0" borderId="0" xfId="15" applyFont="1"/>
    <xf numFmtId="0" fontId="4" fillId="0" borderId="0" xfId="15" applyFont="1"/>
    <xf numFmtId="0" fontId="4" fillId="0" borderId="0" xfId="15" applyFont="1" applyAlignment="1">
      <alignment horizontal="center"/>
    </xf>
    <xf numFmtId="0" fontId="5" fillId="0" borderId="1" xfId="1" applyFont="1" applyBorder="1"/>
    <xf numFmtId="0" fontId="7" fillId="0" borderId="0" xfId="15" applyFont="1" applyAlignment="1">
      <alignment horizontal="right"/>
    </xf>
    <xf numFmtId="0" fontId="9" fillId="0" borderId="0" xfId="15" applyFont="1" applyAlignment="1">
      <alignment horizontal="left"/>
    </xf>
    <xf numFmtId="166" fontId="9" fillId="0" borderId="0" xfId="17" applyNumberFormat="1" applyFont="1" applyAlignment="1">
      <alignment horizontal="right"/>
    </xf>
    <xf numFmtId="166" fontId="5" fillId="0" borderId="0" xfId="17" applyNumberFormat="1" applyFont="1" applyAlignment="1">
      <alignment horizontal="right"/>
    </xf>
    <xf numFmtId="0" fontId="9" fillId="0" borderId="0" xfId="1" applyFont="1" applyAlignment="1">
      <alignment horizontal="left" indent="1"/>
    </xf>
    <xf numFmtId="166" fontId="9" fillId="0" borderId="0" xfId="15" applyNumberFormat="1" applyFont="1" applyAlignment="1">
      <alignment horizontal="right"/>
    </xf>
    <xf numFmtId="0" fontId="21" fillId="0" borderId="0" xfId="1" applyFont="1"/>
    <xf numFmtId="0" fontId="4" fillId="0" borderId="0" xfId="18" applyFont="1"/>
    <xf numFmtId="0" fontId="6" fillId="0" borderId="0" xfId="18" applyFont="1"/>
    <xf numFmtId="0" fontId="23" fillId="0" borderId="0" xfId="18" applyFont="1" applyAlignment="1">
      <alignment horizontal="left"/>
    </xf>
    <xf numFmtId="0" fontId="6" fillId="0" borderId="0" xfId="18" applyFont="1" applyAlignment="1">
      <alignment horizontal="right"/>
    </xf>
    <xf numFmtId="0" fontId="24" fillId="0" borderId="0" xfId="18" applyFont="1" applyAlignment="1">
      <alignment horizontal="right"/>
    </xf>
    <xf numFmtId="0" fontId="23" fillId="0" borderId="2" xfId="18" applyFont="1" applyBorder="1" applyAlignment="1">
      <alignment vertical="center" wrapText="1"/>
    </xf>
    <xf numFmtId="0" fontId="6" fillId="0" borderId="2" xfId="18" applyFont="1" applyBorder="1" applyAlignment="1">
      <alignment horizontal="center" vertical="center" wrapText="1"/>
    </xf>
    <xf numFmtId="0" fontId="23" fillId="0" borderId="0" xfId="18" applyFont="1" applyAlignment="1">
      <alignment vertical="center" wrapText="1"/>
    </xf>
    <xf numFmtId="0" fontId="6" fillId="0" borderId="0" xfId="18" applyFont="1" applyAlignment="1">
      <alignment horizontal="center" vertical="center" wrapText="1"/>
    </xf>
    <xf numFmtId="0" fontId="6" fillId="0" borderId="1" xfId="18" applyFont="1" applyBorder="1" applyAlignment="1">
      <alignment horizontal="center" vertical="center" wrapText="1"/>
    </xf>
    <xf numFmtId="0" fontId="25" fillId="0" borderId="0" xfId="18" applyFont="1" applyAlignment="1">
      <alignment wrapText="1"/>
    </xf>
    <xf numFmtId="166" fontId="9" fillId="0" borderId="0" xfId="16" applyNumberFormat="1" applyFont="1" applyAlignment="1">
      <alignment horizontal="right" wrapText="1" indent="1"/>
    </xf>
    <xf numFmtId="166" fontId="6" fillId="0" borderId="0" xfId="18" applyNumberFormat="1" applyFont="1" applyAlignment="1">
      <alignment horizontal="center" vertical="center" wrapText="1"/>
    </xf>
    <xf numFmtId="0" fontId="9" fillId="0" borderId="0" xfId="19" applyFont="1" applyAlignment="1">
      <alignment horizontal="left"/>
    </xf>
    <xf numFmtId="0" fontId="23" fillId="0" borderId="0" xfId="18" applyFont="1" applyAlignment="1">
      <alignment horizontal="center" vertical="center" wrapText="1"/>
    </xf>
    <xf numFmtId="0" fontId="24" fillId="0" borderId="0" xfId="18" applyFont="1" applyAlignment="1">
      <alignment horizontal="center" vertical="center" wrapText="1"/>
    </xf>
    <xf numFmtId="0" fontId="27" fillId="0" borderId="0" xfId="20" applyFont="1" applyAlignment="1">
      <alignment horizontal="left" wrapText="1" indent="1"/>
    </xf>
    <xf numFmtId="166" fontId="5" fillId="0" borderId="0" xfId="16" applyNumberFormat="1" applyFont="1" applyAlignment="1">
      <alignment horizontal="right" wrapText="1" indent="1"/>
    </xf>
    <xf numFmtId="0" fontId="23" fillId="0" borderId="0" xfId="18" applyFont="1"/>
    <xf numFmtId="0" fontId="9" fillId="0" borderId="0" xfId="18" applyFont="1" applyAlignment="1">
      <alignment horizontal="left" wrapText="1"/>
    </xf>
    <xf numFmtId="0" fontId="28" fillId="0" borderId="0" xfId="18" applyFont="1"/>
    <xf numFmtId="166" fontId="5" fillId="0" borderId="0" xfId="16" applyNumberFormat="1" applyFont="1" applyAlignment="1">
      <alignment horizontal="right" indent="1"/>
    </xf>
    <xf numFmtId="0" fontId="29" fillId="0" borderId="0" xfId="20" applyFont="1" applyAlignment="1">
      <alignment horizontal="left" wrapText="1"/>
    </xf>
    <xf numFmtId="166" fontId="6" fillId="0" borderId="0" xfId="18" applyNumberFormat="1" applyFont="1" applyAlignment="1">
      <alignment horizontal="right" indent="1"/>
    </xf>
    <xf numFmtId="166" fontId="6" fillId="0" borderId="0" xfId="18" applyNumberFormat="1" applyFont="1"/>
    <xf numFmtId="166" fontId="23" fillId="0" borderId="0" xfId="18" applyNumberFormat="1" applyFont="1" applyAlignment="1">
      <alignment horizontal="right" indent="2"/>
    </xf>
    <xf numFmtId="166" fontId="6" fillId="0" borderId="0" xfId="18" applyNumberFormat="1" applyFont="1" applyAlignment="1">
      <alignment horizontal="right" indent="2"/>
    </xf>
    <xf numFmtId="0" fontId="21" fillId="0" borderId="0" xfId="18" applyFont="1" applyAlignment="1">
      <alignment vertical="center" wrapText="1"/>
    </xf>
    <xf numFmtId="0" fontId="9" fillId="0" borderId="0" xfId="18" applyFont="1" applyAlignment="1">
      <alignment horizontal="left"/>
    </xf>
    <xf numFmtId="0" fontId="5" fillId="0" borderId="0" xfId="18" applyFont="1"/>
    <xf numFmtId="0" fontId="9" fillId="0" borderId="2" xfId="18" applyFont="1" applyBorder="1" applyAlignment="1">
      <alignment vertical="center" wrapText="1"/>
    </xf>
    <xf numFmtId="0" fontId="16" fillId="0" borderId="2" xfId="18" applyFont="1" applyBorder="1" applyAlignment="1">
      <alignment horizontal="center" vertical="center" wrapText="1"/>
    </xf>
    <xf numFmtId="0" fontId="9" fillId="0" borderId="0" xfId="18" applyFont="1" applyAlignment="1">
      <alignment vertical="center" wrapText="1"/>
    </xf>
    <xf numFmtId="0" fontId="16" fillId="0" borderId="0" xfId="18" applyFont="1" applyAlignment="1">
      <alignment horizontal="center" vertical="center" wrapText="1"/>
    </xf>
    <xf numFmtId="0" fontId="16" fillId="0" borderId="1" xfId="18" applyFont="1" applyBorder="1" applyAlignment="1">
      <alignment horizontal="center" vertical="center" wrapText="1"/>
    </xf>
    <xf numFmtId="0" fontId="5" fillId="0" borderId="0" xfId="18" applyFont="1" applyAlignment="1">
      <alignment horizontal="center" vertical="center" wrapText="1"/>
    </xf>
    <xf numFmtId="166" fontId="9" fillId="0" borderId="0" xfId="21" applyNumberFormat="1" applyFont="1" applyAlignment="1">
      <alignment horizontal="right" wrapText="1" indent="1"/>
    </xf>
    <xf numFmtId="166" fontId="5" fillId="0" borderId="0" xfId="21" applyNumberFormat="1" applyFont="1" applyAlignment="1">
      <alignment horizontal="right" wrapText="1" indent="1"/>
    </xf>
    <xf numFmtId="166" fontId="5" fillId="0" borderId="0" xfId="21" applyNumberFormat="1" applyFont="1" applyAlignment="1">
      <alignment horizontal="right" indent="1"/>
    </xf>
    <xf numFmtId="166" fontId="9" fillId="0" borderId="0" xfId="21" applyNumberFormat="1" applyFont="1" applyAlignment="1">
      <alignment horizontal="right" indent="1"/>
    </xf>
    <xf numFmtId="166" fontId="20" fillId="0" borderId="0" xfId="22" applyNumberFormat="1" applyFont="1" applyAlignment="1">
      <alignment horizontal="right" wrapText="1" indent="1"/>
    </xf>
    <xf numFmtId="166" fontId="20" fillId="0" borderId="0" xfId="21" applyNumberFormat="1" applyFont="1" applyAlignment="1">
      <alignment horizontal="right" wrapText="1" indent="1"/>
    </xf>
    <xf numFmtId="166" fontId="12" fillId="0" borderId="0" xfId="23" applyNumberFormat="1" applyFont="1" applyAlignment="1">
      <alignment horizontal="right" wrapText="1" indent="3"/>
    </xf>
    <xf numFmtId="166" fontId="5" fillId="0" borderId="0" xfId="18" applyNumberFormat="1" applyFont="1" applyAlignment="1">
      <alignment horizontal="center" vertical="center" wrapText="1"/>
    </xf>
    <xf numFmtId="166" fontId="20" fillId="0" borderId="0" xfId="23" applyNumberFormat="1" applyFont="1" applyAlignment="1">
      <alignment horizontal="right" wrapText="1" indent="3"/>
    </xf>
    <xf numFmtId="0" fontId="3" fillId="0" borderId="0" xfId="24" applyFont="1" applyAlignment="1">
      <alignment horizontal="left"/>
    </xf>
    <xf numFmtId="0" fontId="4" fillId="0" borderId="0" xfId="24" applyFont="1"/>
    <xf numFmtId="0" fontId="4" fillId="0" borderId="0" xfId="19" applyFont="1"/>
    <xf numFmtId="0" fontId="3" fillId="0" borderId="0" xfId="25" applyFont="1" applyAlignment="1">
      <alignment horizontal="left"/>
    </xf>
    <xf numFmtId="0" fontId="4" fillId="0" borderId="0" xfId="24" applyFont="1" applyAlignment="1">
      <alignment horizontal="center"/>
    </xf>
    <xf numFmtId="0" fontId="6" fillId="0" borderId="0" xfId="24" applyFont="1" applyAlignment="1">
      <alignment horizontal="centerContinuous"/>
    </xf>
    <xf numFmtId="0" fontId="4" fillId="0" borderId="1" xfId="19" applyFont="1" applyBorder="1"/>
    <xf numFmtId="0" fontId="6" fillId="0" borderId="2" xfId="24" applyFont="1" applyBorder="1" applyAlignment="1">
      <alignment horizontal="centerContinuous"/>
    </xf>
    <xf numFmtId="0" fontId="6" fillId="0" borderId="2" xfId="24" applyFont="1" applyBorder="1" applyAlignment="1">
      <alignment horizontal="center" vertical="center"/>
    </xf>
    <xf numFmtId="0" fontId="6" fillId="0" borderId="0" xfId="24" applyFont="1" applyAlignment="1">
      <alignment horizontal="center" vertical="center"/>
    </xf>
    <xf numFmtId="0" fontId="6" fillId="0" borderId="0" xfId="24" quotePrefix="1" applyFont="1" applyAlignment="1">
      <alignment horizontal="center" vertical="center"/>
    </xf>
    <xf numFmtId="0" fontId="6" fillId="0" borderId="1" xfId="24" applyFont="1" applyBorder="1" applyAlignment="1">
      <alignment horizontal="center" vertical="center"/>
    </xf>
    <xf numFmtId="0" fontId="32" fillId="0" borderId="0" xfId="24" applyFont="1" applyAlignment="1">
      <alignment horizontal="centerContinuous"/>
    </xf>
    <xf numFmtId="0" fontId="32" fillId="0" borderId="0" xfId="24" applyFont="1" applyAlignment="1">
      <alignment horizontal="center" vertical="center"/>
    </xf>
    <xf numFmtId="0" fontId="6" fillId="0" borderId="0" xfId="18" applyFont="1" applyAlignment="1">
      <alignment horizontal="left"/>
    </xf>
    <xf numFmtId="0" fontId="6" fillId="0" borderId="0" xfId="19" applyFont="1" applyAlignment="1">
      <alignment horizontal="center"/>
    </xf>
    <xf numFmtId="166" fontId="5" fillId="0" borderId="0" xfId="26" applyNumberFormat="1" applyFont="1" applyAlignment="1">
      <alignment horizontal="right" wrapText="1"/>
    </xf>
    <xf numFmtId="0" fontId="6" fillId="0" borderId="0" xfId="18" applyFont="1" applyAlignment="1">
      <alignment horizontal="left" vertical="center" wrapText="1"/>
    </xf>
    <xf numFmtId="0" fontId="6" fillId="0" borderId="0" xfId="19" applyFont="1" applyAlignment="1">
      <alignment horizontal="center" vertical="center"/>
    </xf>
    <xf numFmtId="0" fontId="34" fillId="0" borderId="0" xfId="18" applyFont="1" applyAlignment="1">
      <alignment horizontal="left" wrapText="1"/>
    </xf>
    <xf numFmtId="0" fontId="6" fillId="0" borderId="0" xfId="18" applyFont="1" applyAlignment="1">
      <alignment horizontal="left" vertical="center"/>
    </xf>
    <xf numFmtId="0" fontId="6" fillId="0" borderId="0" xfId="19" applyFont="1" applyAlignment="1">
      <alignment horizontal="center" vertical="center" wrapText="1"/>
    </xf>
    <xf numFmtId="166" fontId="5" fillId="0" borderId="0" xfId="26" applyNumberFormat="1" applyFont="1" applyAlignment="1">
      <alignment horizontal="right" vertical="center" wrapText="1"/>
    </xf>
    <xf numFmtId="0" fontId="5" fillId="0" borderId="0" xfId="19" applyFont="1"/>
    <xf numFmtId="166" fontId="4" fillId="0" borderId="0" xfId="19" applyNumberFormat="1" applyFont="1"/>
    <xf numFmtId="0" fontId="6" fillId="0" borderId="0" xfId="24" applyFont="1" applyAlignment="1">
      <alignment horizontal="center"/>
    </xf>
    <xf numFmtId="0" fontId="6" fillId="0" borderId="2" xfId="24" applyFont="1" applyBorder="1" applyAlignment="1">
      <alignment horizontal="center"/>
    </xf>
    <xf numFmtId="0" fontId="32" fillId="0" borderId="0" xfId="24" applyFont="1" applyAlignment="1">
      <alignment horizontal="center"/>
    </xf>
    <xf numFmtId="166" fontId="6" fillId="0" borderId="0" xfId="27" applyNumberFormat="1" applyFont="1" applyAlignment="1">
      <alignment wrapText="1"/>
    </xf>
    <xf numFmtId="166" fontId="6" fillId="0" borderId="0" xfId="27" applyNumberFormat="1" applyFont="1" applyAlignment="1">
      <alignment horizontal="right" wrapText="1" indent="1"/>
    </xf>
    <xf numFmtId="166" fontId="6" fillId="0" borderId="0" xfId="27" applyNumberFormat="1" applyFont="1" applyAlignment="1">
      <alignment vertical="center" wrapText="1"/>
    </xf>
    <xf numFmtId="166" fontId="6" fillId="0" borderId="0" xfId="27" applyNumberFormat="1" applyFont="1" applyAlignment="1">
      <alignment horizontal="right" vertical="center" wrapText="1" indent="1"/>
    </xf>
    <xf numFmtId="0" fontId="6" fillId="0" borderId="0" xfId="19" applyFont="1" applyAlignment="1">
      <alignment horizontal="center" wrapText="1"/>
    </xf>
    <xf numFmtId="0" fontId="13" fillId="0" borderId="0" xfId="21"/>
    <xf numFmtId="0" fontId="3" fillId="0" borderId="0" xfId="28" applyFont="1" applyAlignment="1">
      <protection locked="0"/>
    </xf>
    <xf numFmtId="0" fontId="4" fillId="0" borderId="0" xfId="28" applyFont="1">
      <alignment vertical="top" wrapText="1"/>
      <protection locked="0"/>
    </xf>
    <xf numFmtId="0" fontId="36" fillId="0" borderId="0" xfId="28" applyFont="1">
      <alignment vertical="top" wrapText="1"/>
      <protection locked="0"/>
    </xf>
    <xf numFmtId="0" fontId="7" fillId="0" borderId="0" xfId="29" applyFont="1" applyAlignment="1">
      <alignment horizontal="right"/>
    </xf>
    <xf numFmtId="0" fontId="23" fillId="0" borderId="2" xfId="28" applyFont="1" applyBorder="1" applyAlignment="1">
      <alignment horizontal="center" vertical="center" wrapText="1"/>
      <protection locked="0"/>
    </xf>
    <xf numFmtId="0" fontId="6" fillId="0" borderId="2" xfId="28" applyFont="1" applyBorder="1" applyAlignment="1">
      <alignment horizontal="center" vertical="center" wrapText="1"/>
      <protection locked="0"/>
    </xf>
    <xf numFmtId="0" fontId="23" fillId="0" borderId="0" xfId="28" applyFont="1" applyAlignment="1">
      <alignment horizontal="center" vertical="center" wrapText="1"/>
      <protection locked="0"/>
    </xf>
    <xf numFmtId="0" fontId="6" fillId="0" borderId="0" xfId="28" applyFont="1" applyAlignment="1">
      <alignment horizontal="center" vertical="center" wrapText="1"/>
      <protection locked="0"/>
    </xf>
    <xf numFmtId="14" fontId="6" fillId="0" borderId="0" xfId="28" quotePrefix="1" applyNumberFormat="1" applyFont="1" applyAlignment="1">
      <alignment horizontal="center" vertical="center" wrapText="1"/>
      <protection locked="0"/>
    </xf>
    <xf numFmtId="0" fontId="6" fillId="0" borderId="1" xfId="28" applyFont="1" applyBorder="1" applyAlignment="1">
      <alignment horizontal="center" vertical="center" wrapText="1"/>
      <protection locked="0"/>
    </xf>
    <xf numFmtId="0" fontId="38" fillId="0" borderId="0" xfId="30" applyFont="1"/>
    <xf numFmtId="39" fontId="25" fillId="0" borderId="0" xfId="18" applyNumberFormat="1" applyFont="1" applyProtection="1">
      <protection locked="0"/>
    </xf>
    <xf numFmtId="166" fontId="9" fillId="0" borderId="0" xfId="16" applyNumberFormat="1" applyFont="1" applyAlignment="1">
      <alignment horizontal="right" wrapText="1"/>
    </xf>
    <xf numFmtId="166" fontId="9" fillId="0" borderId="0" xfId="31" applyNumberFormat="1" applyFont="1" applyAlignment="1">
      <alignment horizontal="right" wrapText="1" indent="1"/>
    </xf>
    <xf numFmtId="0" fontId="39" fillId="0" borderId="0" xfId="20" applyFont="1" applyAlignment="1">
      <alignment horizontal="left" wrapText="1" indent="1"/>
    </xf>
    <xf numFmtId="166" fontId="16" fillId="0" borderId="0" xfId="16" applyNumberFormat="1" applyFont="1" applyAlignment="1">
      <alignment horizontal="right" wrapText="1"/>
    </xf>
    <xf numFmtId="166" fontId="16" fillId="0" borderId="0" xfId="31" applyNumberFormat="1" applyFont="1" applyAlignment="1">
      <alignment horizontal="right" wrapText="1" indent="1"/>
    </xf>
    <xf numFmtId="166" fontId="16" fillId="0" borderId="0" xfId="16" applyNumberFormat="1" applyFont="1" applyAlignment="1">
      <alignment horizontal="right" vertical="center" wrapText="1"/>
    </xf>
    <xf numFmtId="166" fontId="16" fillId="0" borderId="0" xfId="31" applyNumberFormat="1" applyFont="1" applyAlignment="1">
      <alignment horizontal="right" vertical="center" wrapText="1" indent="1"/>
    </xf>
    <xf numFmtId="166" fontId="40" fillId="0" borderId="0" xfId="30" applyNumberFormat="1" applyFont="1" applyAlignment="1">
      <alignment horizontal="right" indent="1"/>
    </xf>
    <xf numFmtId="166" fontId="40" fillId="0" borderId="0" xfId="30" applyNumberFormat="1" applyFont="1" applyAlignment="1">
      <alignment horizontal="right" indent="2"/>
    </xf>
    <xf numFmtId="0" fontId="36" fillId="0" borderId="0" xfId="28" applyFont="1" applyAlignment="1">
      <alignment vertical="top" wrapText="1"/>
      <protection locked="0"/>
    </xf>
    <xf numFmtId="0" fontId="3" fillId="0" borderId="0" xfId="29" applyFont="1" applyAlignment="1">
      <alignment horizontal="left" wrapText="1"/>
    </xf>
    <xf numFmtId="0" fontId="4" fillId="0" borderId="0" xfId="29" applyFont="1"/>
    <xf numFmtId="0" fontId="6" fillId="0" borderId="0" xfId="29" applyFont="1"/>
    <xf numFmtId="0" fontId="23" fillId="0" borderId="0" xfId="29" applyFont="1" applyAlignment="1">
      <alignment horizontal="left"/>
    </xf>
    <xf numFmtId="0" fontId="24" fillId="0" borderId="0" xfId="29" applyFont="1" applyAlignment="1">
      <alignment horizontal="right"/>
    </xf>
    <xf numFmtId="0" fontId="18" fillId="0" borderId="0" xfId="16"/>
    <xf numFmtId="166" fontId="9" fillId="0" borderId="0" xfId="31" applyNumberFormat="1" applyFont="1" applyAlignment="1">
      <alignment horizontal="right" indent="3"/>
    </xf>
    <xf numFmtId="0" fontId="41" fillId="0" borderId="0" xfId="19" applyFont="1" applyAlignment="1">
      <alignment horizontal="left"/>
    </xf>
    <xf numFmtId="166" fontId="41" fillId="0" borderId="0" xfId="31" applyNumberFormat="1" applyFont="1" applyAlignment="1">
      <alignment horizontal="right" indent="3"/>
    </xf>
    <xf numFmtId="0" fontId="6" fillId="0" borderId="0" xfId="29" applyFont="1" applyAlignment="1">
      <alignment horizontal="center" vertical="center" wrapText="1"/>
    </xf>
    <xf numFmtId="166" fontId="16" fillId="0" borderId="0" xfId="31" applyNumberFormat="1" applyFont="1" applyAlignment="1">
      <alignment horizontal="right" indent="3"/>
    </xf>
    <xf numFmtId="0" fontId="23" fillId="0" borderId="0" xfId="29" applyFont="1" applyAlignment="1">
      <alignment horizontal="center" vertical="center" wrapText="1"/>
    </xf>
    <xf numFmtId="0" fontId="24" fillId="0" borderId="0" xfId="29" applyFont="1" applyAlignment="1">
      <alignment horizontal="center" vertical="center" wrapText="1"/>
    </xf>
    <xf numFmtId="0" fontId="41" fillId="0" borderId="0" xfId="18" applyFont="1" applyAlignment="1">
      <alignment horizontal="left" wrapText="1"/>
    </xf>
    <xf numFmtId="0" fontId="23" fillId="0" borderId="0" xfId="29" applyFont="1"/>
    <xf numFmtId="0" fontId="28" fillId="0" borderId="0" xfId="29" applyFont="1"/>
    <xf numFmtId="166" fontId="16" fillId="0" borderId="0" xfId="31" applyNumberFormat="1" applyFont="1" applyAlignment="1">
      <alignment horizontal="right" vertical="center" indent="3"/>
    </xf>
    <xf numFmtId="0" fontId="42" fillId="0" borderId="0" xfId="20" applyFont="1" applyAlignment="1">
      <alignment horizontal="left" wrapText="1"/>
    </xf>
    <xf numFmtId="0" fontId="3" fillId="0" borderId="0" xfId="29" applyFont="1"/>
    <xf numFmtId="0" fontId="3" fillId="0" borderId="0" xfId="29" applyFont="1" applyAlignment="1">
      <alignment wrapText="1"/>
    </xf>
    <xf numFmtId="14" fontId="6" fillId="0" borderId="0" xfId="28" applyNumberFormat="1" applyFont="1" applyAlignment="1">
      <alignment horizontal="center" vertical="center" wrapText="1"/>
      <protection locked="0"/>
    </xf>
    <xf numFmtId="0" fontId="12" fillId="0" borderId="0" xfId="31" applyFont="1"/>
    <xf numFmtId="166" fontId="12" fillId="0" borderId="0" xfId="31" applyNumberFormat="1" applyFont="1" applyAlignment="1">
      <alignment horizontal="right" indent="6"/>
    </xf>
    <xf numFmtId="0" fontId="20" fillId="0" borderId="0" xfId="31" applyFont="1" applyAlignment="1">
      <alignment horizontal="left" indent="2"/>
    </xf>
    <xf numFmtId="166" fontId="20" fillId="0" borderId="0" xfId="31" applyNumberFormat="1" applyFont="1" applyAlignment="1">
      <alignment horizontal="right" indent="6"/>
    </xf>
    <xf numFmtId="0" fontId="1" fillId="0" borderId="0" xfId="31"/>
    <xf numFmtId="0" fontId="43" fillId="0" borderId="0" xfId="32" applyFont="1"/>
    <xf numFmtId="0" fontId="44" fillId="0" borderId="0" xfId="33" applyFont="1"/>
    <xf numFmtId="0" fontId="45" fillId="0" borderId="0" xfId="32" applyFont="1"/>
    <xf numFmtId="0" fontId="20" fillId="0" borderId="0" xfId="33" applyFont="1"/>
    <xf numFmtId="0" fontId="46" fillId="0" borderId="0" xfId="32" applyFont="1"/>
    <xf numFmtId="0" fontId="46" fillId="0" borderId="0" xfId="33" applyFont="1"/>
    <xf numFmtId="0" fontId="47" fillId="0" borderId="0" xfId="33" applyFont="1"/>
    <xf numFmtId="0" fontId="47" fillId="0" borderId="0" xfId="33" applyFont="1" applyAlignment="1">
      <alignment horizontal="right"/>
    </xf>
    <xf numFmtId="0" fontId="48" fillId="0" borderId="0" xfId="33" applyFont="1" applyAlignment="1">
      <alignment horizontal="center" vertical="center"/>
    </xf>
    <xf numFmtId="0" fontId="48" fillId="0" borderId="0" xfId="33" quotePrefix="1" applyFont="1" applyAlignment="1">
      <alignment horizontal="center" vertical="center"/>
    </xf>
    <xf numFmtId="0" fontId="20" fillId="0" borderId="2" xfId="32" applyFont="1" applyBorder="1"/>
    <xf numFmtId="0" fontId="49" fillId="0" borderId="2" xfId="34" applyFont="1" applyBorder="1" applyAlignment="1">
      <alignment horizontal="center" vertical="center" wrapText="1"/>
    </xf>
    <xf numFmtId="0" fontId="50" fillId="0" borderId="2" xfId="32" applyFont="1" applyBorder="1" applyAlignment="1">
      <alignment horizontal="center" vertical="center"/>
    </xf>
    <xf numFmtId="0" fontId="20" fillId="0" borderId="0" xfId="32" applyFont="1"/>
    <xf numFmtId="166" fontId="20" fillId="0" borderId="0" xfId="32" applyNumberFormat="1" applyFont="1"/>
    <xf numFmtId="166" fontId="20" fillId="0" borderId="0" xfId="13" applyNumberFormat="1" applyFont="1"/>
    <xf numFmtId="0" fontId="49" fillId="0" borderId="0" xfId="34" applyFont="1" applyAlignment="1">
      <alignment horizontal="center" vertical="center" wrapText="1"/>
    </xf>
    <xf numFmtId="0" fontId="50" fillId="0" borderId="0" xfId="32" applyFont="1" applyAlignment="1">
      <alignment horizontal="center" vertical="center"/>
    </xf>
    <xf numFmtId="0" fontId="16" fillId="0" borderId="0" xfId="24" applyFont="1" applyAlignment="1">
      <alignment horizontal="center" vertical="center"/>
    </xf>
    <xf numFmtId="0" fontId="49" fillId="0" borderId="1" xfId="34" applyFont="1" applyBorder="1" applyAlignment="1">
      <alignment horizontal="center" vertical="center" wrapText="1"/>
    </xf>
    <xf numFmtId="0" fontId="16" fillId="0" borderId="1" xfId="24" applyFont="1" applyBorder="1" applyAlignment="1">
      <alignment horizontal="center" vertical="center"/>
    </xf>
    <xf numFmtId="0" fontId="50" fillId="0" borderId="1" xfId="32" applyFont="1" applyBorder="1" applyAlignment="1">
      <alignment horizontal="center" vertical="center"/>
    </xf>
    <xf numFmtId="0" fontId="20" fillId="0" borderId="0" xfId="33" applyFont="1" applyAlignment="1">
      <alignment horizontal="center" vertical="center" wrapText="1"/>
    </xf>
    <xf numFmtId="0" fontId="50" fillId="0" borderId="0" xfId="32" applyFont="1" applyAlignment="1">
      <alignment vertical="center"/>
    </xf>
    <xf numFmtId="1" fontId="20" fillId="0" borderId="0" xfId="35" applyNumberFormat="1" applyFont="1" applyAlignment="1">
      <alignment horizontal="right" vertical="center"/>
    </xf>
    <xf numFmtId="166" fontId="20" fillId="0" borderId="0" xfId="32" applyNumberFormat="1" applyFont="1" applyAlignment="1">
      <alignment vertical="center"/>
    </xf>
    <xf numFmtId="3" fontId="51" fillId="0" borderId="4" xfId="36" applyNumberFormat="1" applyFont="1" applyBorder="1" applyAlignment="1">
      <alignment horizontal="center" vertical="center"/>
    </xf>
    <xf numFmtId="3" fontId="52" fillId="0" borderId="4" xfId="36" applyNumberFormat="1" applyFont="1" applyBorder="1" applyAlignment="1">
      <alignment horizontal="center" vertical="center" wrapText="1"/>
    </xf>
    <xf numFmtId="0" fontId="50" fillId="0" borderId="0" xfId="32" applyFont="1" applyAlignment="1">
      <alignment vertical="center" wrapText="1"/>
    </xf>
    <xf numFmtId="166" fontId="20" fillId="0" borderId="0" xfId="35" applyNumberFormat="1" applyFont="1" applyAlignment="1">
      <alignment horizontal="right" vertical="center"/>
    </xf>
    <xf numFmtId="0" fontId="12" fillId="0" borderId="0" xfId="32" applyFont="1"/>
    <xf numFmtId="0" fontId="53" fillId="0" borderId="4" xfId="36" applyFont="1" applyBorder="1" applyAlignment="1">
      <alignment horizontal="center" vertical="center"/>
    </xf>
    <xf numFmtId="0" fontId="54" fillId="0" borderId="0" xfId="32" applyFont="1"/>
    <xf numFmtId="1" fontId="54" fillId="0" borderId="0" xfId="32" applyNumberFormat="1" applyFont="1"/>
    <xf numFmtId="2" fontId="46" fillId="0" borderId="0" xfId="32" applyNumberFormat="1" applyFont="1"/>
    <xf numFmtId="0" fontId="1" fillId="0" borderId="0" xfId="32"/>
    <xf numFmtId="0" fontId="44" fillId="0" borderId="0" xfId="32" applyFont="1"/>
    <xf numFmtId="0" fontId="55" fillId="0" borderId="0" xfId="32" applyFont="1" applyAlignment="1">
      <alignment horizontal="right"/>
    </xf>
    <xf numFmtId="0" fontId="56" fillId="0" borderId="2" xfId="32" applyFont="1" applyBorder="1" applyAlignment="1">
      <alignment horizontal="center" wrapText="1"/>
    </xf>
    <xf numFmtId="0" fontId="6" fillId="0" borderId="2" xfId="24" applyFont="1" applyBorder="1" applyAlignment="1">
      <alignment horizontal="center" vertical="center" wrapText="1"/>
    </xf>
    <xf numFmtId="0" fontId="56" fillId="0" borderId="0" xfId="32" applyFont="1" applyAlignment="1">
      <alignment horizontal="center" wrapText="1"/>
    </xf>
    <xf numFmtId="0" fontId="6" fillId="0" borderId="1" xfId="24" applyFont="1" applyBorder="1" applyAlignment="1">
      <alignment horizontal="center" vertical="center" wrapText="1"/>
    </xf>
    <xf numFmtId="0" fontId="6" fillId="0" borderId="0" xfId="24" applyFont="1" applyAlignment="1">
      <alignment horizontal="center" vertical="center" wrapText="1"/>
    </xf>
    <xf numFmtId="0" fontId="41" fillId="0" borderId="0" xfId="37" applyFont="1"/>
    <xf numFmtId="1" fontId="12" fillId="0" borderId="0" xfId="32" applyNumberFormat="1" applyFont="1"/>
    <xf numFmtId="166" fontId="12" fillId="0" borderId="0" xfId="32" applyNumberFormat="1" applyFont="1" applyAlignment="1">
      <alignment horizontal="right" wrapText="1"/>
    </xf>
    <xf numFmtId="0" fontId="48" fillId="0" borderId="0" xfId="33" applyFont="1"/>
    <xf numFmtId="166" fontId="48" fillId="0" borderId="0" xfId="33" applyNumberFormat="1" applyFont="1"/>
    <xf numFmtId="0" fontId="57" fillId="0" borderId="0" xfId="38" applyFont="1"/>
    <xf numFmtId="0" fontId="57" fillId="0" borderId="0" xfId="36" applyFont="1"/>
    <xf numFmtId="1" fontId="58" fillId="0" borderId="0" xfId="32" applyNumberFormat="1" applyFont="1"/>
    <xf numFmtId="166" fontId="58" fillId="0" borderId="0" xfId="32" applyNumberFormat="1" applyFont="1" applyAlignment="1">
      <alignment horizontal="right" wrapText="1"/>
    </xf>
    <xf numFmtId="0" fontId="59" fillId="0" borderId="0" xfId="33" applyFont="1"/>
    <xf numFmtId="0" fontId="50" fillId="0" borderId="0" xfId="36" applyFont="1"/>
    <xf numFmtId="0" fontId="49" fillId="0" borderId="0" xfId="36" applyFont="1" applyAlignment="1">
      <alignment horizontal="left" wrapText="1" indent="1"/>
    </xf>
    <xf numFmtId="1" fontId="20" fillId="0" borderId="0" xfId="32" applyNumberFormat="1" applyFont="1"/>
    <xf numFmtId="166" fontId="20" fillId="0" borderId="0" xfId="32" applyNumberFormat="1" applyFont="1" applyAlignment="1">
      <alignment horizontal="right" wrapText="1"/>
    </xf>
    <xf numFmtId="166" fontId="46" fillId="0" borderId="0" xfId="33" applyNumberFormat="1" applyFont="1"/>
    <xf numFmtId="0" fontId="60" fillId="0" borderId="0" xfId="38" applyFont="1"/>
    <xf numFmtId="166" fontId="20" fillId="0" borderId="0" xfId="33" applyNumberFormat="1" applyFont="1" applyAlignment="1">
      <alignment horizontal="right"/>
    </xf>
    <xf numFmtId="0" fontId="61" fillId="0" borderId="0" xfId="32" applyFont="1"/>
    <xf numFmtId="0" fontId="59" fillId="0" borderId="0" xfId="33" applyFont="1" applyAlignment="1">
      <alignment horizontal="right"/>
    </xf>
    <xf numFmtId="0" fontId="9" fillId="0" borderId="0" xfId="37" applyFont="1"/>
    <xf numFmtId="0" fontId="12" fillId="0" borderId="0" xfId="32" applyFont="1" applyAlignment="1">
      <alignment horizontal="right" indent="1"/>
    </xf>
    <xf numFmtId="166" fontId="12" fillId="0" borderId="0" xfId="32" applyNumberFormat="1" applyFont="1" applyAlignment="1">
      <alignment horizontal="right" indent="4"/>
    </xf>
    <xf numFmtId="0" fontId="58" fillId="0" borderId="0" xfId="32" applyFont="1" applyAlignment="1">
      <alignment horizontal="right" indent="1"/>
    </xf>
    <xf numFmtId="166" fontId="58" fillId="0" borderId="0" xfId="32" applyNumberFormat="1" applyFont="1" applyAlignment="1">
      <alignment horizontal="right" indent="4"/>
    </xf>
    <xf numFmtId="0" fontId="62" fillId="0" borderId="0" xfId="35" applyFont="1" applyAlignment="1">
      <alignment horizontal="left" wrapText="1" indent="1"/>
    </xf>
    <xf numFmtId="0" fontId="20" fillId="0" borderId="0" xfId="32" applyFont="1" applyAlignment="1">
      <alignment horizontal="right" indent="1"/>
    </xf>
    <xf numFmtId="166" fontId="20" fillId="0" borderId="0" xfId="32" applyNumberFormat="1" applyFont="1" applyAlignment="1">
      <alignment horizontal="right" indent="4"/>
    </xf>
    <xf numFmtId="0" fontId="58" fillId="0" borderId="0" xfId="35" applyFont="1"/>
    <xf numFmtId="166" fontId="12" fillId="0" borderId="0" xfId="32" applyNumberFormat="1" applyFont="1" applyAlignment="1">
      <alignment horizontal="center"/>
    </xf>
    <xf numFmtId="166" fontId="58" fillId="0" borderId="0" xfId="32" applyNumberFormat="1" applyFont="1" applyAlignment="1">
      <alignment horizontal="center"/>
    </xf>
    <xf numFmtId="166" fontId="20" fillId="0" borderId="0" xfId="32" applyNumberFormat="1" applyFont="1" applyAlignment="1">
      <alignment horizontal="center"/>
    </xf>
    <xf numFmtId="0" fontId="62" fillId="0" borderId="0" xfId="32" applyFont="1" applyAlignment="1">
      <alignment horizontal="left" wrapText="1" indent="1"/>
    </xf>
    <xf numFmtId="0" fontId="3" fillId="0" borderId="0" xfId="39" applyFont="1" applyAlignment="1">
      <alignment horizontal="left"/>
    </xf>
    <xf numFmtId="0" fontId="5" fillId="0" borderId="0" xfId="40" applyFont="1"/>
    <xf numFmtId="0" fontId="2" fillId="0" borderId="0" xfId="40"/>
    <xf numFmtId="0" fontId="9" fillId="0" borderId="0" xfId="41" applyFont="1"/>
    <xf numFmtId="0" fontId="7" fillId="0" borderId="1" xfId="40" applyFont="1" applyBorder="1" applyAlignment="1">
      <alignment horizontal="right"/>
    </xf>
    <xf numFmtId="0" fontId="7" fillId="0" borderId="0" xfId="40" applyFont="1" applyAlignment="1">
      <alignment horizontal="right"/>
    </xf>
    <xf numFmtId="0" fontId="5" fillId="0" borderId="2" xfId="40" applyFont="1" applyBorder="1"/>
    <xf numFmtId="0" fontId="6" fillId="0" borderId="2" xfId="40" applyFont="1" applyBorder="1" applyAlignment="1">
      <alignment horizontal="center" vertical="center" wrapText="1"/>
    </xf>
    <xf numFmtId="0" fontId="6" fillId="0" borderId="0" xfId="40" applyFont="1" applyAlignment="1">
      <alignment horizontal="center" vertical="center" wrapText="1"/>
    </xf>
    <xf numFmtId="0" fontId="9" fillId="0" borderId="0" xfId="42" applyFont="1" applyAlignment="1">
      <alignment horizontal="left"/>
    </xf>
    <xf numFmtId="0" fontId="9" fillId="0" borderId="0" xfId="42" applyFont="1"/>
    <xf numFmtId="166" fontId="9" fillId="0" borderId="0" xfId="43" applyNumberFormat="1" applyFont="1" applyAlignment="1">
      <alignment horizontal="right" indent="1"/>
    </xf>
    <xf numFmtId="0" fontId="5" fillId="0" borderId="0" xfId="42" applyFont="1"/>
    <xf numFmtId="0" fontId="5" fillId="0" borderId="0" xfId="42" applyFont="1" applyAlignment="1">
      <alignment horizontal="left"/>
    </xf>
    <xf numFmtId="166" fontId="5" fillId="0" borderId="0" xfId="43" applyNumberFormat="1" applyAlignment="1">
      <alignment horizontal="right" indent="1"/>
    </xf>
    <xf numFmtId="166" fontId="2" fillId="0" borderId="0" xfId="40" applyNumberFormat="1"/>
    <xf numFmtId="0" fontId="5" fillId="0" borderId="0" xfId="42" applyFont="1" applyAlignment="1">
      <alignment horizontal="left" wrapText="1"/>
    </xf>
    <xf numFmtId="0" fontId="5" fillId="0" borderId="0" xfId="42" applyFont="1" applyAlignment="1">
      <alignment wrapText="1"/>
    </xf>
    <xf numFmtId="166" fontId="5" fillId="0" borderId="0" xfId="40" applyNumberFormat="1" applyFont="1" applyAlignment="1">
      <alignment horizontal="right" indent="1"/>
    </xf>
    <xf numFmtId="1" fontId="5" fillId="0" borderId="0" xfId="43" applyNumberFormat="1" applyAlignment="1">
      <alignment horizontal="right"/>
    </xf>
    <xf numFmtId="166" fontId="27" fillId="0" borderId="0" xfId="43" applyNumberFormat="1" applyFont="1" applyAlignment="1">
      <alignment horizontal="right" indent="1"/>
    </xf>
    <xf numFmtId="166" fontId="5" fillId="0" borderId="0" xfId="40" applyNumberFormat="1" applyFont="1"/>
    <xf numFmtId="0" fontId="7" fillId="0" borderId="0" xfId="42" applyFont="1" applyAlignment="1">
      <alignment horizontal="left"/>
    </xf>
    <xf numFmtId="0" fontId="5" fillId="0" borderId="0" xfId="44" applyFont="1" applyAlignment="1">
      <alignment horizontal="left" indent="1"/>
    </xf>
    <xf numFmtId="166" fontId="5" fillId="0" borderId="0" xfId="43" applyNumberFormat="1" applyAlignment="1">
      <alignment horizontal="right"/>
    </xf>
    <xf numFmtId="0" fontId="5" fillId="0" borderId="0" xfId="25" applyFont="1"/>
    <xf numFmtId="0" fontId="5" fillId="0" borderId="0" xfId="25" applyFont="1" applyAlignment="1">
      <alignment horizontal="left" indent="1"/>
    </xf>
    <xf numFmtId="1" fontId="5" fillId="0" borderId="0" xfId="40" applyNumberFormat="1" applyFont="1" applyAlignment="1">
      <alignment horizontal="right"/>
    </xf>
    <xf numFmtId="0" fontId="10" fillId="0" borderId="0" xfId="41" applyFont="1"/>
    <xf numFmtId="0" fontId="6" fillId="0" borderId="0" xfId="40" applyFont="1"/>
    <xf numFmtId="0" fontId="24" fillId="0" borderId="1" xfId="40" applyFont="1" applyBorder="1" applyAlignment="1">
      <alignment horizontal="right"/>
    </xf>
    <xf numFmtId="0" fontId="24" fillId="0" borderId="0" xfId="40" applyFont="1" applyAlignment="1">
      <alignment horizontal="right"/>
    </xf>
    <xf numFmtId="16" fontId="6" fillId="0" borderId="2" xfId="40" quotePrefix="1" applyNumberFormat="1" applyFont="1" applyBorder="1" applyAlignment="1">
      <alignment horizontal="center" vertical="center" wrapText="1"/>
    </xf>
    <xf numFmtId="0" fontId="6" fillId="0" borderId="1" xfId="40" applyFont="1" applyBorder="1" applyAlignment="1">
      <alignment horizontal="center" vertical="center" wrapText="1"/>
    </xf>
    <xf numFmtId="166" fontId="9" fillId="0" borderId="0" xfId="43" applyNumberFormat="1" applyFont="1" applyAlignment="1">
      <alignment horizontal="right" indent="2"/>
    </xf>
    <xf numFmtId="166" fontId="7" fillId="0" borderId="0" xfId="43" applyNumberFormat="1" applyFont="1" applyAlignment="1">
      <alignment horizontal="right" indent="1"/>
    </xf>
    <xf numFmtId="166" fontId="55" fillId="0" borderId="0" xfId="43" applyNumberFormat="1" applyFont="1" applyAlignment="1">
      <alignment horizontal="right" indent="1"/>
    </xf>
    <xf numFmtId="166" fontId="55" fillId="0" borderId="0" xfId="43" applyNumberFormat="1" applyFont="1" applyAlignment="1">
      <alignment horizontal="right" indent="2"/>
    </xf>
    <xf numFmtId="0" fontId="64" fillId="0" borderId="0" xfId="42" applyFont="1"/>
    <xf numFmtId="0" fontId="5" fillId="0" borderId="0" xfId="42" applyFont="1" applyAlignment="1">
      <alignment horizontal="left" indent="1"/>
    </xf>
    <xf numFmtId="166" fontId="27" fillId="0" borderId="0" xfId="43" applyNumberFormat="1" applyFont="1" applyAlignment="1">
      <alignment horizontal="right" indent="2"/>
    </xf>
    <xf numFmtId="166" fontId="5" fillId="0" borderId="0" xfId="43" applyNumberFormat="1" applyAlignment="1">
      <alignment horizontal="right" indent="2"/>
    </xf>
    <xf numFmtId="0" fontId="5" fillId="0" borderId="0" xfId="45" applyFont="1" applyAlignment="1">
      <alignment horizontal="left" indent="1"/>
    </xf>
    <xf numFmtId="0" fontId="7" fillId="0" borderId="0" xfId="42" applyFont="1"/>
    <xf numFmtId="166" fontId="5" fillId="0" borderId="0" xfId="40" applyNumberFormat="1" applyFont="1" applyAlignment="1">
      <alignment horizontal="right" indent="2"/>
    </xf>
    <xf numFmtId="0" fontId="21" fillId="0" borderId="0" xfId="40" applyFont="1"/>
    <xf numFmtId="0" fontId="5" fillId="0" borderId="2" xfId="40" applyFont="1" applyBorder="1" applyAlignment="1">
      <alignment horizontal="center" vertical="center" wrapText="1"/>
    </xf>
    <xf numFmtId="0" fontId="5" fillId="0" borderId="0" xfId="40" applyFont="1" applyAlignment="1">
      <alignment horizontal="center" vertical="center" wrapText="1"/>
    </xf>
    <xf numFmtId="0" fontId="5" fillId="0" borderId="1" xfId="40" applyFont="1" applyBorder="1" applyAlignment="1">
      <alignment horizontal="center" vertical="center" wrapText="1"/>
    </xf>
    <xf numFmtId="0" fontId="65" fillId="0" borderId="0" xfId="40" applyFont="1"/>
    <xf numFmtId="166" fontId="9" fillId="0" borderId="0" xfId="43" applyNumberFormat="1" applyFont="1"/>
    <xf numFmtId="166" fontId="7" fillId="0" borderId="0" xfId="43" applyNumberFormat="1" applyFont="1"/>
    <xf numFmtId="166" fontId="55" fillId="0" borderId="0" xfId="43" applyNumberFormat="1" applyFont="1"/>
    <xf numFmtId="166" fontId="5" fillId="0" borderId="0" xfId="43" applyNumberFormat="1"/>
    <xf numFmtId="166" fontId="27" fillId="0" borderId="0" xfId="43" applyNumberFormat="1" applyFont="1"/>
    <xf numFmtId="0" fontId="3" fillId="0" borderId="0" xfId="46" applyFont="1" applyAlignment="1">
      <alignment horizontal="left"/>
    </xf>
    <xf numFmtId="0" fontId="4" fillId="0" borderId="0" xfId="46" applyFont="1" applyAlignment="1">
      <alignment horizontal="left"/>
    </xf>
    <xf numFmtId="0" fontId="4" fillId="0" borderId="0" xfId="46" applyFont="1" applyAlignment="1">
      <alignment horizontal="center"/>
    </xf>
    <xf numFmtId="0" fontId="2" fillId="0" borderId="0" xfId="46"/>
    <xf numFmtId="0" fontId="4" fillId="0" borderId="0" xfId="46" applyFont="1"/>
    <xf numFmtId="0" fontId="21" fillId="0" borderId="0" xfId="46" applyFont="1"/>
    <xf numFmtId="0" fontId="21" fillId="0" borderId="0" xfId="46" applyFont="1" applyAlignment="1">
      <alignment horizontal="center"/>
    </xf>
    <xf numFmtId="0" fontId="7" fillId="0" borderId="0" xfId="46" applyFont="1" applyAlignment="1">
      <alignment horizontal="right"/>
    </xf>
    <xf numFmtId="0" fontId="21" fillId="0" borderId="2" xfId="46" applyFont="1" applyBorder="1"/>
    <xf numFmtId="0" fontId="21" fillId="0" borderId="2" xfId="46" applyFont="1" applyBorder="1" applyAlignment="1">
      <alignment vertical="center"/>
    </xf>
    <xf numFmtId="0" fontId="5" fillId="0" borderId="2" xfId="46" applyFont="1" applyBorder="1" applyAlignment="1">
      <alignment horizontal="center" vertical="center"/>
    </xf>
    <xf numFmtId="0" fontId="21" fillId="0" borderId="0" xfId="46" applyFont="1" applyAlignment="1">
      <alignment vertical="center"/>
    </xf>
    <xf numFmtId="0" fontId="5" fillId="0" borderId="1" xfId="46" applyFont="1" applyBorder="1" applyAlignment="1">
      <alignment horizontal="center" vertical="center"/>
    </xf>
    <xf numFmtId="0" fontId="9" fillId="0" borderId="0" xfId="46" applyFont="1"/>
    <xf numFmtId="0" fontId="5" fillId="0" borderId="0" xfId="47"/>
    <xf numFmtId="1" fontId="9" fillId="0" borderId="0" xfId="46" applyNumberFormat="1" applyFont="1" applyAlignment="1">
      <alignment horizontal="right" indent="3"/>
    </xf>
    <xf numFmtId="166" fontId="9" fillId="0" borderId="0" xfId="46" applyNumberFormat="1" applyFont="1" applyAlignment="1">
      <alignment horizontal="right" indent="2"/>
    </xf>
    <xf numFmtId="1" fontId="5" fillId="0" borderId="0" xfId="46" applyNumberFormat="1" applyFont="1" applyAlignment="1">
      <alignment horizontal="right" indent="3"/>
    </xf>
    <xf numFmtId="0" fontId="1" fillId="0" borderId="0" xfId="48" applyAlignment="1">
      <alignment horizontal="right" indent="2"/>
    </xf>
    <xf numFmtId="166" fontId="5" fillId="0" borderId="0" xfId="46" applyNumberFormat="1" applyFont="1" applyAlignment="1">
      <alignment horizontal="right" indent="2"/>
    </xf>
    <xf numFmtId="0" fontId="18" fillId="0" borderId="0" xfId="16" applyAlignment="1">
      <alignment vertical="center" wrapText="1"/>
    </xf>
    <xf numFmtId="0" fontId="5" fillId="0" borderId="0" xfId="49" applyFont="1" applyAlignment="1">
      <alignment horizontal="right" indent="3"/>
    </xf>
    <xf numFmtId="168" fontId="66" fillId="0" borderId="0" xfId="49" applyNumberFormat="1" applyFont="1" applyAlignment="1">
      <alignment horizontal="center"/>
    </xf>
    <xf numFmtId="168" fontId="7" fillId="0" borderId="0" xfId="49" applyNumberFormat="1" applyFont="1" applyAlignment="1">
      <alignment horizontal="right" indent="3"/>
    </xf>
    <xf numFmtId="166" fontId="7" fillId="0" borderId="0" xfId="49" applyNumberFormat="1" applyFont="1" applyAlignment="1">
      <alignment horizontal="right" indent="2"/>
    </xf>
    <xf numFmtId="0" fontId="5" fillId="0" borderId="0" xfId="46" applyFont="1"/>
    <xf numFmtId="43" fontId="51" fillId="0" borderId="0" xfId="12" applyFont="1" applyFill="1" applyBorder="1" applyAlignment="1">
      <alignment vertical="center"/>
    </xf>
    <xf numFmtId="0" fontId="3" fillId="0" borderId="0" xfId="50" applyFont="1"/>
    <xf numFmtId="0" fontId="5" fillId="0" borderId="0" xfId="51" applyFont="1"/>
    <xf numFmtId="0" fontId="3" fillId="0" borderId="0" xfId="50" applyFont="1" applyAlignment="1">
      <alignment horizontal="center"/>
    </xf>
    <xf numFmtId="0" fontId="4" fillId="0" borderId="0" xfId="50" applyFont="1"/>
    <xf numFmtId="0" fontId="5" fillId="0" borderId="1" xfId="50" applyFont="1" applyBorder="1"/>
    <xf numFmtId="0" fontId="5" fillId="0" borderId="0" xfId="50" applyFont="1"/>
    <xf numFmtId="0" fontId="7" fillId="0" borderId="0" xfId="50" applyFont="1" applyAlignment="1">
      <alignment horizontal="right"/>
    </xf>
    <xf numFmtId="0" fontId="16" fillId="0" borderId="0" xfId="51" applyFont="1" applyAlignment="1">
      <alignment wrapText="1"/>
    </xf>
    <xf numFmtId="0" fontId="20" fillId="0" borderId="2" xfId="52" applyFont="1" applyBorder="1" applyAlignment="1">
      <alignment horizontal="center" vertical="center" wrapText="1"/>
    </xf>
    <xf numFmtId="0" fontId="5" fillId="0" borderId="2" xfId="51" applyFont="1" applyBorder="1" applyAlignment="1">
      <alignment horizontal="center" vertical="center" wrapText="1"/>
    </xf>
    <xf numFmtId="0" fontId="20" fillId="0" borderId="0" xfId="52" applyFont="1" applyAlignment="1">
      <alignment horizontal="center" vertical="center" wrapText="1"/>
    </xf>
    <xf numFmtId="0" fontId="5" fillId="0" borderId="0" xfId="51" applyFont="1" applyAlignment="1">
      <alignment horizontal="center" vertical="center" wrapText="1"/>
    </xf>
    <xf numFmtId="0" fontId="5" fillId="0" borderId="0" xfId="53" applyFont="1" applyAlignment="1">
      <alignment horizontal="center" vertical="center" wrapText="1"/>
    </xf>
    <xf numFmtId="166" fontId="9" fillId="0" borderId="0" xfId="50" applyNumberFormat="1" applyFont="1" applyAlignment="1">
      <alignment horizontal="right" indent="1"/>
    </xf>
    <xf numFmtId="166" fontId="9" fillId="0" borderId="0" xfId="50" applyNumberFormat="1" applyFont="1" applyAlignment="1">
      <alignment horizontal="right" indent="3"/>
    </xf>
    <xf numFmtId="166" fontId="5" fillId="0" borderId="0" xfId="50" applyNumberFormat="1" applyFont="1" applyAlignment="1">
      <alignment horizontal="center" vertical="center"/>
    </xf>
    <xf numFmtId="166" fontId="5" fillId="0" borderId="0" xfId="50" applyNumberFormat="1" applyFont="1" applyAlignment="1">
      <alignment horizontal="right" indent="1"/>
    </xf>
    <xf numFmtId="0" fontId="9" fillId="0" borderId="0" xfId="51" applyFont="1"/>
    <xf numFmtId="0" fontId="9" fillId="0" borderId="1" xfId="51" applyFont="1" applyBorder="1"/>
    <xf numFmtId="166" fontId="5" fillId="0" borderId="1" xfId="50" applyNumberFormat="1" applyFont="1" applyBorder="1" applyAlignment="1">
      <alignment horizontal="center" vertical="center"/>
    </xf>
    <xf numFmtId="0" fontId="7" fillId="0" borderId="0" xfId="50" applyFont="1"/>
    <xf numFmtId="0" fontId="13" fillId="0" borderId="0" xfId="52" applyAlignment="1">
      <alignment wrapText="1"/>
    </xf>
    <xf numFmtId="0" fontId="7" fillId="0" borderId="0" xfId="51" applyFont="1"/>
    <xf numFmtId="166" fontId="12" fillId="0" borderId="0" xfId="12" applyNumberFormat="1" applyFont="1" applyFill="1" applyBorder="1" applyAlignment="1">
      <alignment vertical="center"/>
    </xf>
    <xf numFmtId="166" fontId="12" fillId="0" borderId="0" xfId="54" applyNumberFormat="1" applyFont="1" applyFill="1" applyBorder="1" applyAlignment="1">
      <alignment vertical="center" wrapText="1"/>
    </xf>
    <xf numFmtId="1" fontId="5" fillId="0" borderId="0" xfId="51" applyNumberFormat="1" applyFont="1"/>
    <xf numFmtId="166" fontId="20" fillId="0" borderId="0" xfId="12" applyNumberFormat="1" applyFont="1" applyFill="1" applyBorder="1" applyAlignment="1">
      <alignment vertical="center"/>
    </xf>
    <xf numFmtId="166" fontId="20" fillId="0" borderId="0" xfId="54" applyNumberFormat="1" applyFont="1" applyFill="1" applyBorder="1" applyAlignment="1">
      <alignment vertical="center" wrapText="1"/>
    </xf>
    <xf numFmtId="0" fontId="7" fillId="0" borderId="0" xfId="50" quotePrefix="1" applyFont="1" applyAlignment="1">
      <alignment horizontal="left"/>
    </xf>
    <xf numFmtId="0" fontId="5" fillId="0" borderId="0" xfId="50" applyFont="1" applyAlignment="1">
      <alignment horizontal="left"/>
    </xf>
    <xf numFmtId="1" fontId="5" fillId="0" borderId="0" xfId="50" applyNumberFormat="1" applyFont="1"/>
    <xf numFmtId="0" fontId="5" fillId="0" borderId="0" xfId="24" applyFont="1" applyAlignment="1">
      <alignment horizontal="center" vertical="center"/>
    </xf>
    <xf numFmtId="0" fontId="67" fillId="0" borderId="0" xfId="16" applyFont="1"/>
    <xf numFmtId="0" fontId="20" fillId="0" borderId="0" xfId="31" applyFont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1" fontId="9" fillId="0" borderId="0" xfId="50" applyNumberFormat="1" applyFont="1" applyAlignment="1">
      <alignment horizontal="right" indent="1"/>
    </xf>
    <xf numFmtId="166" fontId="9" fillId="0" borderId="0" xfId="50" applyNumberFormat="1" applyFont="1" applyAlignment="1">
      <alignment horizontal="right" indent="2"/>
    </xf>
    <xf numFmtId="166" fontId="12" fillId="0" borderId="0" xfId="54" applyNumberFormat="1" applyFont="1" applyFill="1" applyBorder="1" applyAlignment="1">
      <alignment vertical="center"/>
    </xf>
    <xf numFmtId="166" fontId="12" fillId="0" borderId="0" xfId="54" applyNumberFormat="1" applyFont="1" applyFill="1" applyBorder="1" applyAlignment="1">
      <alignment horizontal="right" vertical="center" indent="2"/>
    </xf>
    <xf numFmtId="1" fontId="67" fillId="0" borderId="0" xfId="16" applyNumberFormat="1" applyFont="1"/>
    <xf numFmtId="1" fontId="9" fillId="0" borderId="0" xfId="12" applyNumberFormat="1" applyFont="1" applyFill="1" applyBorder="1" applyAlignment="1">
      <alignment horizontal="right" vertical="center"/>
    </xf>
    <xf numFmtId="166" fontId="20" fillId="0" borderId="0" xfId="54" applyNumberFormat="1" applyFont="1" applyFill="1" applyBorder="1" applyAlignment="1">
      <alignment vertical="center"/>
    </xf>
    <xf numFmtId="166" fontId="20" fillId="0" borderId="0" xfId="54" applyNumberFormat="1" applyFont="1" applyFill="1" applyBorder="1" applyAlignment="1">
      <alignment horizontal="right" vertical="center" indent="2"/>
    </xf>
    <xf numFmtId="1" fontId="5" fillId="0" borderId="0" xfId="12" applyNumberFormat="1" applyFont="1" applyFill="1" applyBorder="1" applyAlignment="1">
      <alignment horizontal="right" vertical="center"/>
    </xf>
    <xf numFmtId="1" fontId="18" fillId="0" borderId="0" xfId="16" applyNumberFormat="1"/>
    <xf numFmtId="166" fontId="5" fillId="0" borderId="0" xfId="50" applyNumberFormat="1" applyFont="1" applyAlignment="1">
      <alignment horizontal="center"/>
    </xf>
    <xf numFmtId="0" fontId="3" fillId="0" borderId="0" xfId="55" applyFont="1"/>
    <xf numFmtId="0" fontId="4" fillId="0" borderId="0" xfId="56" applyFont="1"/>
    <xf numFmtId="0" fontId="68" fillId="0" borderId="0" xfId="56" applyFont="1"/>
    <xf numFmtId="0" fontId="2" fillId="0" borderId="0" xfId="55"/>
    <xf numFmtId="0" fontId="3" fillId="0" borderId="0" xfId="56" applyFont="1" applyAlignment="1">
      <alignment horizontal="left"/>
    </xf>
    <xf numFmtId="0" fontId="4" fillId="0" borderId="0" xfId="56" applyFont="1" applyAlignment="1">
      <alignment horizontal="left"/>
    </xf>
    <xf numFmtId="0" fontId="69" fillId="0" borderId="0" xfId="56" applyFont="1" applyAlignment="1">
      <alignment horizontal="left"/>
    </xf>
    <xf numFmtId="0" fontId="5" fillId="0" borderId="0" xfId="56" applyFont="1"/>
    <xf numFmtId="0" fontId="5" fillId="0" borderId="0" xfId="56" applyFont="1" applyAlignment="1">
      <alignment horizontal="center"/>
    </xf>
    <xf numFmtId="0" fontId="7" fillId="0" borderId="0" xfId="56" applyFont="1" applyAlignment="1">
      <alignment horizontal="right"/>
    </xf>
    <xf numFmtId="0" fontId="5" fillId="0" borderId="2" xfId="56" applyFont="1" applyBorder="1" applyAlignment="1">
      <alignment vertical="center" wrapText="1"/>
    </xf>
    <xf numFmtId="0" fontId="20" fillId="0" borderId="2" xfId="31" applyFont="1" applyBorder="1" applyAlignment="1">
      <alignment horizontal="center" vertical="center" wrapText="1"/>
    </xf>
    <xf numFmtId="0" fontId="5" fillId="0" borderId="0" xfId="56" applyFont="1" applyAlignment="1">
      <alignment vertical="center" wrapText="1"/>
    </xf>
    <xf numFmtId="0" fontId="5" fillId="0" borderId="0" xfId="37" applyFont="1" applyAlignment="1">
      <alignment horizontal="center" vertical="center" wrapText="1"/>
    </xf>
    <xf numFmtId="0" fontId="5" fillId="0" borderId="0" xfId="56" applyFont="1" applyAlignment="1">
      <alignment horizontal="center" vertical="center" wrapText="1"/>
    </xf>
    <xf numFmtId="0" fontId="5" fillId="0" borderId="1" xfId="37" applyFont="1" applyBorder="1" applyAlignment="1">
      <alignment horizontal="center" vertical="center" wrapText="1"/>
    </xf>
    <xf numFmtId="0" fontId="6" fillId="0" borderId="2" xfId="56" applyFont="1" applyBorder="1" applyAlignment="1">
      <alignment horizontal="center" vertical="top" wrapText="1"/>
    </xf>
    <xf numFmtId="1" fontId="6" fillId="0" borderId="2" xfId="57" applyNumberFormat="1" applyFont="1" applyBorder="1" applyAlignment="1">
      <alignment horizontal="center" vertical="top" wrapText="1"/>
    </xf>
    <xf numFmtId="0" fontId="5" fillId="0" borderId="2" xfId="50" applyFont="1" applyBorder="1" applyAlignment="1">
      <alignment horizontal="center" vertical="top" wrapText="1"/>
    </xf>
    <xf numFmtId="0" fontId="9" fillId="0" borderId="0" xfId="58" applyFont="1" applyAlignment="1">
      <alignment horizontal="left"/>
    </xf>
    <xf numFmtId="0" fontId="9" fillId="0" borderId="0" xfId="58" applyFont="1" applyAlignment="1">
      <alignment horizontal="left" wrapText="1"/>
    </xf>
    <xf numFmtId="166" fontId="9" fillId="2" borderId="0" xfId="31" applyNumberFormat="1" applyFont="1" applyFill="1"/>
    <xf numFmtId="166" fontId="9" fillId="2" borderId="0" xfId="31" applyNumberFormat="1" applyFont="1" applyFill="1" applyAlignment="1">
      <alignment horizontal="right" indent="2"/>
    </xf>
    <xf numFmtId="0" fontId="70" fillId="0" borderId="0" xfId="58" applyFont="1"/>
    <xf numFmtId="0" fontId="5" fillId="0" borderId="0" xfId="58" applyFont="1"/>
    <xf numFmtId="166" fontId="5" fillId="2" borderId="0" xfId="31" applyNumberFormat="1" applyFont="1" applyFill="1"/>
    <xf numFmtId="166" fontId="5" fillId="2" borderId="0" xfId="31" applyNumberFormat="1" applyFont="1" applyFill="1" applyAlignment="1">
      <alignment horizontal="right" indent="2"/>
    </xf>
    <xf numFmtId="0" fontId="5" fillId="0" borderId="0" xfId="58" applyFont="1" applyAlignment="1">
      <alignment horizontal="left"/>
    </xf>
    <xf numFmtId="166" fontId="5" fillId="0" borderId="0" xfId="31" applyNumberFormat="1" applyFont="1" applyAlignment="1">
      <alignment horizontal="right" indent="2"/>
    </xf>
    <xf numFmtId="166" fontId="5" fillId="0" borderId="0" xfId="59" applyNumberFormat="1" applyFont="1" applyFill="1" applyBorder="1" applyAlignment="1"/>
    <xf numFmtId="166" fontId="5" fillId="0" borderId="0" xfId="59" applyNumberFormat="1" applyFont="1" applyFill="1" applyBorder="1" applyAlignment="1">
      <alignment horizontal="right" indent="2"/>
    </xf>
    <xf numFmtId="166" fontId="12" fillId="0" borderId="0" xfId="31" applyNumberFormat="1" applyFont="1" applyAlignment="1">
      <alignment horizontal="right" indent="2"/>
    </xf>
    <xf numFmtId="166" fontId="71" fillId="0" borderId="0" xfId="31" applyNumberFormat="1" applyFont="1" applyAlignment="1">
      <alignment horizontal="right" indent="2"/>
    </xf>
    <xf numFmtId="0" fontId="6" fillId="0" borderId="0" xfId="58" applyFont="1" applyAlignment="1">
      <alignment horizontal="left"/>
    </xf>
    <xf numFmtId="166" fontId="6" fillId="0" borderId="0" xfId="56" applyNumberFormat="1" applyFont="1"/>
    <xf numFmtId="166" fontId="6" fillId="0" borderId="0" xfId="56" applyNumberFormat="1" applyFont="1" applyAlignment="1">
      <alignment horizontal="right" indent="2"/>
    </xf>
    <xf numFmtId="0" fontId="72" fillId="0" borderId="0" xfId="56" applyFont="1"/>
    <xf numFmtId="0" fontId="73" fillId="0" borderId="0" xfId="56" applyFont="1"/>
    <xf numFmtId="0" fontId="43" fillId="0" borderId="0" xfId="55" applyFont="1"/>
    <xf numFmtId="0" fontId="61" fillId="0" borderId="0" xfId="56" applyFont="1"/>
    <xf numFmtId="0" fontId="44" fillId="0" borderId="0" xfId="56" applyFont="1"/>
    <xf numFmtId="0" fontId="74" fillId="0" borderId="0" xfId="55" applyFont="1"/>
    <xf numFmtId="0" fontId="43" fillId="0" borderId="0" xfId="56" applyFont="1" applyAlignment="1">
      <alignment horizontal="left"/>
    </xf>
    <xf numFmtId="0" fontId="61" fillId="0" borderId="0" xfId="56" applyFont="1" applyAlignment="1">
      <alignment horizontal="left"/>
    </xf>
    <xf numFmtId="0" fontId="75" fillId="0" borderId="0" xfId="56" applyFont="1" applyAlignment="1">
      <alignment horizontal="left"/>
    </xf>
    <xf numFmtId="0" fontId="20" fillId="0" borderId="0" xfId="56" applyFont="1"/>
    <xf numFmtId="0" fontId="20" fillId="0" borderId="0" xfId="56" applyFont="1" applyAlignment="1">
      <alignment horizontal="center"/>
    </xf>
    <xf numFmtId="0" fontId="20" fillId="0" borderId="1" xfId="56" applyFont="1" applyBorder="1" applyAlignment="1">
      <alignment horizontal="center"/>
    </xf>
    <xf numFmtId="0" fontId="20" fillId="0" borderId="2" xfId="56" applyFont="1" applyBorder="1" applyAlignment="1">
      <alignment vertical="center" wrapText="1"/>
    </xf>
    <xf numFmtId="0" fontId="20" fillId="0" borderId="0" xfId="24" applyFont="1" applyAlignment="1">
      <alignment horizontal="center" vertical="center"/>
    </xf>
    <xf numFmtId="0" fontId="20" fillId="0" borderId="0" xfId="56" applyFont="1" applyAlignment="1">
      <alignment vertical="center" wrapText="1"/>
    </xf>
    <xf numFmtId="0" fontId="20" fillId="0" borderId="1" xfId="7" applyFont="1" applyBorder="1" applyAlignment="1">
      <alignment horizontal="center" vertical="center" wrapText="1"/>
    </xf>
    <xf numFmtId="0" fontId="46" fillId="0" borderId="0" xfId="56" applyFont="1" applyAlignment="1">
      <alignment horizontal="center" vertical="top" wrapText="1"/>
    </xf>
    <xf numFmtId="1" fontId="46" fillId="0" borderId="0" xfId="57" applyNumberFormat="1" applyFont="1" applyAlignment="1">
      <alignment horizontal="center" vertical="top" wrapText="1"/>
    </xf>
    <xf numFmtId="0" fontId="12" fillId="0" borderId="0" xfId="58" applyFont="1" applyAlignment="1">
      <alignment horizontal="left"/>
    </xf>
    <xf numFmtId="0" fontId="12" fillId="0" borderId="0" xfId="58" applyFont="1" applyAlignment="1">
      <alignment horizontal="left" wrapText="1"/>
    </xf>
    <xf numFmtId="166" fontId="9" fillId="2" borderId="0" xfId="60" applyNumberFormat="1" applyFont="1" applyFill="1"/>
    <xf numFmtId="166" fontId="9" fillId="0" borderId="0" xfId="61" applyNumberFormat="1" applyFont="1" applyAlignment="1">
      <alignment horizontal="right" indent="2"/>
    </xf>
    <xf numFmtId="0" fontId="76" fillId="0" borderId="0" xfId="58" applyFont="1"/>
    <xf numFmtId="0" fontId="20" fillId="0" borderId="0" xfId="58" applyFont="1"/>
    <xf numFmtId="166" fontId="5" fillId="0" borderId="0" xfId="61" applyNumberFormat="1" applyFont="1"/>
    <xf numFmtId="166" fontId="5" fillId="0" borderId="0" xfId="61" applyNumberFormat="1" applyFont="1" applyAlignment="1">
      <alignment horizontal="right" indent="2"/>
    </xf>
    <xf numFmtId="166" fontId="9" fillId="0" borderId="0" xfId="61" applyNumberFormat="1" applyFont="1"/>
    <xf numFmtId="0" fontId="20" fillId="0" borderId="0" xfId="58" applyFont="1" applyAlignment="1">
      <alignment horizontal="left"/>
    </xf>
    <xf numFmtId="166" fontId="20" fillId="0" borderId="0" xfId="62" applyNumberFormat="1" applyFont="1"/>
    <xf numFmtId="166" fontId="20" fillId="0" borderId="0" xfId="62" applyNumberFormat="1" applyFont="1" applyAlignment="1">
      <alignment horizontal="right" indent="2"/>
    </xf>
    <xf numFmtId="0" fontId="46" fillId="0" borderId="0" xfId="58" applyFont="1" applyAlignment="1">
      <alignment horizontal="left"/>
    </xf>
    <xf numFmtId="166" fontId="46" fillId="0" borderId="0" xfId="56" applyNumberFormat="1" applyFont="1"/>
    <xf numFmtId="166" fontId="46" fillId="0" borderId="0" xfId="56" applyNumberFormat="1" applyFont="1" applyAlignment="1">
      <alignment horizontal="right" indent="2"/>
    </xf>
    <xf numFmtId="0" fontId="51" fillId="0" borderId="0" xfId="56" applyFont="1"/>
    <xf numFmtId="166" fontId="77" fillId="0" borderId="0" xfId="56" applyNumberFormat="1" applyFont="1"/>
    <xf numFmtId="0" fontId="77" fillId="0" borderId="0" xfId="56" applyFont="1"/>
    <xf numFmtId="0" fontId="6" fillId="0" borderId="0" xfId="56" applyFont="1" applyAlignment="1">
      <alignment horizontal="center" vertical="top" wrapText="1"/>
    </xf>
    <xf numFmtId="1" fontId="6" fillId="0" borderId="0" xfId="57" applyNumberFormat="1" applyFont="1" applyAlignment="1">
      <alignment horizontal="center" vertical="top" wrapText="1"/>
    </xf>
    <xf numFmtId="0" fontId="5" fillId="0" borderId="0" xfId="50" applyFont="1" applyAlignment="1">
      <alignment horizontal="center" vertical="top" wrapText="1"/>
    </xf>
    <xf numFmtId="0" fontId="9" fillId="0" borderId="0" xfId="58" applyFont="1"/>
    <xf numFmtId="166" fontId="5" fillId="0" borderId="0" xfId="31" applyNumberFormat="1" applyFont="1"/>
    <xf numFmtId="166" fontId="9" fillId="0" borderId="0" xfId="31" applyNumberFormat="1" applyFont="1"/>
    <xf numFmtId="166" fontId="5" fillId="0" borderId="0" xfId="62" applyNumberFormat="1" applyFont="1" applyAlignment="1">
      <alignment horizontal="right"/>
    </xf>
    <xf numFmtId="166" fontId="5" fillId="0" borderId="0" xfId="62" applyNumberFormat="1" applyFont="1" applyAlignment="1">
      <alignment horizontal="right" indent="2"/>
    </xf>
    <xf numFmtId="0" fontId="78" fillId="0" borderId="0" xfId="56" applyFont="1"/>
    <xf numFmtId="0" fontId="79" fillId="0" borderId="0" xfId="63" applyFont="1"/>
    <xf numFmtId="0" fontId="5" fillId="0" borderId="1" xfId="56" applyFont="1" applyBorder="1" applyAlignment="1">
      <alignment horizontal="center"/>
    </xf>
    <xf numFmtId="166" fontId="9" fillId="2" borderId="0" xfId="31" applyNumberFormat="1" applyFont="1" applyFill="1" applyAlignment="1">
      <alignment horizontal="right" vertical="center"/>
    </xf>
    <xf numFmtId="166" fontId="5" fillId="2" borderId="0" xfId="31" applyNumberFormat="1" applyFont="1" applyFill="1" applyAlignment="1">
      <alignment horizontal="right" vertical="center"/>
    </xf>
    <xf numFmtId="166" fontId="5" fillId="0" borderId="0" xfId="31" applyNumberFormat="1" applyFont="1" applyAlignment="1">
      <alignment horizontal="right" vertical="center"/>
    </xf>
    <xf numFmtId="166" fontId="5" fillId="0" borderId="0" xfId="62" applyNumberFormat="1" applyFont="1"/>
    <xf numFmtId="0" fontId="43" fillId="0" borderId="0" xfId="56" applyFont="1"/>
    <xf numFmtId="0" fontId="1" fillId="0" borderId="0" xfId="63"/>
    <xf numFmtId="0" fontId="58" fillId="0" borderId="0" xfId="56" applyFont="1" applyAlignment="1">
      <alignment horizontal="right"/>
    </xf>
    <xf numFmtId="0" fontId="20" fillId="0" borderId="0" xfId="64" applyFont="1" applyAlignment="1">
      <alignment horizontal="center" vertical="center" wrapText="1"/>
    </xf>
    <xf numFmtId="0" fontId="20" fillId="0" borderId="2" xfId="64" applyFont="1" applyBorder="1" applyAlignment="1">
      <alignment horizontal="center" vertical="center" wrapText="1"/>
    </xf>
    <xf numFmtId="0" fontId="20" fillId="0" borderId="0" xfId="37" applyFont="1" applyAlignment="1">
      <alignment horizontal="center" vertical="center" wrapText="1"/>
    </xf>
    <xf numFmtId="0" fontId="20" fillId="0" borderId="1" xfId="37" applyFont="1" applyBorder="1" applyAlignment="1">
      <alignment horizontal="center" vertical="center" wrapText="1"/>
    </xf>
    <xf numFmtId="0" fontId="20" fillId="0" borderId="0" xfId="56" applyFont="1" applyAlignment="1">
      <alignment horizontal="center" vertical="top" wrapText="1"/>
    </xf>
    <xf numFmtId="1" fontId="20" fillId="0" borderId="0" xfId="57" applyNumberFormat="1" applyFont="1" applyAlignment="1">
      <alignment horizontal="center" vertical="top" wrapText="1"/>
    </xf>
    <xf numFmtId="0" fontId="20" fillId="0" borderId="0" xfId="50" applyFont="1" applyAlignment="1">
      <alignment horizontal="center" vertical="top" wrapText="1"/>
    </xf>
    <xf numFmtId="0" fontId="12" fillId="0" borderId="0" xfId="65" applyFont="1"/>
    <xf numFmtId="1" fontId="9" fillId="0" borderId="0" xfId="59" applyNumberFormat="1" applyFont="1" applyBorder="1" applyAlignment="1">
      <alignment horizontal="right" vertical="center" wrapText="1"/>
    </xf>
    <xf numFmtId="166" fontId="9" fillId="0" borderId="0" xfId="59" applyNumberFormat="1" applyFont="1" applyBorder="1" applyAlignment="1">
      <alignment horizontal="right" vertical="center" wrapText="1" indent="2"/>
    </xf>
    <xf numFmtId="0" fontId="12" fillId="0" borderId="0" xfId="66" applyFont="1"/>
    <xf numFmtId="1" fontId="9" fillId="0" borderId="0" xfId="67" applyNumberFormat="1" applyFont="1" applyAlignment="1">
      <alignment horizontal="right" vertical="center" wrapText="1"/>
    </xf>
    <xf numFmtId="166" fontId="9" fillId="0" borderId="0" xfId="67" applyNumberFormat="1" applyFont="1" applyAlignment="1">
      <alignment horizontal="right" vertical="center" wrapText="1" indent="2"/>
    </xf>
    <xf numFmtId="0" fontId="20" fillId="0" borderId="0" xfId="65" applyFont="1" applyAlignment="1">
      <alignment horizontal="left" indent="1"/>
    </xf>
    <xf numFmtId="1" fontId="5" fillId="0" borderId="0" xfId="59" applyNumberFormat="1" applyFont="1" applyBorder="1" applyAlignment="1">
      <alignment horizontal="right" vertical="center" wrapText="1"/>
    </xf>
    <xf numFmtId="166" fontId="5" fillId="0" borderId="0" xfId="59" applyNumberFormat="1" applyFont="1" applyBorder="1" applyAlignment="1">
      <alignment horizontal="right" vertical="center" wrapText="1" indent="2"/>
    </xf>
    <xf numFmtId="0" fontId="12" fillId="0" borderId="0" xfId="56" applyFont="1"/>
    <xf numFmtId="1" fontId="5" fillId="0" borderId="0" xfId="67" applyNumberFormat="1" applyFont="1" applyAlignment="1">
      <alignment horizontal="right" vertical="center" wrapText="1"/>
    </xf>
    <xf numFmtId="166" fontId="5" fillId="0" borderId="0" xfId="67" applyNumberFormat="1" applyFont="1" applyAlignment="1">
      <alignment horizontal="right" vertical="center" wrapText="1" indent="2"/>
    </xf>
    <xf numFmtId="0" fontId="12" fillId="0" borderId="0" xfId="65" applyFont="1" applyAlignment="1">
      <alignment horizontal="left" indent="1"/>
    </xf>
    <xf numFmtId="0" fontId="20" fillId="0" borderId="0" xfId="65" applyFont="1" applyAlignment="1">
      <alignment horizontal="left" indent="2"/>
    </xf>
    <xf numFmtId="1" fontId="20" fillId="0" borderId="0" xfId="59" applyNumberFormat="1" applyFont="1" applyBorder="1" applyAlignment="1">
      <alignment horizontal="right" vertical="center" wrapText="1"/>
    </xf>
    <xf numFmtId="166" fontId="20" fillId="0" borderId="0" xfId="59" applyNumberFormat="1" applyFont="1" applyBorder="1" applyAlignment="1">
      <alignment horizontal="right" vertical="center" wrapText="1" indent="2"/>
    </xf>
    <xf numFmtId="1" fontId="5" fillId="2" borderId="0" xfId="59" applyNumberFormat="1" applyFont="1" applyFill="1" applyBorder="1" applyAlignment="1">
      <alignment horizontal="right" vertical="center" wrapText="1"/>
    </xf>
    <xf numFmtId="166" fontId="5" fillId="2" borderId="0" xfId="59" applyNumberFormat="1" applyFont="1" applyFill="1" applyBorder="1" applyAlignment="1">
      <alignment horizontal="right" vertical="center" wrapText="1" indent="2"/>
    </xf>
    <xf numFmtId="1" fontId="12" fillId="0" borderId="0" xfId="59" applyNumberFormat="1" applyFont="1" applyBorder="1" applyAlignment="1">
      <alignment horizontal="right" vertical="center" wrapText="1"/>
    </xf>
    <xf numFmtId="166" fontId="12" fillId="0" borderId="0" xfId="59" applyNumberFormat="1" applyFont="1" applyBorder="1" applyAlignment="1">
      <alignment horizontal="right" vertical="center" wrapText="1" indent="2"/>
    </xf>
    <xf numFmtId="1" fontId="1" fillId="0" borderId="0" xfId="63" applyNumberFormat="1"/>
    <xf numFmtId="0" fontId="5" fillId="0" borderId="0" xfId="67" applyFont="1" applyAlignment="1">
      <alignment horizontal="left" indent="2"/>
    </xf>
    <xf numFmtId="1" fontId="5" fillId="0" borderId="0" xfId="59" applyNumberFormat="1" applyFont="1" applyFill="1" applyBorder="1" applyAlignment="1">
      <alignment horizontal="right" vertical="center" wrapText="1"/>
    </xf>
    <xf numFmtId="166" fontId="5" fillId="0" borderId="0" xfId="59" applyNumberFormat="1" applyFont="1" applyFill="1" applyBorder="1" applyAlignment="1">
      <alignment horizontal="right" vertical="center" wrapText="1" indent="2"/>
    </xf>
    <xf numFmtId="0" fontId="80" fillId="0" borderId="0" xfId="56" applyFont="1"/>
    <xf numFmtId="0" fontId="79" fillId="0" borderId="0" xfId="68" applyFont="1"/>
    <xf numFmtId="1" fontId="80" fillId="0" borderId="0" xfId="56" applyNumberFormat="1" applyFont="1"/>
    <xf numFmtId="0" fontId="79" fillId="0" borderId="0" xfId="64" applyFont="1"/>
    <xf numFmtId="0" fontId="18" fillId="0" borderId="0" xfId="69"/>
    <xf numFmtId="0" fontId="81" fillId="0" borderId="0" xfId="56" applyFont="1"/>
    <xf numFmtId="0" fontId="3" fillId="0" borderId="0" xfId="56" applyFont="1"/>
    <xf numFmtId="0" fontId="5" fillId="0" borderId="0" xfId="7" applyFont="1" applyAlignment="1">
      <alignment horizontal="center" vertical="center" wrapText="1"/>
    </xf>
    <xf numFmtId="1" fontId="9" fillId="0" borderId="0" xfId="12" applyNumberFormat="1" applyFont="1" applyBorder="1" applyAlignment="1">
      <alignment horizontal="right" vertical="center" wrapText="1"/>
    </xf>
    <xf numFmtId="166" fontId="9" fillId="0" borderId="0" xfId="12" applyNumberFormat="1" applyFont="1" applyBorder="1" applyAlignment="1">
      <alignment horizontal="right" vertical="center" wrapText="1" indent="2"/>
    </xf>
    <xf numFmtId="1" fontId="5" fillId="0" borderId="0" xfId="12" applyNumberFormat="1" applyFont="1" applyBorder="1" applyAlignment="1">
      <alignment horizontal="right" vertical="center" wrapText="1"/>
    </xf>
    <xf numFmtId="166" fontId="5" fillId="0" borderId="0" xfId="12" applyNumberFormat="1" applyFont="1" applyBorder="1" applyAlignment="1">
      <alignment horizontal="right" vertical="center" wrapText="1" indent="2"/>
    </xf>
    <xf numFmtId="1" fontId="12" fillId="0" borderId="0" xfId="59" applyNumberFormat="1" applyFont="1" applyFill="1" applyBorder="1" applyAlignment="1">
      <alignment horizontal="right" vertical="center" wrapText="1"/>
    </xf>
    <xf numFmtId="1" fontId="9" fillId="0" borderId="0" xfId="12" applyNumberFormat="1" applyFont="1" applyBorder="1" applyAlignment="1">
      <alignment horizontal="right"/>
    </xf>
    <xf numFmtId="166" fontId="9" fillId="0" borderId="0" xfId="12" applyNumberFormat="1" applyFont="1" applyBorder="1" applyAlignment="1">
      <alignment horizontal="right" indent="2"/>
    </xf>
    <xf numFmtId="1" fontId="20" fillId="0" borderId="0" xfId="59" applyNumberFormat="1" applyFont="1" applyFill="1" applyBorder="1" applyAlignment="1">
      <alignment horizontal="right" vertical="center" wrapText="1"/>
    </xf>
    <xf numFmtId="0" fontId="82" fillId="0" borderId="0" xfId="56" applyFont="1"/>
    <xf numFmtId="0" fontId="83" fillId="0" borderId="0" xfId="56" applyFont="1"/>
    <xf numFmtId="1" fontId="10" fillId="0" borderId="0" xfId="70" applyNumberFormat="1" applyFont="1"/>
    <xf numFmtId="0" fontId="84" fillId="0" borderId="0" xfId="71" applyFont="1"/>
    <xf numFmtId="0" fontId="84" fillId="0" borderId="0" xfId="70" applyFont="1"/>
    <xf numFmtId="1" fontId="85" fillId="0" borderId="0" xfId="70" applyNumberFormat="1" applyFont="1" applyAlignment="1">
      <alignment horizontal="center"/>
    </xf>
    <xf numFmtId="0" fontId="6" fillId="0" borderId="0" xfId="71" applyFont="1"/>
    <xf numFmtId="0" fontId="6" fillId="0" borderId="0" xfId="70" applyFont="1"/>
    <xf numFmtId="0" fontId="24" fillId="0" borderId="1" xfId="70" applyFont="1" applyBorder="1"/>
    <xf numFmtId="0" fontId="6" fillId="0" borderId="1" xfId="70" applyFont="1" applyBorder="1"/>
    <xf numFmtId="0" fontId="24" fillId="0" borderId="1" xfId="70" applyFont="1" applyBorder="1" applyAlignment="1">
      <alignment horizontal="right"/>
    </xf>
    <xf numFmtId="0" fontId="84" fillId="0" borderId="2" xfId="70" applyFont="1" applyBorder="1"/>
    <xf numFmtId="0" fontId="6" fillId="0" borderId="2" xfId="71" applyFont="1" applyBorder="1" applyAlignment="1">
      <alignment horizontal="center"/>
    </xf>
    <xf numFmtId="0" fontId="46" fillId="0" borderId="2" xfId="72" applyFont="1" applyBorder="1" applyAlignment="1">
      <alignment horizontal="center" wrapText="1"/>
    </xf>
    <xf numFmtId="0" fontId="6" fillId="0" borderId="0" xfId="71" applyFont="1" applyAlignment="1">
      <alignment horizontal="center"/>
    </xf>
    <xf numFmtId="0" fontId="46" fillId="0" borderId="0" xfId="72" applyFont="1" applyAlignment="1">
      <alignment horizontal="center" wrapText="1"/>
    </xf>
    <xf numFmtId="0" fontId="46" fillId="0" borderId="1" xfId="72" applyFont="1" applyBorder="1" applyAlignment="1">
      <alignment horizontal="center" wrapText="1"/>
    </xf>
    <xf numFmtId="1" fontId="6" fillId="0" borderId="1" xfId="71" applyNumberFormat="1" applyFont="1" applyBorder="1" applyAlignment="1">
      <alignment horizontal="center"/>
    </xf>
    <xf numFmtId="166" fontId="6" fillId="0" borderId="1" xfId="71" applyNumberFormat="1" applyFont="1" applyBorder="1" applyAlignment="1">
      <alignment horizontal="center"/>
    </xf>
    <xf numFmtId="0" fontId="86" fillId="0" borderId="0" xfId="71" applyFont="1" applyAlignment="1">
      <alignment horizontal="center" wrapText="1"/>
    </xf>
    <xf numFmtId="166" fontId="6" fillId="0" borderId="0" xfId="70" applyNumberFormat="1" applyFont="1"/>
    <xf numFmtId="49" fontId="23" fillId="0" borderId="0" xfId="73" applyNumberFormat="1" applyFont="1" applyFill="1" applyBorder="1" applyAlignment="1"/>
    <xf numFmtId="0" fontId="23" fillId="0" borderId="0" xfId="70" applyFont="1"/>
    <xf numFmtId="1" fontId="23" fillId="0" borderId="0" xfId="70" applyNumberFormat="1" applyFont="1"/>
    <xf numFmtId="166" fontId="23" fillId="0" borderId="0" xfId="70" applyNumberFormat="1" applyFont="1"/>
    <xf numFmtId="0" fontId="85" fillId="0" borderId="0" xfId="70" applyFont="1"/>
    <xf numFmtId="1" fontId="85" fillId="0" borderId="0" xfId="70" applyNumberFormat="1" applyFont="1"/>
    <xf numFmtId="49" fontId="23" fillId="0" borderId="0" xfId="71" applyNumberFormat="1" applyFont="1" applyAlignment="1">
      <alignment horizontal="left"/>
    </xf>
    <xf numFmtId="49" fontId="6" fillId="0" borderId="0" xfId="71" applyNumberFormat="1" applyFont="1" applyAlignment="1">
      <alignment horizontal="left"/>
    </xf>
    <xf numFmtId="1" fontId="6" fillId="0" borderId="0" xfId="70" applyNumberFormat="1" applyFont="1"/>
    <xf numFmtId="0" fontId="6" fillId="0" borderId="0" xfId="71" applyFont="1" applyAlignment="1">
      <alignment horizontal="left"/>
    </xf>
    <xf numFmtId="0" fontId="23" fillId="0" borderId="0" xfId="71" applyFont="1"/>
    <xf numFmtId="0" fontId="5" fillId="0" borderId="0" xfId="71" applyAlignment="1">
      <alignment horizontal="left"/>
    </xf>
    <xf numFmtId="0" fontId="6" fillId="0" borderId="0" xfId="71" applyFont="1" applyAlignment="1">
      <alignment horizontal="left" wrapText="1"/>
    </xf>
    <xf numFmtId="0" fontId="5" fillId="0" borderId="0" xfId="71" applyAlignment="1">
      <alignment horizontal="left" wrapText="1"/>
    </xf>
    <xf numFmtId="0" fontId="6" fillId="0" borderId="0" xfId="74" applyFont="1"/>
    <xf numFmtId="0" fontId="5" fillId="0" borderId="0" xfId="74"/>
    <xf numFmtId="0" fontId="6" fillId="0" borderId="2" xfId="70" applyFont="1" applyBorder="1"/>
    <xf numFmtId="49" fontId="23" fillId="0" borderId="0" xfId="75" applyNumberFormat="1" applyFont="1" applyFill="1" applyBorder="1" applyAlignment="1"/>
    <xf numFmtId="1" fontId="6" fillId="0" borderId="0" xfId="74" applyNumberFormat="1" applyFont="1"/>
    <xf numFmtId="1" fontId="23" fillId="0" borderId="0" xfId="74" applyNumberFormat="1" applyFont="1"/>
    <xf numFmtId="166" fontId="23" fillId="0" borderId="0" xfId="74" applyNumberFormat="1" applyFont="1"/>
    <xf numFmtId="1" fontId="23" fillId="0" borderId="0" xfId="57" applyNumberFormat="1" applyFont="1"/>
    <xf numFmtId="1" fontId="6" fillId="0" borderId="0" xfId="57" applyNumberFormat="1" applyFont="1"/>
    <xf numFmtId="166" fontId="6" fillId="0" borderId="0" xfId="74" applyNumberFormat="1" applyFont="1"/>
    <xf numFmtId="166" fontId="6" fillId="0" borderId="0" xfId="74" applyNumberFormat="1" applyFont="1" applyAlignment="1">
      <alignment horizontal="right"/>
    </xf>
    <xf numFmtId="1" fontId="46" fillId="0" borderId="0" xfId="57" applyNumberFormat="1" applyFont="1"/>
    <xf numFmtId="0" fontId="28" fillId="0" borderId="2" xfId="71" applyFont="1" applyBorder="1"/>
    <xf numFmtId="0" fontId="32" fillId="0" borderId="0" xfId="70" applyFont="1"/>
    <xf numFmtId="0" fontId="4" fillId="0" borderId="0" xfId="70" applyFont="1"/>
    <xf numFmtId="0" fontId="87" fillId="0" borderId="0" xfId="71" applyFont="1"/>
    <xf numFmtId="0" fontId="16" fillId="0" borderId="0" xfId="70" applyFont="1"/>
    <xf numFmtId="0" fontId="16" fillId="0" borderId="0" xfId="71" applyFont="1"/>
    <xf numFmtId="0" fontId="4" fillId="0" borderId="0" xfId="71" applyFont="1"/>
    <xf numFmtId="1" fontId="88" fillId="0" borderId="0" xfId="70" applyNumberFormat="1" applyFont="1"/>
    <xf numFmtId="0" fontId="68" fillId="0" borderId="0" xfId="70" applyFont="1"/>
    <xf numFmtId="1" fontId="23" fillId="0" borderId="0" xfId="70" applyNumberFormat="1" applyFont="1" applyAlignment="1">
      <alignment horizontal="center"/>
    </xf>
    <xf numFmtId="1" fontId="24" fillId="0" borderId="0" xfId="70" applyNumberFormat="1" applyFont="1" applyAlignment="1">
      <alignment horizontal="center"/>
    </xf>
    <xf numFmtId="0" fontId="6" fillId="0" borderId="0" xfId="70" applyFont="1" applyAlignment="1">
      <alignment vertical="center"/>
    </xf>
    <xf numFmtId="0" fontId="6" fillId="0" borderId="0" xfId="71" applyFont="1" applyAlignment="1">
      <alignment vertical="center"/>
    </xf>
    <xf numFmtId="0" fontId="28" fillId="0" borderId="1" xfId="70" applyFont="1" applyBorder="1"/>
    <xf numFmtId="0" fontId="46" fillId="0" borderId="2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0" xfId="0" applyFont="1" applyAlignment="1">
      <alignment vertical="center" wrapText="1"/>
    </xf>
    <xf numFmtId="1" fontId="6" fillId="0" borderId="1" xfId="71" applyNumberFormat="1" applyFont="1" applyBorder="1" applyAlignment="1">
      <alignment horizontal="center" vertical="center"/>
    </xf>
    <xf numFmtId="166" fontId="6" fillId="0" borderId="1" xfId="71" applyNumberFormat="1" applyFont="1" applyBorder="1" applyAlignment="1">
      <alignment horizontal="center" vertical="center"/>
    </xf>
    <xf numFmtId="0" fontId="28" fillId="0" borderId="0" xfId="70" applyFont="1"/>
    <xf numFmtId="1" fontId="23" fillId="0" borderId="0" xfId="70" applyNumberFormat="1" applyFont="1" applyAlignment="1">
      <alignment horizontal="right"/>
    </xf>
    <xf numFmtId="0" fontId="23" fillId="0" borderId="0" xfId="70" applyFont="1" applyAlignment="1">
      <alignment horizontal="right"/>
    </xf>
    <xf numFmtId="1" fontId="6" fillId="0" borderId="0" xfId="70" applyNumberFormat="1" applyFont="1" applyAlignment="1">
      <alignment horizontal="right"/>
    </xf>
    <xf numFmtId="0" fontId="6" fillId="0" borderId="0" xfId="70" applyFont="1" applyAlignment="1">
      <alignment horizontal="right"/>
    </xf>
    <xf numFmtId="1" fontId="6" fillId="0" borderId="0" xfId="74" applyNumberFormat="1" applyFont="1" applyAlignment="1">
      <alignment horizontal="right"/>
    </xf>
    <xf numFmtId="166" fontId="28" fillId="0" borderId="0" xfId="74" applyNumberFormat="1" applyFont="1"/>
    <xf numFmtId="0" fontId="28" fillId="0" borderId="0" xfId="74" applyFont="1"/>
    <xf numFmtId="1" fontId="89" fillId="0" borderId="0" xfId="70" applyNumberFormat="1" applyFont="1"/>
    <xf numFmtId="1" fontId="90" fillId="0" borderId="0" xfId="70" applyNumberFormat="1" applyFont="1"/>
    <xf numFmtId="0" fontId="91" fillId="0" borderId="0" xfId="72" applyFont="1"/>
    <xf numFmtId="1" fontId="92" fillId="0" borderId="0" xfId="70" applyNumberFormat="1" applyFont="1" applyAlignment="1">
      <alignment horizontal="center"/>
    </xf>
    <xf numFmtId="1" fontId="93" fillId="0" borderId="0" xfId="70" applyNumberFormat="1" applyFont="1" applyAlignment="1">
      <alignment horizontal="center"/>
    </xf>
    <xf numFmtId="0" fontId="94" fillId="0" borderId="0" xfId="72" applyFont="1"/>
    <xf numFmtId="0" fontId="46" fillId="0" borderId="0" xfId="72" applyFont="1"/>
    <xf numFmtId="1" fontId="48" fillId="0" borderId="0" xfId="72" applyNumberFormat="1" applyFont="1"/>
    <xf numFmtId="166" fontId="48" fillId="0" borderId="0" xfId="72" applyNumberFormat="1" applyFont="1"/>
    <xf numFmtId="1" fontId="94" fillId="0" borderId="0" xfId="72" applyNumberFormat="1" applyFont="1"/>
    <xf numFmtId="0" fontId="48" fillId="0" borderId="0" xfId="72" applyFont="1"/>
    <xf numFmtId="1" fontId="46" fillId="0" borderId="0" xfId="72" applyNumberFormat="1" applyFont="1"/>
    <xf numFmtId="166" fontId="46" fillId="0" borderId="0" xfId="72" applyNumberFormat="1" applyFont="1"/>
    <xf numFmtId="0" fontId="10" fillId="0" borderId="0" xfId="39" applyFont="1" applyAlignment="1">
      <alignment horizontal="left"/>
    </xf>
    <xf numFmtId="0" fontId="68" fillId="0" borderId="0" xfId="40" applyFont="1"/>
    <xf numFmtId="0" fontId="23" fillId="0" borderId="0" xfId="41" applyFont="1"/>
    <xf numFmtId="0" fontId="6" fillId="0" borderId="2" xfId="40" applyFont="1" applyBorder="1"/>
    <xf numFmtId="0" fontId="23" fillId="0" borderId="0" xfId="42" applyFont="1"/>
    <xf numFmtId="0" fontId="23" fillId="0" borderId="0" xfId="43" applyFont="1"/>
    <xf numFmtId="166" fontId="23" fillId="0" borderId="0" xfId="43" applyNumberFormat="1" applyFont="1"/>
    <xf numFmtId="0" fontId="23" fillId="0" borderId="0" xfId="40" applyFont="1"/>
    <xf numFmtId="166" fontId="23" fillId="0" borderId="0" xfId="40" applyNumberFormat="1" applyFont="1"/>
    <xf numFmtId="0" fontId="6" fillId="0" borderId="0" xfId="42" applyFont="1" applyAlignment="1">
      <alignment horizontal="left" indent="1"/>
    </xf>
    <xf numFmtId="0" fontId="6" fillId="0" borderId="0" xfId="43" applyFont="1"/>
    <xf numFmtId="0" fontId="34" fillId="0" borderId="0" xfId="43" applyFont="1"/>
    <xf numFmtId="166" fontId="6" fillId="0" borderId="0" xfId="43" applyNumberFormat="1" applyFont="1"/>
    <xf numFmtId="166" fontId="34" fillId="0" borderId="0" xfId="43" applyNumberFormat="1" applyFont="1"/>
    <xf numFmtId="166" fontId="6" fillId="0" borderId="0" xfId="40" applyNumberFormat="1" applyFont="1"/>
    <xf numFmtId="0" fontId="28" fillId="0" borderId="0" xfId="42" applyFont="1" applyAlignment="1">
      <alignment horizontal="left" indent="1"/>
    </xf>
    <xf numFmtId="0" fontId="28" fillId="0" borderId="0" xfId="43" applyFont="1"/>
    <xf numFmtId="166" fontId="28" fillId="0" borderId="0" xfId="43" applyNumberFormat="1" applyFont="1"/>
    <xf numFmtId="166" fontId="28" fillId="0" borderId="0" xfId="40" applyNumberFormat="1" applyFont="1"/>
    <xf numFmtId="0" fontId="28" fillId="0" borderId="0" xfId="40" applyFont="1"/>
    <xf numFmtId="0" fontId="6" fillId="0" borderId="0" xfId="25" applyFont="1"/>
    <xf numFmtId="1" fontId="6" fillId="0" borderId="0" xfId="40" applyNumberFormat="1" applyFont="1" applyAlignment="1">
      <alignment horizontal="right" indent="1"/>
    </xf>
    <xf numFmtId="166" fontId="6" fillId="0" borderId="0" xfId="40" applyNumberFormat="1" applyFont="1" applyAlignment="1">
      <alignment horizontal="right" indent="2"/>
    </xf>
    <xf numFmtId="0" fontId="3" fillId="0" borderId="0" xfId="77" applyFont="1"/>
    <xf numFmtId="0" fontId="95" fillId="0" borderId="0" xfId="78" applyFont="1" applyAlignment="1">
      <alignment horizontal="left"/>
    </xf>
    <xf numFmtId="0" fontId="2" fillId="0" borderId="0" xfId="78" applyFont="1"/>
    <xf numFmtId="0" fontId="5" fillId="0" borderId="0" xfId="77"/>
    <xf numFmtId="0" fontId="4" fillId="0" borderId="0" xfId="78" applyFont="1"/>
    <xf numFmtId="0" fontId="5" fillId="0" borderId="0" xfId="78" applyFont="1"/>
    <xf numFmtId="0" fontId="4" fillId="0" borderId="0" xfId="77" applyFont="1"/>
    <xf numFmtId="0" fontId="7" fillId="0" borderId="0" xfId="78" applyFont="1" applyAlignment="1">
      <alignment horizontal="right"/>
    </xf>
    <xf numFmtId="0" fontId="4" fillId="0" borderId="2" xfId="78" applyFont="1" applyBorder="1"/>
    <xf numFmtId="0" fontId="5" fillId="0" borderId="2" xfId="78" applyFont="1" applyBorder="1"/>
    <xf numFmtId="0" fontId="46" fillId="0" borderId="2" xfId="16" applyFont="1" applyBorder="1" applyAlignment="1">
      <alignment horizontal="center" vertical="center" wrapText="1"/>
    </xf>
    <xf numFmtId="0" fontId="5" fillId="0" borderId="0" xfId="78" applyFont="1" applyAlignment="1">
      <alignment horizontal="center" vertical="center"/>
    </xf>
    <xf numFmtId="0" fontId="46" fillId="0" borderId="0" xfId="16" applyFont="1" applyAlignment="1">
      <alignment horizontal="center" vertical="center" wrapText="1"/>
    </xf>
    <xf numFmtId="0" fontId="5" fillId="0" borderId="0" xfId="78" quotePrefix="1" applyFont="1" applyAlignment="1">
      <alignment horizontal="center" vertical="center"/>
    </xf>
    <xf numFmtId="0" fontId="21" fillId="0" borderId="0" xfId="78" applyFont="1"/>
    <xf numFmtId="0" fontId="21" fillId="0" borderId="1" xfId="78" applyFont="1" applyBorder="1"/>
    <xf numFmtId="0" fontId="21" fillId="0" borderId="1" xfId="78" applyFont="1" applyBorder="1" applyAlignment="1">
      <alignment horizontal="center"/>
    </xf>
    <xf numFmtId="0" fontId="5" fillId="0" borderId="1" xfId="77" applyBorder="1"/>
    <xf numFmtId="0" fontId="46" fillId="0" borderId="1" xfId="16" applyFont="1" applyBorder="1" applyAlignment="1">
      <alignment horizontal="center" vertical="center" wrapText="1"/>
    </xf>
    <xf numFmtId="0" fontId="21" fillId="0" borderId="0" xfId="78" applyFont="1" applyAlignment="1">
      <alignment horizontal="center"/>
    </xf>
    <xf numFmtId="0" fontId="41" fillId="0" borderId="0" xfId="78" applyFont="1" applyAlignment="1">
      <alignment horizontal="left"/>
    </xf>
    <xf numFmtId="2" fontId="9" fillId="0" borderId="0" xfId="79" applyNumberFormat="1" applyFont="1" applyAlignment="1">
      <alignment horizontal="right"/>
    </xf>
    <xf numFmtId="2" fontId="9" fillId="0" borderId="0" xfId="79" applyNumberFormat="1" applyFont="1"/>
    <xf numFmtId="2" fontId="9" fillId="0" borderId="0" xfId="79" applyNumberFormat="1" applyFont="1" applyAlignment="1">
      <alignment horizontal="right" indent="1"/>
    </xf>
    <xf numFmtId="2" fontId="5" fillId="0" borderId="0" xfId="77" applyNumberFormat="1"/>
    <xf numFmtId="0" fontId="16" fillId="0" borderId="0" xfId="78" applyFont="1"/>
    <xf numFmtId="2" fontId="5" fillId="0" borderId="0" xfId="77" applyNumberFormat="1" applyAlignment="1">
      <alignment horizontal="right" indent="1"/>
    </xf>
    <xf numFmtId="2" fontId="5" fillId="0" borderId="0" xfId="79" applyNumberFormat="1" applyFont="1" applyAlignment="1">
      <alignment horizontal="right" indent="1"/>
    </xf>
    <xf numFmtId="0" fontId="96" fillId="0" borderId="0" xfId="78" applyFont="1"/>
    <xf numFmtId="2" fontId="23" fillId="0" borderId="0" xfId="79" applyNumberFormat="1" applyFont="1" applyAlignment="1">
      <alignment horizontal="right"/>
    </xf>
    <xf numFmtId="166" fontId="41" fillId="0" borderId="0" xfId="78" applyNumberFormat="1" applyFont="1" applyAlignment="1">
      <alignment horizontal="center"/>
    </xf>
    <xf numFmtId="2" fontId="9" fillId="0" borderId="0" xfId="77" applyNumberFormat="1" applyFont="1"/>
    <xf numFmtId="2" fontId="9" fillId="0" borderId="0" xfId="77" applyNumberFormat="1" applyFont="1" applyAlignment="1">
      <alignment horizontal="right" indent="1"/>
    </xf>
    <xf numFmtId="2" fontId="9" fillId="0" borderId="0" xfId="79" quotePrefix="1" applyNumberFormat="1" applyFont="1"/>
    <xf numFmtId="2" fontId="9" fillId="0" borderId="0" xfId="79" quotePrefix="1" applyNumberFormat="1" applyFont="1" applyAlignment="1">
      <alignment horizontal="right" indent="1"/>
    </xf>
    <xf numFmtId="0" fontId="5" fillId="0" borderId="0" xfId="79" applyFont="1" applyAlignment="1">
      <alignment horizontal="left" vertical="center"/>
    </xf>
    <xf numFmtId="0" fontId="3" fillId="0" borderId="0" xfId="80" applyFont="1"/>
    <xf numFmtId="0" fontId="4" fillId="0" borderId="0" xfId="80" applyFont="1"/>
    <xf numFmtId="0" fontId="5" fillId="0" borderId="0" xfId="80"/>
    <xf numFmtId="0" fontId="3" fillId="0" borderId="0" xfId="81" applyFont="1" applyAlignment="1">
      <alignment vertical="center"/>
    </xf>
    <xf numFmtId="0" fontId="9" fillId="0" borderId="0" xfId="81" applyFont="1" applyAlignment="1">
      <alignment vertical="center"/>
    </xf>
    <xf numFmtId="0" fontId="9" fillId="0" borderId="0" xfId="81" applyFont="1" applyAlignment="1">
      <alignment horizontal="center" vertical="center"/>
    </xf>
    <xf numFmtId="0" fontId="5" fillId="0" borderId="1" xfId="81" applyBorder="1" applyAlignment="1">
      <alignment vertical="center"/>
    </xf>
    <xf numFmtId="0" fontId="5" fillId="0" borderId="2" xfId="81" applyBorder="1" applyAlignment="1">
      <alignment vertical="center"/>
    </xf>
    <xf numFmtId="0" fontId="6" fillId="0" borderId="2" xfId="78" applyFont="1" applyBorder="1" applyAlignment="1">
      <alignment horizontal="center" vertical="center" wrapText="1"/>
    </xf>
    <xf numFmtId="0" fontId="5" fillId="0" borderId="0" xfId="81" applyAlignment="1">
      <alignment vertical="center"/>
    </xf>
    <xf numFmtId="0" fontId="6" fillId="0" borderId="0" xfId="78" applyFont="1" applyAlignment="1">
      <alignment horizontal="center" vertical="center"/>
    </xf>
    <xf numFmtId="0" fontId="6" fillId="0" borderId="0" xfId="78" applyFont="1" applyAlignment="1">
      <alignment horizontal="center" vertical="center" wrapText="1"/>
    </xf>
    <xf numFmtId="0" fontId="5" fillId="0" borderId="0" xfId="80" applyAlignment="1">
      <alignment horizontal="center" vertical="center" wrapText="1"/>
    </xf>
    <xf numFmtId="0" fontId="6" fillId="0" borderId="1" xfId="78" applyFont="1" applyBorder="1" applyAlignment="1">
      <alignment horizontal="center" vertical="center"/>
    </xf>
    <xf numFmtId="0" fontId="6" fillId="0" borderId="1" xfId="78" applyFont="1" applyBorder="1" applyAlignment="1">
      <alignment horizontal="center" vertical="center" wrapText="1"/>
    </xf>
    <xf numFmtId="0" fontId="20" fillId="0" borderId="0" xfId="82" applyFont="1"/>
    <xf numFmtId="0" fontId="9" fillId="0" borderId="0" xfId="83" applyFont="1"/>
    <xf numFmtId="2" fontId="9" fillId="0" borderId="0" xfId="83" applyNumberFormat="1" applyFont="1" applyAlignment="1">
      <alignment horizontal="right" indent="1"/>
    </xf>
    <xf numFmtId="2" fontId="9" fillId="0" borderId="0" xfId="83" applyNumberFormat="1" applyFont="1" applyAlignment="1">
      <alignment horizontal="right" indent="2"/>
    </xf>
    <xf numFmtId="43" fontId="9" fillId="0" borderId="0" xfId="12" applyFont="1" applyFill="1" applyBorder="1" applyAlignment="1">
      <alignment vertical="center"/>
    </xf>
    <xf numFmtId="43" fontId="20" fillId="0" borderId="0" xfId="82" applyNumberFormat="1" applyFont="1"/>
    <xf numFmtId="0" fontId="5" fillId="0" borderId="0" xfId="83" applyFont="1" applyAlignment="1">
      <alignment horizontal="left" indent="1"/>
    </xf>
    <xf numFmtId="2" fontId="20" fillId="0" borderId="0" xfId="82" applyNumberFormat="1" applyFont="1" applyAlignment="1">
      <alignment horizontal="right" indent="1"/>
    </xf>
    <xf numFmtId="2" fontId="20" fillId="0" borderId="0" xfId="82" applyNumberFormat="1" applyFont="1" applyAlignment="1">
      <alignment horizontal="right" indent="2"/>
    </xf>
    <xf numFmtId="0" fontId="5" fillId="0" borderId="0" xfId="83" applyFont="1" applyAlignment="1">
      <alignment horizontal="left" vertical="center" wrapText="1" indent="1"/>
    </xf>
    <xf numFmtId="172" fontId="20" fillId="0" borderId="0" xfId="82" applyNumberFormat="1" applyFont="1"/>
    <xf numFmtId="0" fontId="64" fillId="0" borderId="0" xfId="83" applyFont="1" applyAlignment="1">
      <alignment horizontal="left" indent="1"/>
    </xf>
    <xf numFmtId="2" fontId="5" fillId="0" borderId="0" xfId="83" applyNumberFormat="1" applyFont="1" applyAlignment="1">
      <alignment horizontal="right" indent="1"/>
    </xf>
    <xf numFmtId="0" fontId="20" fillId="0" borderId="1" xfId="84" applyFont="1" applyBorder="1"/>
    <xf numFmtId="0" fontId="20" fillId="0" borderId="0" xfId="84" applyFont="1"/>
    <xf numFmtId="0" fontId="5" fillId="0" borderId="0" xfId="84" applyFont="1"/>
    <xf numFmtId="0" fontId="4" fillId="0" borderId="0" xfId="81" applyFont="1"/>
    <xf numFmtId="0" fontId="72" fillId="0" borderId="0" xfId="81" applyFont="1"/>
    <xf numFmtId="0" fontId="3" fillId="0" borderId="0" xfId="81" applyFont="1"/>
    <xf numFmtId="0" fontId="100" fillId="0" borderId="0" xfId="81" applyFont="1"/>
    <xf numFmtId="0" fontId="100" fillId="0" borderId="0" xfId="81" applyFont="1" applyAlignment="1">
      <alignment horizontal="center" vertical="center"/>
    </xf>
    <xf numFmtId="0" fontId="101" fillId="0" borderId="1" xfId="81" applyFont="1" applyBorder="1" applyAlignment="1">
      <alignment vertical="center"/>
    </xf>
    <xf numFmtId="4" fontId="72" fillId="0" borderId="0" xfId="81" applyNumberFormat="1" applyFont="1"/>
    <xf numFmtId="0" fontId="5" fillId="0" borderId="0" xfId="78" applyFont="1" applyAlignment="1">
      <alignment horizontal="right"/>
    </xf>
    <xf numFmtId="49" fontId="9" fillId="0" borderId="0" xfId="81" applyNumberFormat="1" applyFont="1" applyAlignment="1">
      <alignment horizontal="left" wrapText="1"/>
    </xf>
    <xf numFmtId="4" fontId="9" fillId="0" borderId="0" xfId="81" applyNumberFormat="1" applyFont="1" applyAlignment="1">
      <alignment horizontal="right" indent="1"/>
    </xf>
    <xf numFmtId="4" fontId="9" fillId="0" borderId="0" xfId="81" applyNumberFormat="1" applyFont="1" applyAlignment="1">
      <alignment horizontal="right" indent="2"/>
    </xf>
    <xf numFmtId="0" fontId="102" fillId="0" borderId="0" xfId="81" applyFont="1"/>
    <xf numFmtId="4" fontId="102" fillId="0" borderId="0" xfId="81" applyNumberFormat="1" applyFont="1"/>
    <xf numFmtId="0" fontId="9" fillId="0" borderId="0" xfId="83" applyFont="1" applyAlignment="1">
      <alignment horizontal="left"/>
    </xf>
    <xf numFmtId="4" fontId="5" fillId="0" borderId="0" xfId="81" applyNumberFormat="1" applyAlignment="1">
      <alignment horizontal="right" indent="1"/>
    </xf>
    <xf numFmtId="4" fontId="5" fillId="0" borderId="0" xfId="81" applyNumberFormat="1" applyAlignment="1">
      <alignment horizontal="right" indent="2"/>
    </xf>
    <xf numFmtId="173" fontId="72" fillId="0" borderId="0" xfId="81" applyNumberFormat="1" applyFont="1"/>
    <xf numFmtId="0" fontId="9" fillId="0" borderId="0" xfId="83" applyFont="1" applyAlignment="1">
      <alignment wrapText="1"/>
    </xf>
    <xf numFmtId="43" fontId="12" fillId="0" borderId="0" xfId="85" applyFont="1" applyAlignment="1">
      <alignment horizontal="right" indent="2"/>
    </xf>
    <xf numFmtId="174" fontId="72" fillId="0" borderId="0" xfId="81" applyNumberFormat="1" applyFont="1"/>
    <xf numFmtId="0" fontId="64" fillId="0" borderId="0" xfId="81" applyFont="1"/>
    <xf numFmtId="43" fontId="20" fillId="0" borderId="0" xfId="85" applyFont="1" applyAlignment="1">
      <alignment horizontal="right" indent="2"/>
    </xf>
    <xf numFmtId="0" fontId="9" fillId="0" borderId="0" xfId="81" applyFont="1"/>
    <xf numFmtId="0" fontId="5" fillId="0" borderId="0" xfId="81" applyAlignment="1">
      <alignment horizontal="left" indent="1"/>
    </xf>
    <xf numFmtId="49" fontId="5" fillId="0" borderId="0" xfId="81" applyNumberFormat="1" applyAlignment="1">
      <alignment horizontal="left" wrapText="1"/>
    </xf>
    <xf numFmtId="4" fontId="5" fillId="0" borderId="0" xfId="81" applyNumberFormat="1"/>
    <xf numFmtId="49" fontId="72" fillId="0" borderId="0" xfId="81" applyNumberFormat="1" applyFont="1" applyAlignment="1">
      <alignment horizontal="left" wrapText="1"/>
    </xf>
    <xf numFmtId="0" fontId="2" fillId="0" borderId="0" xfId="86"/>
    <xf numFmtId="0" fontId="4" fillId="0" borderId="0" xfId="86" applyFont="1"/>
    <xf numFmtId="2" fontId="9" fillId="0" borderId="0" xfId="86" applyNumberFormat="1" applyFont="1" applyAlignment="1">
      <alignment horizontal="right" indent="1"/>
    </xf>
    <xf numFmtId="2" fontId="9" fillId="0" borderId="0" xfId="86" applyNumberFormat="1" applyFont="1" applyAlignment="1">
      <alignment horizontal="right" indent="2"/>
    </xf>
    <xf numFmtId="0" fontId="103" fillId="0" borderId="0" xfId="86" applyFont="1"/>
    <xf numFmtId="2" fontId="5" fillId="0" borderId="0" xfId="86" applyNumberFormat="1" applyFont="1" applyAlignment="1">
      <alignment horizontal="right" indent="1"/>
    </xf>
    <xf numFmtId="4" fontId="5" fillId="0" borderId="0" xfId="87" applyNumberFormat="1" applyFont="1" applyAlignment="1">
      <alignment horizontal="left" vertical="center" wrapText="1" indent="2"/>
    </xf>
    <xf numFmtId="2" fontId="5" fillId="0" borderId="0" xfId="86" applyNumberFormat="1" applyFont="1" applyAlignment="1">
      <alignment horizontal="right" indent="2"/>
    </xf>
    <xf numFmtId="0" fontId="5" fillId="0" borderId="0" xfId="83" applyFont="1" applyAlignment="1">
      <alignment horizontal="left" indent="2"/>
    </xf>
    <xf numFmtId="2" fontId="103" fillId="0" borderId="0" xfId="86" applyNumberFormat="1" applyFont="1"/>
    <xf numFmtId="0" fontId="2" fillId="0" borderId="0" xfId="88"/>
    <xf numFmtId="0" fontId="4" fillId="0" borderId="0" xfId="88" applyFont="1"/>
    <xf numFmtId="2" fontId="9" fillId="0" borderId="0" xfId="88" applyNumberFormat="1" applyFont="1" applyAlignment="1">
      <alignment horizontal="right" indent="1"/>
    </xf>
    <xf numFmtId="2" fontId="9" fillId="0" borderId="0" xfId="88" applyNumberFormat="1" applyFont="1" applyAlignment="1">
      <alignment horizontal="right" indent="2"/>
    </xf>
    <xf numFmtId="0" fontId="103" fillId="0" borderId="0" xfId="88" applyFont="1"/>
    <xf numFmtId="2" fontId="5" fillId="0" borderId="0" xfId="88" applyNumberFormat="1" applyFont="1" applyAlignment="1">
      <alignment horizontal="right" indent="1"/>
    </xf>
    <xf numFmtId="2" fontId="5" fillId="0" borderId="0" xfId="88" applyNumberFormat="1" applyFont="1" applyAlignment="1">
      <alignment horizontal="right" indent="2"/>
    </xf>
    <xf numFmtId="0" fontId="6" fillId="0" borderId="0" xfId="83" applyFont="1" applyAlignment="1">
      <alignment horizontal="left" indent="1"/>
    </xf>
    <xf numFmtId="2" fontId="6" fillId="0" borderId="0" xfId="88" applyNumberFormat="1" applyFont="1" applyAlignment="1">
      <alignment horizontal="right" indent="2"/>
    </xf>
    <xf numFmtId="2" fontId="2" fillId="0" borderId="0" xfId="88" applyNumberFormat="1"/>
    <xf numFmtId="0" fontId="3" fillId="0" borderId="0" xfId="78" applyFont="1" applyAlignment="1">
      <alignment horizontal="left"/>
    </xf>
    <xf numFmtId="0" fontId="3" fillId="0" borderId="0" xfId="89" applyFont="1"/>
    <xf numFmtId="0" fontId="4" fillId="0" borderId="0" xfId="89" applyFont="1"/>
    <xf numFmtId="0" fontId="9" fillId="0" borderId="0" xfId="78" applyFont="1"/>
    <xf numFmtId="2" fontId="9" fillId="0" borderId="0" xfId="89" applyNumberFormat="1" applyFont="1" applyAlignment="1">
      <alignment horizontal="right" indent="2"/>
    </xf>
    <xf numFmtId="2" fontId="20" fillId="0" borderId="0" xfId="82" applyNumberFormat="1" applyFont="1"/>
    <xf numFmtId="175" fontId="64" fillId="0" borderId="0" xfId="78" applyNumberFormat="1" applyFont="1" applyAlignment="1">
      <alignment horizontal="left" indent="1"/>
    </xf>
    <xf numFmtId="2" fontId="5" fillId="0" borderId="0" xfId="89" applyNumberFormat="1" applyFont="1" applyAlignment="1">
      <alignment horizontal="right" indent="2"/>
    </xf>
    <xf numFmtId="175" fontId="5" fillId="0" borderId="0" xfId="78" applyNumberFormat="1" applyFont="1" applyAlignment="1">
      <alignment horizontal="left" indent="2"/>
    </xf>
    <xf numFmtId="166" fontId="20" fillId="0" borderId="0" xfId="82" applyNumberFormat="1" applyFont="1"/>
    <xf numFmtId="0" fontId="7" fillId="0" borderId="0" xfId="78" applyFont="1" applyAlignment="1">
      <alignment horizontal="left" indent="2"/>
    </xf>
    <xf numFmtId="2" fontId="7" fillId="0" borderId="0" xfId="79" applyNumberFormat="1" applyFont="1" applyAlignment="1">
      <alignment horizontal="right" indent="1"/>
    </xf>
    <xf numFmtId="2" fontId="5" fillId="0" borderId="0" xfId="79" applyNumberFormat="1" applyFont="1" applyAlignment="1">
      <alignment horizontal="right"/>
    </xf>
    <xf numFmtId="2" fontId="6" fillId="0" borderId="0" xfId="79" applyNumberFormat="1" applyFont="1" applyAlignment="1">
      <alignment horizontal="right"/>
    </xf>
    <xf numFmtId="2" fontId="4" fillId="0" borderId="0" xfId="89" applyNumberFormat="1" applyFont="1"/>
    <xf numFmtId="0" fontId="5" fillId="0" borderId="0" xfId="89" applyFont="1"/>
    <xf numFmtId="0" fontId="61" fillId="0" borderId="0" xfId="90" applyFont="1"/>
    <xf numFmtId="0" fontId="4" fillId="0" borderId="0" xfId="91" applyFont="1" applyAlignment="1">
      <alignment horizontal="center" vertical="center"/>
    </xf>
    <xf numFmtId="0" fontId="5" fillId="0" borderId="0" xfId="91" applyFont="1" applyAlignment="1">
      <alignment horizontal="center" vertical="center"/>
    </xf>
    <xf numFmtId="0" fontId="1" fillId="0" borderId="0" xfId="90"/>
    <xf numFmtId="0" fontId="5" fillId="0" borderId="2" xfId="91" applyFont="1" applyBorder="1" applyAlignment="1">
      <alignment horizontal="center" vertical="center"/>
    </xf>
    <xf numFmtId="0" fontId="5" fillId="0" borderId="0" xfId="91" applyFont="1" applyAlignment="1">
      <alignment horizontal="center" vertical="center" wrapText="1"/>
    </xf>
    <xf numFmtId="0" fontId="5" fillId="0" borderId="1" xfId="91" applyFont="1" applyBorder="1" applyAlignment="1">
      <alignment horizontal="center" vertical="center" wrapText="1"/>
    </xf>
    <xf numFmtId="0" fontId="5" fillId="0" borderId="0" xfId="91" applyFont="1" applyAlignment="1">
      <alignment horizontal="left" vertical="center"/>
    </xf>
    <xf numFmtId="166" fontId="7" fillId="0" borderId="0" xfId="91" applyNumberFormat="1" applyFont="1" applyAlignment="1">
      <alignment horizontal="center" vertical="center"/>
    </xf>
    <xf numFmtId="1" fontId="9" fillId="0" borderId="0" xfId="92" applyNumberFormat="1" applyFont="1" applyAlignment="1">
      <alignment horizontal="right" indent="1"/>
    </xf>
    <xf numFmtId="166" fontId="9" fillId="0" borderId="0" xfId="91" applyNumberFormat="1" applyFont="1" applyAlignment="1">
      <alignment horizontal="center" vertical="center"/>
    </xf>
    <xf numFmtId="166" fontId="5" fillId="0" borderId="0" xfId="91" applyNumberFormat="1" applyFont="1" applyAlignment="1">
      <alignment horizontal="center" vertical="center"/>
    </xf>
    <xf numFmtId="0" fontId="9" fillId="0" borderId="0" xfId="91" applyFont="1" applyAlignment="1">
      <alignment horizontal="center" vertical="center"/>
    </xf>
    <xf numFmtId="0" fontId="9" fillId="0" borderId="0" xfId="91" applyFont="1" applyAlignment="1">
      <alignment wrapText="1"/>
    </xf>
    <xf numFmtId="166" fontId="9" fillId="0" borderId="0" xfId="91" applyNumberFormat="1" applyFont="1" applyAlignment="1">
      <alignment horizontal="right" indent="1"/>
    </xf>
    <xf numFmtId="0" fontId="64" fillId="0" borderId="0" xfId="91" applyFont="1" applyAlignment="1">
      <alignment horizontal="left"/>
    </xf>
    <xf numFmtId="166" fontId="5" fillId="0" borderId="0" xfId="91" applyNumberFormat="1" applyFont="1" applyAlignment="1">
      <alignment horizontal="right" indent="1"/>
    </xf>
    <xf numFmtId="0" fontId="5" fillId="0" borderId="0" xfId="91" applyFont="1" applyAlignment="1">
      <alignment horizontal="left" indent="1"/>
    </xf>
    <xf numFmtId="0" fontId="9" fillId="0" borderId="0" xfId="91" applyFont="1"/>
    <xf numFmtId="166" fontId="5" fillId="0" borderId="0" xfId="91" applyNumberFormat="1" applyFont="1"/>
    <xf numFmtId="0" fontId="64" fillId="0" borderId="0" xfId="91" applyFont="1"/>
    <xf numFmtId="0" fontId="104" fillId="0" borderId="0" xfId="93" applyFont="1"/>
    <xf numFmtId="0" fontId="61" fillId="0" borderId="0" xfId="94" applyFont="1"/>
    <xf numFmtId="0" fontId="105" fillId="0" borderId="0" xfId="93" applyFont="1"/>
    <xf numFmtId="0" fontId="27" fillId="0" borderId="0" xfId="93" applyFont="1"/>
    <xf numFmtId="0" fontId="1" fillId="0" borderId="0" xfId="94"/>
    <xf numFmtId="0" fontId="7" fillId="0" borderId="1" xfId="95" applyFont="1" applyBorder="1" applyAlignment="1">
      <alignment horizontal="right"/>
    </xf>
    <xf numFmtId="0" fontId="27" fillId="0" borderId="2" xfId="93" applyFont="1" applyBorder="1"/>
    <xf numFmtId="0" fontId="27" fillId="0" borderId="1" xfId="93" applyFont="1" applyBorder="1" applyAlignment="1">
      <alignment horizontal="center" vertical="center"/>
    </xf>
    <xf numFmtId="0" fontId="29" fillId="0" borderId="0" xfId="93" applyFont="1"/>
    <xf numFmtId="0" fontId="27" fillId="0" borderId="0" xfId="93" applyFont="1" applyAlignment="1">
      <alignment horizontal="left" indent="2"/>
    </xf>
    <xf numFmtId="2" fontId="27" fillId="0" borderId="0" xfId="93" applyNumberFormat="1" applyFont="1" applyAlignment="1">
      <alignment horizontal="right" indent="1"/>
    </xf>
    <xf numFmtId="0" fontId="27" fillId="0" borderId="0" xfId="93" applyFont="1" applyAlignment="1">
      <alignment horizontal="right" indent="1"/>
    </xf>
    <xf numFmtId="0" fontId="29" fillId="0" borderId="0" xfId="93" applyFont="1" applyAlignment="1">
      <alignment horizontal="right" indent="1"/>
    </xf>
    <xf numFmtId="0" fontId="27" fillId="0" borderId="0" xfId="93" applyFont="1" applyAlignment="1">
      <alignment horizontal="right"/>
    </xf>
    <xf numFmtId="0" fontId="29" fillId="0" borderId="0" xfId="93" applyFont="1" applyAlignment="1">
      <alignment horizontal="left"/>
    </xf>
    <xf numFmtId="0" fontId="27" fillId="0" borderId="1" xfId="93" applyFont="1" applyBorder="1"/>
    <xf numFmtId="166" fontId="5" fillId="0" borderId="1" xfId="91" applyNumberFormat="1" applyFont="1" applyBorder="1" applyAlignment="1">
      <alignment horizontal="right" indent="1"/>
    </xf>
    <xf numFmtId="0" fontId="43" fillId="0" borderId="0" xfId="82" applyFont="1"/>
    <xf numFmtId="0" fontId="108" fillId="0" borderId="0" xfId="82" applyFont="1"/>
    <xf numFmtId="0" fontId="54" fillId="0" borderId="1" xfId="82" applyFont="1" applyBorder="1"/>
    <xf numFmtId="0" fontId="1" fillId="0" borderId="0" xfId="82"/>
    <xf numFmtId="0" fontId="54" fillId="0" borderId="2" xfId="82" applyFont="1" applyBorder="1"/>
    <xf numFmtId="0" fontId="20" fillId="0" borderId="2" xfId="82" applyFont="1" applyBorder="1"/>
    <xf numFmtId="0" fontId="62" fillId="0" borderId="2" xfId="52" applyFont="1" applyBorder="1" applyAlignment="1">
      <alignment horizontal="center" vertical="center" wrapText="1"/>
    </xf>
    <xf numFmtId="0" fontId="54" fillId="0" borderId="0" xfId="82" applyFont="1"/>
    <xf numFmtId="0" fontId="62" fillId="0" borderId="1" xfId="52" applyFont="1" applyBorder="1" applyAlignment="1">
      <alignment horizontal="center" vertical="center" wrapText="1"/>
    </xf>
    <xf numFmtId="0" fontId="62" fillId="0" borderId="0" xfId="52" applyFont="1" applyAlignment="1">
      <alignment horizontal="center" vertical="center" wrapText="1"/>
    </xf>
    <xf numFmtId="0" fontId="12" fillId="0" borderId="0" xfId="64" applyFont="1"/>
    <xf numFmtId="0" fontId="1" fillId="0" borderId="0" xfId="64"/>
    <xf numFmtId="0" fontId="20" fillId="0" borderId="0" xfId="64" applyFont="1"/>
    <xf numFmtId="0" fontId="62" fillId="0" borderId="0" xfId="96" applyFont="1" applyAlignment="1">
      <alignment horizontal="center" wrapText="1"/>
    </xf>
    <xf numFmtId="0" fontId="20" fillId="0" borderId="0" xfId="64" applyFont="1" applyAlignment="1">
      <alignment horizontal="center"/>
    </xf>
    <xf numFmtId="0" fontId="49" fillId="0" borderId="0" xfId="96" applyFont="1" applyAlignment="1">
      <alignment horizontal="right" wrapText="1" indent="1"/>
    </xf>
    <xf numFmtId="1" fontId="49" fillId="0" borderId="0" xfId="96" applyNumberFormat="1" applyFont="1" applyAlignment="1">
      <alignment horizontal="right" wrapText="1" indent="1"/>
    </xf>
    <xf numFmtId="166" fontId="49" fillId="0" borderId="0" xfId="96" applyNumberFormat="1" applyFont="1" applyAlignment="1">
      <alignment horizontal="right" wrapText="1" indent="1"/>
    </xf>
    <xf numFmtId="0" fontId="50" fillId="0" borderId="0" xfId="64" applyFont="1" applyAlignment="1">
      <alignment horizontal="right" indent="1"/>
    </xf>
    <xf numFmtId="0" fontId="20" fillId="0" borderId="0" xfId="64" applyFont="1" applyAlignment="1">
      <alignment horizontal="left" indent="1"/>
    </xf>
    <xf numFmtId="166" fontId="50" fillId="0" borderId="0" xfId="64" applyNumberFormat="1" applyFont="1" applyAlignment="1">
      <alignment horizontal="right" indent="1"/>
    </xf>
    <xf numFmtId="0" fontId="14" fillId="0" borderId="0" xfId="64" applyFont="1"/>
    <xf numFmtId="0" fontId="61" fillId="0" borderId="0" xfId="82" applyFont="1"/>
    <xf numFmtId="0" fontId="3" fillId="0" borderId="0" xfId="7" applyFont="1"/>
    <xf numFmtId="0" fontId="6" fillId="0" borderId="0" xfId="7" applyFont="1"/>
    <xf numFmtId="0" fontId="6" fillId="0" borderId="1" xfId="7" applyFont="1" applyBorder="1"/>
    <xf numFmtId="0" fontId="109" fillId="0" borderId="1" xfId="7" applyFont="1" applyBorder="1"/>
    <xf numFmtId="0" fontId="24" fillId="0" borderId="1" xfId="7" applyFont="1" applyBorder="1" applyAlignment="1">
      <alignment horizontal="right"/>
    </xf>
    <xf numFmtId="0" fontId="6" fillId="0" borderId="2" xfId="7" applyFont="1" applyBorder="1"/>
    <xf numFmtId="0" fontId="110" fillId="0" borderId="2" xfId="7" applyFont="1" applyBorder="1" applyAlignment="1">
      <alignment horizontal="center" vertical="center"/>
    </xf>
    <xf numFmtId="0" fontId="101" fillId="0" borderId="0" xfId="7" applyFont="1" applyAlignment="1">
      <alignment horizontal="center" vertical="center" wrapText="1"/>
    </xf>
    <xf numFmtId="0" fontId="110" fillId="0" borderId="0" xfId="7" applyFont="1" applyAlignment="1">
      <alignment horizontal="center" vertical="center"/>
    </xf>
    <xf numFmtId="0" fontId="6" fillId="0" borderId="0" xfId="7" applyFont="1" applyAlignment="1">
      <alignment horizontal="center" vertical="center"/>
    </xf>
    <xf numFmtId="0" fontId="6" fillId="0" borderId="0" xfId="7" applyFont="1" applyAlignment="1">
      <alignment horizontal="center"/>
    </xf>
    <xf numFmtId="0" fontId="109" fillId="0" borderId="0" xfId="7" applyFont="1"/>
    <xf numFmtId="1" fontId="23" fillId="0" borderId="0" xfId="5" applyNumberFormat="1" applyFont="1"/>
    <xf numFmtId="2" fontId="23" fillId="0" borderId="0" xfId="7" applyNumberFormat="1" applyFont="1" applyAlignment="1">
      <alignment horizontal="right" wrapText="1"/>
    </xf>
    <xf numFmtId="0" fontId="23" fillId="0" borderId="0" xfId="7" applyFont="1"/>
    <xf numFmtId="0" fontId="6" fillId="0" borderId="0" xfId="7" applyFont="1" applyAlignment="1">
      <alignment horizontal="left" indent="1"/>
    </xf>
    <xf numFmtId="1" fontId="6" fillId="0" borderId="0" xfId="5" applyNumberFormat="1" applyFont="1"/>
    <xf numFmtId="2" fontId="6" fillId="0" borderId="0" xfId="7" applyNumberFormat="1" applyFont="1" applyAlignment="1">
      <alignment horizontal="right" wrapText="1"/>
    </xf>
    <xf numFmtId="0" fontId="6" fillId="0" borderId="0" xfId="7" applyFont="1" applyAlignment="1">
      <alignment horizontal="left" indent="2"/>
    </xf>
    <xf numFmtId="0" fontId="6" fillId="0" borderId="0" xfId="7" applyFont="1" applyAlignment="1">
      <alignment horizontal="left" wrapText="1" indent="2"/>
    </xf>
    <xf numFmtId="0" fontId="23" fillId="0" borderId="0" xfId="7" applyFont="1" applyAlignment="1">
      <alignment horizontal="left"/>
    </xf>
    <xf numFmtId="0" fontId="6" fillId="0" borderId="0" xfId="7" applyFont="1" applyAlignment="1">
      <alignment horizontal="left" wrapText="1" indent="1"/>
    </xf>
    <xf numFmtId="2" fontId="23" fillId="0" borderId="0" xfId="7" applyNumberFormat="1" applyFont="1" applyAlignment="1">
      <alignment horizontal="right" wrapText="1" indent="1"/>
    </xf>
    <xf numFmtId="2" fontId="6" fillId="0" borderId="0" xfId="7" applyNumberFormat="1" applyFont="1" applyAlignment="1">
      <alignment horizontal="right" wrapText="1" indent="1"/>
    </xf>
    <xf numFmtId="0" fontId="65" fillId="0" borderId="0" xfId="7" applyFont="1"/>
    <xf numFmtId="1" fontId="65" fillId="0" borderId="0" xfId="7" applyNumberFormat="1" applyFont="1"/>
    <xf numFmtId="1" fontId="14" fillId="0" borderId="0" xfId="63" applyNumberFormat="1" applyFont="1"/>
    <xf numFmtId="166" fontId="14" fillId="0" borderId="0" xfId="63" applyNumberFormat="1" applyFont="1" applyAlignment="1">
      <alignment horizontal="right" indent="2"/>
    </xf>
    <xf numFmtId="0" fontId="5" fillId="0" borderId="0" xfId="15"/>
    <xf numFmtId="0" fontId="5" fillId="0" borderId="0" xfId="15" applyAlignment="1">
      <alignment horizontal="center"/>
    </xf>
    <xf numFmtId="0" fontId="5" fillId="0" borderId="1" xfId="15" applyBorder="1" applyAlignment="1">
      <alignment horizontal="center"/>
    </xf>
    <xf numFmtId="0" fontId="5" fillId="0" borderId="0" xfId="15" applyAlignment="1">
      <alignment vertical="center"/>
    </xf>
    <xf numFmtId="0" fontId="5" fillId="0" borderId="0" xfId="15" applyAlignment="1">
      <alignment horizontal="left"/>
    </xf>
    <xf numFmtId="166" fontId="9" fillId="0" borderId="0" xfId="16" applyNumberFormat="1" applyFont="1" applyAlignment="1">
      <alignment horizontal="right" indent="3"/>
    </xf>
    <xf numFmtId="166" fontId="9" fillId="0" borderId="0" xfId="16" applyNumberFormat="1" applyFont="1" applyAlignment="1">
      <alignment horizontal="right"/>
    </xf>
    <xf numFmtId="0" fontId="5" fillId="0" borderId="0" xfId="15" applyAlignment="1">
      <alignment horizontal="left" indent="2"/>
    </xf>
    <xf numFmtId="166" fontId="5" fillId="0" borderId="0" xfId="16" applyNumberFormat="1" applyFont="1" applyAlignment="1">
      <alignment horizontal="right"/>
    </xf>
    <xf numFmtId="166" fontId="5" fillId="0" borderId="0" xfId="15" applyNumberFormat="1" applyAlignment="1">
      <alignment horizontal="right"/>
    </xf>
    <xf numFmtId="2" fontId="23" fillId="0" borderId="0" xfId="7" applyNumberFormat="1" applyFont="1" applyAlignment="1">
      <alignment horizontal="left" wrapText="1" indent="1"/>
    </xf>
    <xf numFmtId="2" fontId="6" fillId="0" borderId="0" xfId="7" applyNumberFormat="1" applyFont="1" applyAlignment="1">
      <alignment horizontal="left" wrapText="1" indent="1"/>
    </xf>
    <xf numFmtId="0" fontId="2" fillId="0" borderId="0" xfId="7"/>
    <xf numFmtId="0" fontId="111" fillId="0" borderId="0" xfId="52" applyFont="1"/>
    <xf numFmtId="0" fontId="112" fillId="0" borderId="0" xfId="52" applyFont="1"/>
    <xf numFmtId="1" fontId="2" fillId="0" borderId="0" xfId="7" applyNumberFormat="1"/>
    <xf numFmtId="2" fontId="2" fillId="0" borderId="0" xfId="7" applyNumberFormat="1"/>
    <xf numFmtId="0" fontId="113" fillId="0" borderId="0" xfId="52" applyFont="1"/>
    <xf numFmtId="0" fontId="6" fillId="0" borderId="3" xfId="7" applyFont="1" applyBorder="1" applyAlignment="1">
      <alignment horizontal="center" vertical="center"/>
    </xf>
    <xf numFmtId="0" fontId="23" fillId="0" borderId="0" xfId="7" applyFont="1" applyAlignment="1">
      <alignment horizontal="left"/>
    </xf>
    <xf numFmtId="0" fontId="6" fillId="0" borderId="2" xfId="7" applyFont="1" applyBorder="1" applyAlignment="1">
      <alignment horizontal="center" vertical="center"/>
    </xf>
    <xf numFmtId="0" fontId="3" fillId="0" borderId="0" xfId="18" applyFont="1" applyAlignment="1">
      <alignment horizontal="left" wrapText="1"/>
    </xf>
    <xf numFmtId="0" fontId="6" fillId="0" borderId="3" xfId="24" applyFont="1" applyBorder="1" applyAlignment="1">
      <alignment horizontal="center" vertical="center"/>
    </xf>
    <xf numFmtId="0" fontId="6" fillId="0" borderId="3" xfId="24" quotePrefix="1" applyFont="1" applyBorder="1" applyAlignment="1">
      <alignment horizontal="center" vertical="center"/>
    </xf>
    <xf numFmtId="0" fontId="6" fillId="0" borderId="2" xfId="24" applyFont="1" applyBorder="1" applyAlignment="1">
      <alignment horizontal="center" vertical="center"/>
    </xf>
    <xf numFmtId="0" fontId="6" fillId="0" borderId="0" xfId="24" applyFont="1" applyAlignment="1">
      <alignment horizontal="center" vertical="center"/>
    </xf>
    <xf numFmtId="0" fontId="6" fillId="0" borderId="1" xfId="24" applyFont="1" applyBorder="1" applyAlignment="1">
      <alignment horizontal="center" vertical="center"/>
    </xf>
    <xf numFmtId="0" fontId="6" fillId="0" borderId="3" xfId="28" applyFont="1" applyBorder="1" applyAlignment="1">
      <alignment horizontal="center" vertical="center" wrapText="1"/>
      <protection locked="0"/>
    </xf>
    <xf numFmtId="0" fontId="6" fillId="0" borderId="3" xfId="28" applyFont="1" applyBorder="1" applyAlignment="1">
      <alignment horizontal="center" vertical="center"/>
      <protection locked="0"/>
    </xf>
    <xf numFmtId="0" fontId="3" fillId="0" borderId="0" xfId="29" applyFont="1" applyAlignment="1">
      <alignment horizontal="left" wrapText="1"/>
    </xf>
    <xf numFmtId="0" fontId="16" fillId="0" borderId="2" xfId="24" quotePrefix="1" applyFont="1" applyBorder="1" applyAlignment="1">
      <alignment horizontal="center" vertical="center"/>
    </xf>
    <xf numFmtId="0" fontId="16" fillId="0" borderId="1" xfId="24" quotePrefix="1" applyFont="1" applyBorder="1" applyAlignment="1">
      <alignment horizontal="center" vertical="center"/>
    </xf>
    <xf numFmtId="0" fontId="6" fillId="0" borderId="2" xfId="24" quotePrefix="1" applyFont="1" applyBorder="1" applyAlignment="1">
      <alignment horizontal="center" vertical="center"/>
    </xf>
    <xf numFmtId="0" fontId="6" fillId="0" borderId="2" xfId="24" applyFont="1" applyBorder="1" applyAlignment="1">
      <alignment horizontal="center" vertical="center" wrapText="1"/>
    </xf>
    <xf numFmtId="15" fontId="6" fillId="0" borderId="2" xfId="24" quotePrefix="1" applyNumberFormat="1" applyFont="1" applyBorder="1" applyAlignment="1">
      <alignment horizontal="center" vertical="center"/>
    </xf>
    <xf numFmtId="0" fontId="6" fillId="0" borderId="1" xfId="24" applyFont="1" applyBorder="1" applyAlignment="1">
      <alignment horizontal="center" vertical="center" wrapText="1"/>
    </xf>
    <xf numFmtId="0" fontId="6" fillId="0" borderId="3" xfId="40" applyFont="1" applyBorder="1" applyAlignment="1">
      <alignment horizontal="center" vertical="center" wrapText="1"/>
    </xf>
    <xf numFmtId="16" fontId="5" fillId="0" borderId="3" xfId="40" quotePrefix="1" applyNumberFormat="1" applyFont="1" applyBorder="1" applyAlignment="1">
      <alignment horizontal="center" vertical="center" wrapText="1"/>
    </xf>
    <xf numFmtId="0" fontId="20" fillId="0" borderId="2" xfId="52" applyFont="1" applyBorder="1" applyAlignment="1">
      <alignment horizontal="center" vertical="center" wrapText="1"/>
    </xf>
    <xf numFmtId="0" fontId="20" fillId="0" borderId="1" xfId="52" applyFont="1" applyBorder="1" applyAlignment="1">
      <alignment horizontal="center" vertical="center" wrapText="1"/>
    </xf>
    <xf numFmtId="0" fontId="9" fillId="0" borderId="0" xfId="50" applyFont="1" applyAlignment="1">
      <alignment horizontal="left"/>
    </xf>
    <xf numFmtId="0" fontId="20" fillId="0" borderId="3" xfId="31" applyFont="1" applyBorder="1" applyAlignment="1">
      <alignment horizontal="center" vertical="center" wrapText="1"/>
    </xf>
    <xf numFmtId="0" fontId="46" fillId="0" borderId="1" xfId="72" applyFont="1" applyBorder="1" applyAlignment="1">
      <alignment horizontal="center" wrapText="1"/>
    </xf>
    <xf numFmtId="0" fontId="46" fillId="0" borderId="3" xfId="72" applyFont="1" applyBorder="1" applyAlignment="1">
      <alignment horizontal="center" wrapText="1"/>
    </xf>
    <xf numFmtId="0" fontId="46" fillId="0" borderId="0" xfId="72" applyFont="1" applyAlignment="1">
      <alignment horizontal="center" wrapText="1"/>
    </xf>
    <xf numFmtId="0" fontId="23" fillId="0" borderId="0" xfId="71" applyFont="1" applyAlignment="1">
      <alignment horizontal="left"/>
    </xf>
    <xf numFmtId="0" fontId="46" fillId="0" borderId="2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49" fontId="23" fillId="0" borderId="0" xfId="76" applyNumberFormat="1" applyFont="1" applyFill="1" applyBorder="1" applyAlignment="1">
      <alignment horizontal="left" wrapText="1"/>
    </xf>
    <xf numFmtId="0" fontId="5" fillId="0" borderId="3" xfId="78" applyFont="1" applyBorder="1" applyAlignment="1">
      <alignment horizontal="center" vertical="center"/>
    </xf>
    <xf numFmtId="0" fontId="6" fillId="0" borderId="3" xfId="78" applyFont="1" applyBorder="1" applyAlignment="1">
      <alignment horizontal="center" vertical="center"/>
    </xf>
    <xf numFmtId="166" fontId="7" fillId="0" borderId="0" xfId="91" applyNumberFormat="1" applyFont="1" applyAlignment="1">
      <alignment horizontal="center" vertical="center"/>
    </xf>
    <xf numFmtId="0" fontId="27" fillId="0" borderId="2" xfId="93" applyFont="1" applyBorder="1" applyAlignment="1">
      <alignment horizontal="center" vertical="center"/>
    </xf>
    <xf numFmtId="0" fontId="27" fillId="0" borderId="1" xfId="93" applyFont="1" applyBorder="1" applyAlignment="1">
      <alignment horizontal="center" vertical="center"/>
    </xf>
    <xf numFmtId="0" fontId="27" fillId="0" borderId="3" xfId="93" applyFont="1" applyBorder="1" applyAlignment="1">
      <alignment horizontal="center" vertical="center"/>
    </xf>
    <xf numFmtId="0" fontId="62" fillId="0" borderId="3" xfId="52" applyFont="1" applyBorder="1" applyAlignment="1">
      <alignment horizontal="center" vertical="center" wrapText="1"/>
    </xf>
  </cellXfs>
  <cellStyles count="97">
    <cellStyle name="Comma" xfId="12" builtinId="3"/>
    <cellStyle name="Comma 10 2 2 4 2" xfId="85" xr:uid="{00000000-0005-0000-0000-000001000000}"/>
    <cellStyle name="Comma 18" xfId="14" xr:uid="{00000000-0005-0000-0000-000002000000}"/>
    <cellStyle name="Comma 2" xfId="59" xr:uid="{00000000-0005-0000-0000-000003000000}"/>
    <cellStyle name="Comma 2 2" xfId="11" xr:uid="{00000000-0005-0000-0000-000004000000}"/>
    <cellStyle name="Comma 25 2" xfId="54" xr:uid="{00000000-0005-0000-0000-000005000000}"/>
    <cellStyle name="Comma 3 2 5 4 2" xfId="49" xr:uid="{00000000-0005-0000-0000-000006000000}"/>
    <cellStyle name="Comma_Bieu 012011" xfId="73" xr:uid="{00000000-0005-0000-0000-000007000000}"/>
    <cellStyle name="Comma_Bieu 012011 2" xfId="76" xr:uid="{00000000-0005-0000-0000-000008000000}"/>
    <cellStyle name="Comma_Bieu 012011 2 3" xfId="75" xr:uid="{00000000-0005-0000-0000-000009000000}"/>
    <cellStyle name="Normal" xfId="0" builtinId="0"/>
    <cellStyle name="Normal - Style1 3" xfId="5" xr:uid="{00000000-0005-0000-0000-00000B000000}"/>
    <cellStyle name="Normal 10 2 2 2 2" xfId="31" xr:uid="{00000000-0005-0000-0000-00000C000000}"/>
    <cellStyle name="Normal 10 2 2 2 2 2" xfId="82" xr:uid="{00000000-0005-0000-0000-00000D000000}"/>
    <cellStyle name="Normal 10 2 2 2 2 2 2" xfId="84" xr:uid="{00000000-0005-0000-0000-00000E000000}"/>
    <cellStyle name="Normal 10 2 2 2 3" xfId="64" xr:uid="{00000000-0005-0000-0000-00000F000000}"/>
    <cellStyle name="Normal 10 2 2 2 4 2" xfId="36" xr:uid="{00000000-0005-0000-0000-000010000000}"/>
    <cellStyle name="Normal 10 2 2 2 5" xfId="32" xr:uid="{00000000-0005-0000-0000-000011000000}"/>
    <cellStyle name="Normal 10 2 2 2 5 2" xfId="35" xr:uid="{00000000-0005-0000-0000-000012000000}"/>
    <cellStyle name="Normal 10 3" xfId="60" xr:uid="{00000000-0005-0000-0000-000013000000}"/>
    <cellStyle name="Normal 10 4 2 2 2" xfId="38" xr:uid="{00000000-0005-0000-0000-000014000000}"/>
    <cellStyle name="Normal 10 4 2 3" xfId="33" xr:uid="{00000000-0005-0000-0000-000015000000}"/>
    <cellStyle name="Normal 11 4" xfId="16" xr:uid="{00000000-0005-0000-0000-000016000000}"/>
    <cellStyle name="Normal 12" xfId="23" xr:uid="{00000000-0005-0000-0000-000017000000}"/>
    <cellStyle name="Normal 12 3" xfId="22" xr:uid="{00000000-0005-0000-0000-000018000000}"/>
    <cellStyle name="Normal 15 4" xfId="26" xr:uid="{00000000-0005-0000-0000-000019000000}"/>
    <cellStyle name="Normal 153 2 2" xfId="48" xr:uid="{00000000-0005-0000-0000-00001A000000}"/>
    <cellStyle name="Normal 156" xfId="52" xr:uid="{00000000-0005-0000-0000-00001B000000}"/>
    <cellStyle name="Normal 156 2" xfId="96" xr:uid="{00000000-0005-0000-0000-00001C000000}"/>
    <cellStyle name="Normal 157" xfId="27" xr:uid="{00000000-0005-0000-0000-00001D000000}"/>
    <cellStyle name="Normal 157 2" xfId="72" xr:uid="{00000000-0005-0000-0000-00001E000000}"/>
    <cellStyle name="Normal 158 2" xfId="90" xr:uid="{00000000-0005-0000-0000-00001F000000}"/>
    <cellStyle name="Normal 159" xfId="94" xr:uid="{00000000-0005-0000-0000-000020000000}"/>
    <cellStyle name="Normal 162" xfId="4" xr:uid="{00000000-0005-0000-0000-000021000000}"/>
    <cellStyle name="Normal 164" xfId="8" xr:uid="{00000000-0005-0000-0000-000022000000}"/>
    <cellStyle name="Normal 186 2" xfId="9" xr:uid="{00000000-0005-0000-0000-000023000000}"/>
    <cellStyle name="Normal 2" xfId="2" xr:uid="{00000000-0005-0000-0000-000024000000}"/>
    <cellStyle name="Normal 2 11 2" xfId="17" xr:uid="{00000000-0005-0000-0000-000025000000}"/>
    <cellStyle name="Normal 2 13 2" xfId="47" xr:uid="{00000000-0005-0000-0000-000026000000}"/>
    <cellStyle name="Normal 2 16" xfId="62" xr:uid="{00000000-0005-0000-0000-000027000000}"/>
    <cellStyle name="Normal 2 16 2" xfId="34" xr:uid="{00000000-0005-0000-0000-000028000000}"/>
    <cellStyle name="Normal 2 2" xfId="10" xr:uid="{00000000-0005-0000-0000-000029000000}"/>
    <cellStyle name="Normal 2 7 2" xfId="69" xr:uid="{00000000-0005-0000-0000-00002A000000}"/>
    <cellStyle name="Normal 2_Copy of CSGSX Qui IV. 2011" xfId="88" xr:uid="{00000000-0005-0000-0000-00002B000000}"/>
    <cellStyle name="Normal 2_revise" xfId="87" xr:uid="{00000000-0005-0000-0000-00002C000000}"/>
    <cellStyle name="Normal 3" xfId="21" xr:uid="{00000000-0005-0000-0000-00002D000000}"/>
    <cellStyle name="Normal 3 2" xfId="86" xr:uid="{00000000-0005-0000-0000-00002E000000}"/>
    <cellStyle name="Normal 3 2 2 2 2" xfId="63" xr:uid="{00000000-0005-0000-0000-00002F000000}"/>
    <cellStyle name="Normal 3 2 2 2 2 3" xfId="68" xr:uid="{00000000-0005-0000-0000-000030000000}"/>
    <cellStyle name="Normal 3 3" xfId="67" xr:uid="{00000000-0005-0000-0000-000031000000}"/>
    <cellStyle name="Normal 5" xfId="61" xr:uid="{00000000-0005-0000-0000-000032000000}"/>
    <cellStyle name="Normal 7" xfId="15" xr:uid="{00000000-0005-0000-0000-000033000000}"/>
    <cellStyle name="Normal 7 4" xfId="45" xr:uid="{00000000-0005-0000-0000-000034000000}"/>
    <cellStyle name="Normal 7_Xl0000108" xfId="91" xr:uid="{00000000-0005-0000-0000-000035000000}"/>
    <cellStyle name="Normal_02NN" xfId="1" xr:uid="{00000000-0005-0000-0000-000036000000}"/>
    <cellStyle name="Normal_03&amp;04CN" xfId="19" xr:uid="{00000000-0005-0000-0000-000037000000}"/>
    <cellStyle name="Normal_05XD 2" xfId="40" xr:uid="{00000000-0005-0000-0000-000038000000}"/>
    <cellStyle name="Normal_05XD_Dautu(6-2011)" xfId="25" xr:uid="{00000000-0005-0000-0000-000039000000}"/>
    <cellStyle name="Normal_06DTNN 2" xfId="46" xr:uid="{00000000-0005-0000-0000-00003A000000}"/>
    <cellStyle name="Normal_07Dulich11 2" xfId="65" xr:uid="{00000000-0005-0000-0000-00003B000000}"/>
    <cellStyle name="Normal_07gia 2" xfId="78" xr:uid="{00000000-0005-0000-0000-00003C000000}"/>
    <cellStyle name="Normal_07gia_chi so gia PPI3.2012" xfId="83" xr:uid="{00000000-0005-0000-0000-00003D000000}"/>
    <cellStyle name="Normal_07VT" xfId="55" xr:uid="{00000000-0005-0000-0000-00003E000000}"/>
    <cellStyle name="Normal_08-12TM" xfId="70" xr:uid="{00000000-0005-0000-0000-00003F000000}"/>
    <cellStyle name="Normal_08tmt3" xfId="50" xr:uid="{00000000-0005-0000-0000-000040000000}"/>
    <cellStyle name="Normal_08tmt3 2" xfId="53" xr:uid="{00000000-0005-0000-0000-000041000000}"/>
    <cellStyle name="Normal_08tmt3_VT- TM Diep" xfId="51" xr:uid="{00000000-0005-0000-0000-000042000000}"/>
    <cellStyle name="Normal_BC CSG NLTS Qui 1  2011 2" xfId="80" xr:uid="{00000000-0005-0000-0000-000043000000}"/>
    <cellStyle name="Normal_Bctiendo2000" xfId="3" xr:uid="{00000000-0005-0000-0000-000044000000}"/>
    <cellStyle name="Normal_Book2" xfId="79" xr:uid="{00000000-0005-0000-0000-000045000000}"/>
    <cellStyle name="Normal_Copy of CSGSX Qui IV. 2011" xfId="81" xr:uid="{00000000-0005-0000-0000-000046000000}"/>
    <cellStyle name="Normal_Dau tu 2" xfId="43" xr:uid="{00000000-0005-0000-0000-000047000000}"/>
    <cellStyle name="Normal_Dautu" xfId="44" xr:uid="{00000000-0005-0000-0000-000048000000}"/>
    <cellStyle name="Normal_GDP 9 thang" xfId="92" xr:uid="{00000000-0005-0000-0000-000049000000}"/>
    <cellStyle name="Normal_Gui Vu TH-Bao cao nhanh VDT 2006" xfId="42" xr:uid="{00000000-0005-0000-0000-00004A000000}"/>
    <cellStyle name="Normal_nhanh sap xep lai 2 2" xfId="57" xr:uid="{00000000-0005-0000-0000-00004B000000}"/>
    <cellStyle name="Normal_nhanh sap xep lai 3" xfId="71" xr:uid="{00000000-0005-0000-0000-00004C000000}"/>
    <cellStyle name="Normal_Sheet1" xfId="20" xr:uid="{00000000-0005-0000-0000-00004D000000}"/>
    <cellStyle name="Normal_solieu gdp 2" xfId="7" xr:uid="{00000000-0005-0000-0000-00004E000000}"/>
    <cellStyle name="Normal_solieu gdp 2 2" xfId="37" xr:uid="{00000000-0005-0000-0000-00004F000000}"/>
    <cellStyle name="Normal_SPT3-96" xfId="24" xr:uid="{00000000-0005-0000-0000-000050000000}"/>
    <cellStyle name="Normal_SPT3-96_Bieu 012011 2" xfId="41" xr:uid="{00000000-0005-0000-0000-000051000000}"/>
    <cellStyle name="Normal_SPT3-96_Bieudautu_Dautu(6-2011)" xfId="39" xr:uid="{00000000-0005-0000-0000-000052000000}"/>
    <cellStyle name="Normal_SPT3-96_Van tai12.2010" xfId="58" xr:uid="{00000000-0005-0000-0000-000053000000}"/>
    <cellStyle name="Normal_Tieu thu-Ton kho thang 7.2012 (dieu chinh)" xfId="28" xr:uid="{00000000-0005-0000-0000-000054000000}"/>
    <cellStyle name="Normal_VTAI 2" xfId="6" xr:uid="{00000000-0005-0000-0000-000055000000}"/>
    <cellStyle name="Normal_Xl0000008" xfId="66" xr:uid="{00000000-0005-0000-0000-000056000000}"/>
    <cellStyle name="Normal_Xl0000107" xfId="29" xr:uid="{00000000-0005-0000-0000-000057000000}"/>
    <cellStyle name="Normal_Xl0000109" xfId="89" xr:uid="{00000000-0005-0000-0000-000058000000}"/>
    <cellStyle name="Normal_Xl0000109_1" xfId="30" xr:uid="{00000000-0005-0000-0000-000059000000}"/>
    <cellStyle name="Normal_Xl0000110" xfId="95" xr:uid="{00000000-0005-0000-0000-00005A000000}"/>
    <cellStyle name="Normal_Xl0000117" xfId="93" xr:uid="{00000000-0005-0000-0000-00005B000000}"/>
    <cellStyle name="Normal_Xl0000141" xfId="18" xr:uid="{00000000-0005-0000-0000-00005C000000}"/>
    <cellStyle name="Normal_Xl0000156" xfId="56" xr:uid="{00000000-0005-0000-0000-00005D000000}"/>
    <cellStyle name="Normal_Xl0000163" xfId="77" xr:uid="{00000000-0005-0000-0000-00005E000000}"/>
    <cellStyle name="Normal_Xl0000203" xfId="74" xr:uid="{00000000-0005-0000-0000-00005F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16.xml"/><Relationship Id="rId68" Type="http://schemas.openxmlformats.org/officeDocument/2006/relationships/externalLink" Target="externalLinks/externalLink2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6.xml"/><Relationship Id="rId58" Type="http://schemas.openxmlformats.org/officeDocument/2006/relationships/externalLink" Target="externalLinks/externalLink11.xml"/><Relationship Id="rId66" Type="http://schemas.openxmlformats.org/officeDocument/2006/relationships/externalLink" Target="externalLinks/externalLink19.xml"/><Relationship Id="rId74" Type="http://schemas.openxmlformats.org/officeDocument/2006/relationships/externalLink" Target="externalLinks/externalLink27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56" Type="http://schemas.openxmlformats.org/officeDocument/2006/relationships/externalLink" Target="externalLinks/externalLink9.xml"/><Relationship Id="rId64" Type="http://schemas.openxmlformats.org/officeDocument/2006/relationships/externalLink" Target="externalLinks/externalLink17.xml"/><Relationship Id="rId69" Type="http://schemas.openxmlformats.org/officeDocument/2006/relationships/externalLink" Target="externalLinks/externalLink22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.xml"/><Relationship Id="rId72" Type="http://schemas.openxmlformats.org/officeDocument/2006/relationships/externalLink" Target="externalLinks/externalLink2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2.xml"/><Relationship Id="rId67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7.xml"/><Relationship Id="rId62" Type="http://schemas.openxmlformats.org/officeDocument/2006/relationships/externalLink" Target="externalLinks/externalLink15.xml"/><Relationship Id="rId70" Type="http://schemas.openxmlformats.org/officeDocument/2006/relationships/externalLink" Target="externalLinks/externalLink23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Relationship Id="rId57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5.xml"/><Relationship Id="rId60" Type="http://schemas.openxmlformats.org/officeDocument/2006/relationships/externalLink" Target="externalLinks/externalLink13.xml"/><Relationship Id="rId65" Type="http://schemas.openxmlformats.org/officeDocument/2006/relationships/externalLink" Target="externalLinks/externalLink18.xml"/><Relationship Id="rId73" Type="http://schemas.openxmlformats.org/officeDocument/2006/relationships/externalLink" Target="externalLinks/externalLink26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3.xml"/><Relationship Id="rId55" Type="http://schemas.openxmlformats.org/officeDocument/2006/relationships/externalLink" Target="externalLinks/externalLink8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ung%20Quat\Goi3\PNT-P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ung%20Quat/Goi3/PNT-P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AO%20CAO/Bao%20cao%20thang/2021/T12/3.Tien%20do%20T12.2021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Cuong6%20th&#225;ng\2.5nam\Thanh%20Toan\DOCUMENT\DAUTHAU\Dungquat\GOI3\DUNGQUAT-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DOCUMENT\DAUTHAU\Dungquat\GOI3\DUNGQUAT-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.5nam/Thanh%20Toan/DOCUMENT/DAUTHAU/Dungquat/GOI3/DUNGQUAT-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1%20Bao%20cao%20thang\2011\Thang%2004\Tong%20hop\Chuyenvien\2.5nam\Thanh%20Toan\DOCUMENT\DAUTHAU\Dungquat\GOI3\DUNGQUAT-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ofs02\webtkth\2.5nam\Thanh%20Toan\DOCUMENT\DAUTHAU\Dungquat\GOI3\DUNGQUAT-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le.gso.gov.vn/truyenfile/NLTS/2009/890004101DBTS_Bieu25_DBNN200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0HE709MB\VPQH\Dia%20mem\Sai%20gon\du%20to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n\0tonghop1\10Nam\10nam\xaydungcntt98\dung\&#167;&#222;a%20ph&#173;&#172;ng%2095-96%20(V&#232;n,%20TSC&#167;)%20hai%20gi&#18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tqvuong\Local%20Settings\Temporary%20Internet%20Files\Content.IE5\O5IZ0TU7\Hieu\Data\Nien%20giam\Hoan\Nien%20giam%2095-2002\NN95-2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tqvuong\Local%20Settings\Temporary%20Internet%20Files\Content.IE5\O5IZ0TU7\Hieu\Data\Nien%20giam\Hoan\Nien%20giam%2095-2002\NN95-20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tqvuong\Local%20Settings\Temporary%20Internet%20Files\Content.IE5\O5IZ0TU7\Hieu\Data\Nien%20giam\Hoan\Nien%20giam%2095-2002\NN95-20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trangnt/Downloads/Ch&#7881;%20ti&#234;u%20b&#225;o%20c&#225;o%20ti&#7871;n%20&#273;&#7897;%20th&#225;ng,%20qu&#253;,%20n&#259;m_BC%20Th&#7911;y%20s&#7843;n_06.02.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INDOWS\TEMP\IBASE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Cuong6%20th&#225;ng\2.5nam\Thanh%20Toan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2.5nam/Thanh%20Toan/CS3408/Standard/R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CS3408\Standard\RP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1%20Bao%20cao%20thang\2011\Thang%2004\Tong%20hop\Chuyenvien\2.5nam\Thanh%20Toan\CS3408\Standard\RP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1\Ha%20Noi%20Plaza\Tham%20dinh%20lai\Tai%20lieu%20A%20cap\TD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0\Chu%20Hoang\Hanoi%20Group\My%20Documents\Phan%20Huy\DGIAGOC\1999\HANOI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%20Nien%20giam%20day%20du\2013\Vu%20Tong%20hop\Gui%20NXB\Nam\10Nam\xaydungcntt98\dung\&#167;&#222;a%20ph&#173;&#172;ng%2095-96%20(V&#232;n,%20TSC&#167;)%20hai%20gi&#18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03%20Nien%20giam%20day%20du/2013/Vu%20Tong%20hop/Gui%20NXB/Nam/10Nam/xaydungcntt98/dung/&#167;&#222;a%20ph&#173;&#172;ng%2095-96%20(V&#232;n,%20TSC&#167;)%20hai%20gi&#1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DG "/>
      <sheetName val="CT.XF1"/>
      <sheetName val="_x0014_M01"/>
      <sheetName val="I"/>
      <sheetName val="PNT-P3"/>
      <sheetName val="GS11- tÝnh KH_x0014_SC§"/>
      <sheetName val="DŃ02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TDT-TB?"/>
      <sheetName val="Km280 ? Km281"/>
      <sheetName val="Kluo-_x0008_ phu"/>
      <sheetName val="QD cua HDQ²_x0000__x0000_€)"/>
      <sheetName val="tt chu don"/>
      <sheetName val="DGþ"/>
      <sheetName val="QD cua "/>
      <sheetName val="PNT_QUO"/>
      <sheetName val="PNghiÖm VL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nam2004"/>
      <sheetName val="Dhp+d"/>
      <sheetName val="T[ 131"/>
      <sheetName val="DC0#"/>
      <sheetName val="DC2@ï4"/>
      <sheetName val="_x000f_p m!i 284"/>
      <sheetName val="AA"/>
      <sheetName val="tuong"/>
      <sheetName val="t01.06"/>
      <sheetName val="chie԰_x0000__x0000__x0000_Ȁ_x0000_"/>
      <sheetName val="Ho la "/>
      <sheetName val="Thue NK"/>
      <sheetName val="Hang NK"/>
      <sheetName val="GS08)B.hµng"/>
      <sheetName val="chieud"/>
      <sheetName val="Tong hop ၑL48 - 2"/>
      <sheetName val="_x0000__x000a__x0000__x0000__x0000_âO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DKTJT03"/>
      <sheetName val="Tong hnp QL47"/>
      <sheetName val="Cong baj 2x1,5"/>
      <sheetName val="nghi dinhmCP"/>
      <sheetName val="I_x0005__x0000__x0000_"/>
      <sheetName val="_x0000__x000f__x0000__x0000__x0000__x0005__x0000__x0000_"/>
      <sheetName val="CVpden trong tong"/>
      <sheetName val="5 nam (tach) x2)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_x0000__x0000_1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⁋㌱Ա_x0000_䭔㌱س_x0000_䭔ㄠㄴ_x0006_牴湯⁧琠湯౧_x0000_杮楨搠湩⵨偃_x0006_匀頀ᎆ"/>
      <sheetName val="_x000d_â_x0005__x0000_"/>
      <sheetName val="_x000c__x0000__x0000__x0000__x0000__x0000__x0000__x0000__x000a__x0000__x0000__x0000_"/>
      <sheetName val="_x0000__x000a__x0000__x0000__x0000_âOŽ"/>
      <sheetName val="HNI"/>
      <sheetName val="Tong hop$Op mai"/>
      <sheetName val="bÑi_x0003_"/>
      <sheetName val="???????-BLDG"/>
      <sheetName val="⁋㌱Ա_x0000_䭔㌱س_x0000_䭔ㄠㄴ_x0006_牴湯⁧琠湯౧_x0000_杮楨搠湩⵨偃_x0006_匀䈀ᅪ"/>
      <sheetName val="Temp"/>
      <sheetName val="TO 141"/>
      <sheetName val="⁋㌱Ա_x0000_䭔㌱س_x0000_䭔ㄠㄴ_x0006_牴湯⁧琠湯౧_x0000_杮楨搠湩⵨偃_x0006_匀렀቟"/>
      <sheetName val="Tong hopQ48­1"/>
      <sheetName val="⁋㌱Ա_x0000_䭔㌱س_x0000_䭔ㄠㄴ_x0006_牴湯⁧琠湯౧_x0000_杮楨搠湩⵨偃_x0006_匀︀ᇕ"/>
      <sheetName val="XXXXX_XX"/>
      <sheetName val="DGh"/>
      <sheetName val="tra-vat-lieu"/>
      <sheetName val="XL4Toppy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DG("/>
      <sheetName val="bÑi_x0003_?²r_x0013_?"/>
      <sheetName val="TK33313"/>
      <sheetName val="UK 911"/>
      <sheetName val="CEPS1"/>
      <sheetName val="Km285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_x000c__x0000__x0000__x0000__x0000__x0000__x0000__x0000__x000d__x0000__x0000_Õ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QUY IV _x0005__x0000_"/>
      <sheetName val="p"/>
      <sheetName val="KHTS"/>
      <sheetName val="co_x0005__x0000__x0000__x0000_"/>
      <sheetName val="Tong hop Mctduong"/>
      <sheetName val="KHTS?_x000d_2"/>
      <sheetName val="⁋㌱Ա_x0000_䭔㌱س_x0000_䭔ㄠㄴ_x0006_牴湯⁧琠湯౧_x0000_杮楨搠湩⵨偃_x0006_匀㠀䂅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[PNT-P3.xls][PNT-P3.xls]XXXXX\X"/>
      <sheetName val="Tkng hop QL48 - 2"/>
      <sheetName val="MHET1 784028 lan anh (2)"/>
      <sheetName val="⁋㌱Ա_x0000_䭔㌱س_x0000_䭔ㄠㄴ_x0006_牴湯⁧琠湯౧_x0000_杮楨搠湩_x0005__x0000__x0000__x0000__x0000_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Èoasen"/>
      <sheetName val="_PNT-P3.xlsUTong hop (2)"/>
      <sheetName val="_PNT-P3.xlsUKm279 - Km280"/>
      <sheetName val="Op"/>
      <sheetName val="_PNT-P3.xlsѝKQKDKT'04-1"/>
      <sheetName val="CV den trong to_g"/>
      <sheetName val="_0000000"/>
      <sheetName val="__-BLDG"/>
      <sheetName val="gia x"/>
      <sheetName val="K_284"/>
      <sheetName val="_ong hop QL48 - 2"/>
      <sheetName val="⁋㌱Ա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Cong ban _x0000_ _x0000__x0004__x0000__x0003_"/>
      <sheetName val="Cong ban_x0009__x0000__x0009__x0000__x0004__x0000__x0003_"/>
      <sheetName val="_x0005_"/>
      <sheetName val="_x000c_"/>
      <sheetName val="QD cua HDQ²"/>
      <sheetName val="chie԰"/>
      <sheetName val="S2"/>
      <sheetName val="_x000f_"/>
      <sheetName val="M pc_x0006_"/>
      <sheetName val="luongt"/>
      <sheetName val="???"/>
      <sheetName val="chieuda"/>
      <sheetName val="⁋㌱Ա_x0000_䭔㌱س_x0000_䭔ㄠㄴ_x0006_牴湯⁧琠湯౧_x0000_杮楨搠湩⵨偃_x0006_匀뀀콙"/>
      <sheetName val="IBASE"/>
      <sheetName val="7 nam (tach)"/>
      <sheetName val="KQKD02-0 (2)"/>
      <sheetName val="KH&quot;2003"/>
      <sheetName val="Tuongchah"/>
      <sheetName val="Km2:4"/>
      <sheetName val="TK 931"/>
      <sheetName val="CDKP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_x0000__x000f__x0000__x0000__x0000_‚嫌_x001a_"/>
      <sheetName val="41¹"/>
      <sheetName val="Cong ban`1,5x1,5"/>
      <sheetName val="gia!he1"/>
      <sheetName val="k angluc"/>
      <sheetName val="giai he  "/>
      <sheetName val="CC@S03"/>
      <sheetName val="_x000f_?‚ž½"/>
      <sheetName val="_x000c_?_x000d_"/>
      <sheetName val="_x000c_?_x000a_"/>
      <sheetName val="M pc_x0006__x0000_CamPhþ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Op mai 2_x000c_"/>
      <sheetName val="_x000f__x0000_‚ž½"/>
      <sheetName val="_x000d_âOŽ"/>
      <sheetName val="_x000c__x0000__x000d_"/>
      <sheetName val="Cong ban 1,5„—_x0013_"/>
      <sheetName val="_x000a_âO"/>
      <sheetName val="_x000c__x0000__x000a_"/>
      <sheetName val="_x000a_âOŽ"/>
      <sheetName val="chieud_x0005_"/>
      <sheetName val="_x000d_â_x0005_"/>
      <sheetName val="I_x0005_"/>
      <sheetName val="QUY IV _x0005_"/>
      <sheetName val="co_x0005_"/>
      <sheetName val="chieuday"/>
      <sheetName val="TK42ı"/>
      <sheetName val="tÿ-01"/>
      <sheetName val="SoCaiT_x0000_"/>
      <sheetName val="⁋㌱Ա_x0000_䭔㌱س_x0000_䭔ㄠㄴ_x0006_牴湯⁧琠湯౧_x0000_杮楨搠湩_x0005__x0000__x0000__x0000_타_x0012_"/>
      <sheetName val="Cong ban "/>
      <sheetName val="t"/>
      <sheetName val="CV den"/>
      <sheetName val="[PNT-P3.xls][PNT-P3.xls]C/c t)e"/>
      <sheetName val="[PNT-P3.xls][PNT-P3.xls]C4ulu/n"/>
      <sheetName val="7 THAI NGUYEN"/>
      <sheetName val="gia԰_x0000__x0000__x0000_"/>
      <sheetName val="_x0000__x000f__x0000__x0000__x0000_‚ž興"/>
      <sheetName val="Np mai 280"/>
      <sheetName val="SoCaiT"/>
      <sheetName val="Opmai 280"/>
      <sheetName val="M pc_x0006_CamPh"/>
      <sheetName val="gia x may"/>
      <sheetName val="_x000c__x000d_"/>
      <sheetName val="_x000c__x000a_"/>
      <sheetName val="_x000f__x0005_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c__x000d_Õ"/>
      <sheetName val="_x000f_‚眨,"/>
      <sheetName val="_x000f_‚禈."/>
      <sheetName val="_x000f_‚稸1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M pc_x0006_CamPhþ"/>
      <sheetName val="_x000f_‚ž興"/>
      <sheetName val="gia԰"/>
      <sheetName val="Thu hồi cá nhân"/>
      <sheetName val="UNZA(xuong)T11743972 phuong (2)"/>
      <sheetName val="JEBSENT12(2)"/>
      <sheetName val="KIKIT1 784453Ms Chau  (2)"/>
      <sheetName val="ASEFOODT 01(vp) (2)"/>
      <sheetName val="NAMKIMT12  MS (2)"/>
      <sheetName val="KORYOT T 12 (2)"/>
      <sheetName val="NHAT DONG T1 817035 msDung (2)"/>
      <sheetName val=" COMPASST 01784933 ms Dung (2)"/>
      <sheetName val="HA LONG T12(2)"/>
      <sheetName val="MBT T01 (2)"/>
      <sheetName val="CLARIAN T1 (2)"/>
      <sheetName val="URCT 1 767025 Ms Mai (2)"/>
      <sheetName val="bao cao t 01 (2)"/>
      <sheetName val="VISON T 01(2)"/>
      <sheetName val="178 t 12"/>
      <sheetName val="Be tong 620 t01"/>
      <sheetName val="XE DAP T1"/>
      <sheetName val="WAY WAY T01"/>
      <sheetName val="DON VI K5 T01"/>
      <sheetName val="ETECH VINA T1"/>
      <sheetName val="MINH DUONG T11"/>
      <sheetName val="EVERICH T01"/>
      <sheetName val="DAILYMANY T01"/>
      <sheetName val="UNITED GARMENT T11"/>
      <sheetName val="HA PHAT T1"/>
      <sheetName val="CA PHE MIEN BAC T1"/>
      <sheetName val="THEO DOI SO XERI T11"/>
      <sheetName val="ILJUNG T12"/>
      <sheetName val="LIENHIEP T12"/>
      <sheetName val="buu chinh binh duong t12"/>
      <sheetName val="TSUCHIYA TSCO T12"/>
      <sheetName val="B-TECH T12"/>
      <sheetName val="MY DUNG T1 (WTJ)"/>
      <sheetName val="HSIANG JIUH T1"/>
      <sheetName val="VIET HONG T12"/>
      <sheetName val="SHUAN HWA T01"/>
      <sheetName val="KHAI HONG T12"/>
      <sheetName val="ANH LY DONG NAI T01"/>
      <sheetName val="THEP VIET T01"/>
      <sheetName val="BUU CHINH BINH T11 (2)"/>
      <sheetName val="Cong ɢan 0,7x0,7"/>
      <sheetName val="10.05.07"/>
      <sheetName val="11.05.07"/>
      <sheetName val="12.05.07"/>
      <sheetName val="14.05.07"/>
      <sheetName val="15.05.07"/>
      <sheetName val="16.05.07"/>
      <sheetName val="17.05.07"/>
      <sheetName val="18.05.07"/>
      <sheetName val="19.05.07"/>
      <sheetName val="21.05.07"/>
      <sheetName val="22.05.07"/>
      <sheetName val="23.05.07"/>
      <sheetName val="24.05.07"/>
      <sheetName val="25.05.07"/>
      <sheetName val="26.05.07"/>
      <sheetName val="28.05.07"/>
      <sheetName val="29.05.07"/>
      <sheetName val="30.05.07"/>
      <sheetName val="31.05.07"/>
      <sheetName val="Luong"/>
      <sheetName val="BD"/>
      <sheetName val="Gia_GC_Satthep"/>
      <sheetName val="_x0003_hah"/>
      <sheetName val="_x0003_ha_x0000_"/>
      <sheetName val="_x0003_haÖ"/>
      <sheetName val="TNghiÖm VD"/>
      <sheetName val="KHTS_x0000__x000a_2"/>
      <sheetName val="_x0000__x000f__x0000__x0000__x0000_‚_x0000__x0000_"/>
      <sheetName val="_x0000__x000f__x0000__x0000__x0000_‚_x0010__x0000_"/>
      <sheetName val="Cong ban 0,7p0,_x0005_"/>
      <sheetName val="Data"/>
      <sheetName val="Nov19 Plan"/>
      <sheetName val="xnt 1ãµP"/>
      <sheetName val="bÑi_x0003__x0000_²r_x0013_¸"/>
      <sheetName val="bÑi_x0003__x0000_²r_x0013__x0005_"/>
      <sheetName val="bÑi_x0003__x0000_²r_x0013_X"/>
      <sheetName val="20_x0000__x0000__x0000__x0000__x0000__x0000__x0000__x0000__x0000__x0000__x0000_瀐ϔ_x0000__x0004__x0000__x0000__x0000__x0000__x0000__x0000_좔ϑ_x0000__x0000__x0000__x0000__x0000__x0000_"/>
      <sheetName val="Du_lieu"/>
      <sheetName val="QHC Ha Noi11.3.2010_Thang"/>
      <sheetName val="Cm276 - Ke277"/>
      <sheetName val="ThongSo"/>
      <sheetName val="Bu CL"/>
      <sheetName val="Tong hop ?L48 - 2"/>
      <sheetName val="AM"/>
      <sheetName val="QMCT"/>
      <sheetName val="KQKDKT'04-1_x0000__x0000__x0000__x0000__x0018_[PNT-P3.xls]"/>
      <sheetName val="GS08-B.hµng_x0000__x0000__x0000__x0000__x0018_[PNT-P3.xls]pha"/>
      <sheetName val="Sheet16_x0000__x0000__x0000__x0000__x0016_[PNT-P3.xls]gia xe "/>
      <sheetName val="_x0000__x0000__x0005__x0000__x0000__x0000_!._x0001__x0001_ _x0004__x0008__x0002_"/>
      <sheetName val="Op mai_x0000_276"/>
      <sheetName val="Op mai_x0000_281"/>
      <sheetName val="COAT]WRAP_QIOT__3"/>
      <sheetName val="t6_x000d_01"/>
      <sheetName val="412-"/>
      <sheetName val="Op mai?276"/>
      <sheetName val="Op mai?281"/>
      <sheetName val="_x0000_Ä"/>
      <sheetName val="QD_x0000__x0001_a TGD (2)"/>
      <sheetName val="BTH phi"/>
      <sheetName val="Vat tu"/>
      <sheetName val="_x0000_✧_x0000__x0000__x0000__x0000__x0000__x0001__x0000_&amp;_x0000_✧_x0000__x0000__x0000__x0000__x0000__x0001__x0000_"/>
      <sheetName val="bÑi_x0003__²r_x0013__"/>
      <sheetName val="_PNT-P3.xls_KQKDKT'04-1"/>
      <sheetName val="_PNT-P3.xlsMMatduong"/>
      <sheetName val="___"/>
      <sheetName val="_PNT-P3.xls_XXXXX_XX"/>
      <sheetName val="_PNT-P3.xls_C_c t)eu"/>
      <sheetName val="_PNT-P3.xls_C4ulu_ngq.1.05"/>
      <sheetName val="_PNT-P3.xlsѝKQKDKTﴀ셅u淪洂"/>
      <sheetName val="KHTS__x000d_2"/>
      <sheetName val="chie԰___Ȁ_"/>
      <sheetName val="_x000c_________x000d____"/>
      <sheetName val="__x000f____‚ž½"/>
      <sheetName val="__x000d____âOŽ"/>
      <sheetName val="I_x0005___"/>
      <sheetName val="S2__1"/>
      <sheetName val="_PNT-P3.xls__PNT-P3.xls_XXXXX_X"/>
      <sheetName val="_NT1MC"/>
      <sheetName val="CV den ng_ai TCT (3)"/>
      <sheetName val="_PNT-P3.xls__PNT-P3.xls__PNT-P3"/>
      <sheetName val="_x000f__½"/>
      <sheetName val="M pc_x0006__CamPh_"/>
      <sheetName val="Km2_4"/>
      <sheetName val="luongt_ang12"/>
      <sheetName val="_____âO"/>
      <sheetName val="_x000c____________"/>
      <sheetName val="QD cua HDQ²__)"/>
      <sheetName val="_____âOŽ"/>
      <sheetName val="QD cua HDQ²__€)"/>
      <sheetName val="_x000f__‚ž½"/>
      <sheetName val="_x000c___x000d_"/>
      <sheetName val="_x000c___"/>
      <sheetName val="B5-TĐ"/>
      <sheetName val="giaihe_x0005_"/>
      <sheetName val="gìIÏÝ_x001c__x0005__x0000__x0000__x0000_턄_x0013_"/>
      <sheetName val="gìIÏÝ_x001c__x0005__x0000__x0000__x0000_뛴_x0013_"/>
      <sheetName val="DanhSachTKNNT"/>
      <sheetName val="_x0003_ha"/>
      <sheetName val="QD"/>
      <sheetName val="CV den trong toÂg"/>
      <sheetName val="KHTS_x000a_2"/>
      <sheetName val="_x000f_‚"/>
      <sheetName val="_x000f_‚_x0010_"/>
      <sheetName val="KQKDKT'04-1_x0018_[PNT-P3.xls]"/>
      <sheetName val="GS08-B.hµng_x0018_[PNT-P3.xls]pha"/>
      <sheetName val="Sheet16_x0016_[PNT-P3.xls]gia xe "/>
      <sheetName val="_x0005_!._x0001__x0001_ _x0004__x0008__x0002_"/>
      <sheetName val="Op mai276"/>
      <sheetName val="Op mai281"/>
      <sheetName val="QD_x0001_a TGD (2)"/>
      <sheetName val="Dt 2001"/>
      <sheetName val="_x0000__x0000_"/>
      <sheetName val="??di trong  tong"/>
      <sheetName val="CDKTKD2002"/>
      <sheetName val="DN02"/>
      <sheetName val="_x000c__x0000__x0000__x0000__x0000__x0000__x0000__x0000__x0006__x0000_"/>
      <sheetName val="?撕攕獽?-BLDG"/>
      <sheetName val="56"/>
      <sheetName val="Tinh "/>
      <sheetName val="tlðm190337,8"/>
      <sheetName val="chie?_x0000__x0000__x0000_?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 refreshError="1"/>
      <sheetData sheetId="489"/>
      <sheetData sheetId="490"/>
      <sheetData sheetId="49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/>
      <sheetData sheetId="696" refreshError="1"/>
      <sheetData sheetId="697" refreshError="1"/>
      <sheetData sheetId="698" refreshError="1"/>
      <sheetData sheetId="699" refreshError="1"/>
      <sheetData sheetId="700"/>
      <sheetData sheetId="701" refreshError="1"/>
      <sheetData sheetId="702"/>
      <sheetData sheetId="703" refreshError="1"/>
      <sheetData sheetId="704" refreshError="1"/>
      <sheetData sheetId="705"/>
      <sheetData sheetId="706"/>
      <sheetData sheetId="707" refreshError="1"/>
      <sheetData sheetId="708" refreshError="1"/>
      <sheetData sheetId="709"/>
      <sheetData sheetId="710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/>
      <sheetData sheetId="801" refreshError="1"/>
      <sheetData sheetId="802" refreshError="1"/>
      <sheetData sheetId="803"/>
      <sheetData sheetId="804"/>
      <sheetData sheetId="805"/>
      <sheetData sheetId="806" refreshError="1"/>
      <sheetData sheetId="807" refreshError="1"/>
      <sheetData sheetId="808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/>
      <sheetData sheetId="1028" refreshError="1"/>
      <sheetData sheetId="1029" refreshError="1"/>
      <sheetData sheetId="1030" refreshError="1"/>
      <sheetData sheetId="1031"/>
      <sheetData sheetId="1032" refreshError="1"/>
      <sheetData sheetId="1033" refreshError="1"/>
      <sheetData sheetId="1034"/>
      <sheetData sheetId="1035"/>
      <sheetData sheetId="1036"/>
      <sheetData sheetId="1037" refreshError="1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/>
      <sheetData sheetId="1133"/>
      <sheetData sheetId="1134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/>
      <sheetData sheetId="1142" refreshError="1"/>
      <sheetData sheetId="1143" refreshError="1"/>
      <sheetData sheetId="1144" refreshError="1"/>
      <sheetData sheetId="1145" refreshError="1"/>
      <sheetData sheetId="1146"/>
      <sheetData sheetId="1147" refreshError="1"/>
      <sheetData sheetId="1148"/>
      <sheetData sheetId="1149" refreshError="1"/>
      <sheetData sheetId="1150"/>
      <sheetData sheetId="1151"/>
      <sheetData sheetId="1152"/>
      <sheetData sheetId="1153" refreshError="1"/>
      <sheetData sheetId="1154" refreshError="1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 refreshError="1"/>
      <sheetData sheetId="1181" refreshError="1"/>
      <sheetData sheetId="1182" refreshError="1"/>
      <sheetData sheetId="1183" refreshError="1"/>
      <sheetData sheetId="1184"/>
      <sheetData sheetId="1185" refreshError="1"/>
      <sheetData sheetId="1186"/>
      <sheetData sheetId="1187" refreshError="1"/>
      <sheetData sheetId="1188"/>
      <sheetData sheetId="1189"/>
      <sheetData sheetId="1190"/>
      <sheetData sheetId="1191" refreshError="1"/>
      <sheetData sheetId="1192" refreshError="1"/>
      <sheetData sheetId="1193" refreshError="1"/>
      <sheetData sheetId="1194" refreshError="1"/>
      <sheetData sheetId="1195"/>
      <sheetData sheetId="1196"/>
      <sheetData sheetId="1197"/>
      <sheetData sheetId="1198"/>
      <sheetData sheetId="1199"/>
      <sheetData sheetId="1200" refreshError="1"/>
      <sheetData sheetId="1201" refreshError="1"/>
      <sheetData sheetId="1202"/>
      <sheetData sheetId="1203"/>
      <sheetData sheetId="1204"/>
      <sheetData sheetId="1205"/>
      <sheetData sheetId="1206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/>
      <sheetData sheetId="1214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/>
      <sheetData sheetId="1234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 refreshError="1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 refreshError="1"/>
      <sheetData sheetId="1253" refreshError="1"/>
      <sheetData sheetId="1254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 refreshError="1"/>
      <sheetData sheetId="1270" refreshError="1"/>
      <sheetData sheetId="127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 refreshError="1"/>
      <sheetData sheetId="1335" refreshError="1"/>
      <sheetData sheetId="1336"/>
      <sheetData sheetId="1337"/>
      <sheetData sheetId="1338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 refreshError="1"/>
      <sheetData sheetId="1361" refreshError="1"/>
      <sheetData sheetId="1362"/>
      <sheetData sheetId="1363" refreshError="1"/>
      <sheetData sheetId="1364" refreshError="1"/>
      <sheetData sheetId="1365"/>
      <sheetData sheetId="1366"/>
      <sheetData sheetId="1367"/>
      <sheetData sheetId="1368"/>
      <sheetData sheetId="1369"/>
      <sheetData sheetId="1370" refreshError="1"/>
      <sheetData sheetId="1371" refreshError="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/>
      <sheetData sheetId="1409"/>
      <sheetData sheetId="1410" refreshError="1"/>
      <sheetData sheetId="141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 refreshError="1"/>
      <sheetData sheetId="14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Op"/>
      <sheetName val="gia x"/>
      <sheetName val="⁋㌱Ա"/>
      <sheetName val="bÑi_x0003_"/>
      <sheetName val="_x000f_"/>
      <sheetName val="M pc_x0006_"/>
      <sheetName val="chieud_x0005_"/>
      <sheetName val="Op mai 2_x000c_"/>
      <sheetName val="Cong ban 1,5„—_x0013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/>
      <sheetData sheetId="696" refreshError="1"/>
      <sheetData sheetId="697"/>
      <sheetData sheetId="698"/>
      <sheetData sheetId="699" refreshError="1"/>
      <sheetData sheetId="700" refreshError="1"/>
      <sheetData sheetId="701"/>
      <sheetData sheetId="702"/>
      <sheetData sheetId="703" refreshError="1"/>
      <sheetData sheetId="704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Op"/>
      <sheetName val="gia x"/>
      <sheetName val="⁋㌱Ա"/>
      <sheetName val="XXXXX_XX"/>
      <sheetName val="QD cua "/>
      <sheetName val="_x000c__x0000__x0000__x0000__x0000__x0000__x0000__x0000__x000d__x0000__x0000__x0000_"/>
      <sheetName val="_x0000__x000f__x0000__x0000__x0000_‚ž½"/>
      <sheetName val="Temp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DC2@ï4"/>
      <sheetName val="T[ 131"/>
      <sheetName val="TDT-TB?"/>
      <sheetName val="I_x0005__x0000__x0000_"/>
      <sheetName val="GS08)B.hµng"/>
      <sheetName val="QUY IV _x0005__x0000_"/>
      <sheetName val="Cong baj 2x1,5"/>
      <sheetName val="CDKTJT03"/>
      <sheetName val="Tong hnp QL47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tuong"/>
      <sheetName val="Ho la "/>
      <sheetName val="chie԰_x0000__x0000__x0000_Ȁ_x0000_"/>
      <sheetName val="S2_x0000__x0000_1"/>
      <sheetName val="t01.06"/>
      <sheetName val="bÑi_x0003_"/>
      <sheetName val="_x000f_"/>
      <sheetName val="M pc_x0006_"/>
      <sheetName val="nghi dinhmCP"/>
      <sheetName val="CVpden trong tong"/>
      <sheetName val="5 nam (tach) x2)"/>
      <sheetName val="_x0014_M01"/>
      <sheetName val="QD cua HDQ²_x0000__x0000_)"/>
      <sheetName val="_x0000__x000d__x0000__x0000__x0000_âOŽ"/>
      <sheetName val="P210-TP20"/>
      <sheetName val="CB32"/>
      <sheetName val="CTT NuiC_x000f_eo"/>
      <sheetName val="Km280 ? Km281"/>
      <sheetName val="Kluo-_x0008_ phu"/>
      <sheetName val="QD cua HDQ²_x0000__x0000_€)"/>
      <sheetName val="tt chu don"/>
      <sheetName val="nam2004"/>
      <sheetName val="Dhp+d"/>
      <sheetName val="DC0#"/>
      <sheetName val="_x000f_p m!i 284"/>
      <sheetName val="AA"/>
      <sheetName val="PNT_QUO"/>
      <sheetName val="PNghiÖm VL"/>
      <sheetName val="DGþ"/>
      <sheetName val="chieud"/>
      <sheetName val="Tong hop ၑL48 - 2"/>
      <sheetName val="_x0000__x000a__x0000__x0000__x0000_âO"/>
      <sheetName val="_x0000__x000f__x0000__x0000__x0000__x0005__x0000__x0000_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DG("/>
      <sheetName val="TK33313"/>
      <sheetName val="UK 911"/>
      <sheetName val="CEPS1"/>
      <sheetName val="Km285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_PNT-P3.xlsѝKQKDKT'04-1"/>
      <sheetName val="CV den trong to_g"/>
      <sheetName val="_0000000"/>
      <sheetName val="__-BLDG"/>
      <sheetName val="K_284"/>
      <sheetName val="_ong hop QL48 - 2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luongt"/>
      <sheetName val="???"/>
      <sheetName val="Cong ban _x0000_ _x0000__x0004__x0000__x0003_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Èoasen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Cong ban_x0009__x0000__x0009__x0000__x0004__x0000__x0003_"/>
      <sheetName val="t"/>
      <sheetName val="CV den"/>
      <sheetName val="Cong ban "/>
      <sheetName val="xdcb_01-2003"/>
      <sheetName val="KQKD02-2_(2)"/>
      <sheetName val="KQKD-2_(2)"/>
      <sheetName val="KQKD_thu2004"/>
      <sheetName val="GS03-thu_TGNH"/>
      <sheetName val="GS04-chi_TGNH"/>
      <sheetName val="GS06-X_kho"/>
      <sheetName val="GS08-B_hµng"/>
      <sheetName val="GS09-k_c_VAT_DV"/>
      <sheetName val="GS10-lai_tien_vay"/>
      <sheetName val="GS11-_tÝnh_KHTSC§"/>
      <sheetName val="tong_hop"/>
      <sheetName val="phan_tich_DG"/>
      <sheetName val="gia_vat_lieu"/>
      <sheetName val="gia_xe_may"/>
      <sheetName val="gia_nhan_cong"/>
      <sheetName val="CV_den_trong_to聮g"/>
      <sheetName val="Cong_cu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Cot_thep"/>
      <sheetName val="Tong_hop_(2)"/>
      <sheetName val="Km274_-_Km275"/>
      <sheetName val="Km275_-_Km276"/>
      <sheetName val="Km276_-_Km277"/>
      <sheetName val="Km277_-_Km278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Op_mai"/>
      <sheetName val="Km277_-_Km278_"/>
      <sheetName val="Tong_hop_Matduong"/>
      <sheetName val="Kluong_phu"/>
      <sheetName val="Lan_can"/>
      <sheetName val="Ho_lan"/>
      <sheetName val="Coc_tieu"/>
      <sheetName val="Bien_bao"/>
      <sheetName val="kl_m_m_d"/>
      <sheetName val="kl_vt_tho"/>
      <sheetName val="kl_dat"/>
      <sheetName val="xin_kinh_phi"/>
      <sheetName val="lan_trai"/>
      <sheetName val="thuoc_no"/>
      <sheetName val="so_thuc_pham"/>
      <sheetName val="FORM_hc"/>
      <sheetName val="FORM_pc"/>
      <sheetName val="Oð_mai_279"/>
      <sheetName val="XN_1"/>
      <sheetName val="CT_XN1"/>
      <sheetName val="CT_XNCK"/>
      <sheetName val="S_hai"/>
      <sheetName val="CT_N02"/>
      <sheetName val="C_Sap_CT3"/>
      <sheetName val="CT_Csap_CT3"/>
      <sheetName val="Quan_trac"/>
      <sheetName val="CS_LB"/>
      <sheetName val="88_HBT"/>
      <sheetName val="CT_69II"/>
      <sheetName val="37_HV"/>
      <sheetName val="CT_VPCP_6tang"/>
      <sheetName val="Son_nha_kinh_VPCP"/>
      <sheetName val="CT_VPCP_son"/>
      <sheetName val="CT_HMVPCP"/>
      <sheetName val="mau_kiem_ke"/>
      <sheetName val="quyet_toan_HD_2000"/>
      <sheetName val="quyet_toan_hoa_don_2001"/>
      <sheetName val="kiem_ke_hoa_don_2001"/>
      <sheetName val="QUY_III_02"/>
      <sheetName val="QUY_IV_02"/>
      <sheetName val="QUYET_TOAN_02"/>
      <sheetName val="Xaylap_"/>
      <sheetName val="Nhan_cong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xnt_1_CP"/>
      <sheetName val="xnt_2_cp"/>
      <sheetName val="xnt_3_CP"/>
      <sheetName val="xnt_4_CP"/>
      <sheetName val="BC_tuan1"/>
      <sheetName val="BC_tuan2"/>
      <sheetName val="BC_tuan3"/>
      <sheetName val="BC_tuan4"/>
      <sheetName val="DSo_NVBH"/>
      <sheetName val="Km27'_-_Km278"/>
      <sheetName val="Cong_ban_1,5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0000000"/>
      <sheetName val="Thang10-2002_"/>
      <sheetName val="Sheet1_(3)"/>
      <sheetName val="XLÇoppy"/>
      <sheetName val="Bao_cao_KQTH_quy_hoach_135"/>
      <sheetName val="ct_luong_"/>
      <sheetName val="Nhap_6T"/>
      <sheetName val="baocaochinh(qui1_05)_(DC)"/>
      <sheetName val="Ctuluongq_1_05"/>
      <sheetName val="BANG_PHAN_BO_qui1_05(DC)"/>
      <sheetName val="BANG_PHAN_BO_quiII_05"/>
      <sheetName val="bao_cac_cinh_Qui_II-2005"/>
      <sheetName val="BAO_CAO_AN"/>
      <sheetName val="T331"/>
      <sheetName val="Khac_DP"/>
      <sheetName val="Khoi_than_"/>
      <sheetName val="Km283_-_Jm284"/>
      <sheetName val="cocB40_5B"/>
      <sheetName val="cocD50_9A"/>
      <sheetName val="cocD75_16"/>
      <sheetName val="coc_B80_TD25"/>
      <sheetName val="P27_B80"/>
      <sheetName val="Coc23_B80"/>
      <sheetName val="cong_B80_C4"/>
      <sheetName val="O0_mai_279"/>
      <sheetName val="Opmai_280"/>
      <sheetName val="Op_mai_28"/>
      <sheetName val="5_nam_(tac`)_(2)"/>
      <sheetName val="D%o_nai"/>
      <sheetName val="CTT_cao_so_"/>
      <sheetName val="XNxlva_sxdhanKCII"/>
      <sheetName val="CTxay_lap_mo_C"/>
      <sheetName val="Song_ban_0,7x0,7"/>
      <sheetName val="Cong_ban_0,8x_,8"/>
      <sheetName val="Khach_iang_le_"/>
      <sheetName val="[PNT-P3_xlsѝKQKDKT'04-1"/>
      <sheetName val="Du_tnan_chi_tiet_coc_nuoc"/>
      <sheetName val="TNghiÖ-_VL"/>
      <sheetName val="So_lieu"/>
      <sheetName val="tt_chu_dong"/>
      <sheetName val="Tinh_j+cvi"/>
      <sheetName val="Tinh_MoP"/>
      <sheetName val="giai_he_2"/>
      <sheetName val="TL33-13_14"/>
      <sheetName val="TL033_,2,4"/>
      <sheetName val="TL_0331,2"/>
      <sheetName val="Lap_®at_®hÖn"/>
      <sheetName val="[PNT-P3_xlsUTong_hop_(2)"/>
      <sheetName val="Km276_-_Ke277"/>
      <sheetName val="[PNT-P3_xlsUKm279_-_Km280"/>
      <sheetName val="7000_000"/>
      <sheetName val="XNxlva_sxthanKCIÉ"/>
      <sheetName val="K43+0_00_-_338_Trai"/>
      <sheetName val="Tong_(op"/>
      <sheetName val="Coc_4ieu"/>
      <sheetName val="gìIÏÝÃç¾{è"/>
      <sheetName val="ESTI_"/>
      <sheetName val="CV_den_trong_to?g"/>
      <sheetName val="Don_gia"/>
      <sheetName val="Nhap_du_lieu"/>
      <sheetName val="ၔong_hop_QL48_-_2"/>
      <sheetName val="Mp_mai_275"/>
      <sheetName val="Ton_31_1"/>
      <sheetName val="NhapT_2"/>
      <sheetName val="Xuat_T_2"/>
      <sheetName val="Ton_28_2"/>
      <sheetName val="H_Tra"/>
      <sheetName val="Hang_CTY_TRA_LAI"/>
      <sheetName val="Hang_NV_Tra_Lai"/>
      <sheetName val="TNghiªm_T_"/>
      <sheetName val="tt-BA"/>
      <sheetName val="TD"/>
      <sheetName val="_12"/>
      <sheetName val="QD_c5a_HDQT_(2)"/>
      <sheetName val="hart1"/>
      <sheetName val="mua_vao"/>
      <sheetName val="chi_phi_"/>
      <sheetName val="ban_ra_10%"/>
      <sheetName val="Ban_pha_2"/>
      <sheetName val="luong_phu"/>
      <sheetName val="gìIÏÝ齘龜ꗃ〒"/>
      <sheetName val="Op_mai_2"/>
      <sheetName val="bÑi²r"/>
      <sheetName val="k,_vt_tho"/>
      <sheetName val="Km77_"/>
      <sheetName val="K-280_-_Km281"/>
      <sheetName val="Km280_࠭_Km281"/>
      <sheetName val="½"/>
      <sheetName val="M_pcCamPh"/>
      <sheetName val="Cong_ban_1,5„—"/>
      <sheetName val="Xa9lap_"/>
      <sheetName val="So_TSCD"/>
      <sheetName val="Bang_phan_bo_KH_TSCD"/>
      <sheetName val="The_TSCD"/>
      <sheetName val="BTH-_P_Chi_"/>
      <sheetName val="BTH_NVL"/>
      <sheetName val="NK_SO_CAI"/>
      <sheetName val="The_tinh_Z"/>
      <sheetName val="So_CFSXKD"/>
      <sheetName val="So_TGNH_2002"/>
      <sheetName val="So_quy_TM_2002"/>
      <sheetName val="SCT_NVL"/>
      <sheetName val="SCT_TK_131"/>
      <sheetName val="So_theo_doi_thue_GTGT_2002"/>
      <sheetName val="BTH-_P_Thu"/>
      <sheetName val="LV_®at_®iÖn"/>
      <sheetName val="Cong_ban_0,7p0,7"/>
      <sheetName val="Km275_-_Ke276"/>
      <sheetName val="Km280_-_Km2(1"/>
      <sheetName val="Km282_-_Kl283"/>
      <sheetName val="Tong_hop_Op_m!i"/>
      <sheetName val="K_O"/>
      <sheetName val="xang__clc"/>
      <sheetName val="Thang_07"/>
      <sheetName val="Giao_nhie-_vu"/>
      <sheetName val="Diem_mon_hoc"/>
      <sheetName val="Tong_hop_diem"/>
      <sheetName val="HoTen-khong_duoc_xoa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Giao_nhiem_fu"/>
      <sheetName val="QDcea_TGD_(2)"/>
      <sheetName val="For_Summary"/>
      <sheetName val="For_Summary(KG)"/>
      <sheetName val="PP_Cloth"/>
      <sheetName val="Mix-PP_Cloth"/>
      <sheetName val="Material_Price-PP"/>
      <sheetName val="har"/>
      <sheetName val="VÃt_liÖu"/>
      <sheetName val="CVden_nw8ai_TCT_(1)"/>
      <sheetName val="gia_x_may"/>
      <sheetName val="FORM_jc"/>
      <sheetName val="?ong_hop_QL48_-_2"/>
      <sheetName val="Giao_nhÿÿÿÿvu"/>
      <sheetName val="⁋㌱Ա䭔㌱س䭔ㄠㄴ牴湯⁧琠湯౧杮楨搠湩⵨偃匀敨瑥"/>
      <sheetName val="Cac_cang_UT_mua_thal_Dong_bac"/>
      <sheetName val="CV_di_ngoai_to~g"/>
      <sheetName val="CT_XF1"/>
      <sheetName val="DG_"/>
      <sheetName val="GS11-_tÝnh_KHSC§"/>
      <sheetName val="gia_x"/>
      <sheetName val="2.withQSXK"/>
      <sheetName val="Gia"/>
      <sheetName val="_x0000_ _x0000__x0000__x0000_âO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chieud_x0005_"/>
      <sheetName val="Op mai 2_x000c_"/>
      <sheetName val="Cong ban 1,5„—_x0013_"/>
      <sheetName val="Opmai 280"/>
      <sheetName val="M pc_x0006_CamPh"/>
      <sheetName val="gia x may"/>
      <sheetName val="_x000c__x000d_"/>
      <sheetName val="_x000f_‚ž½"/>
      <sheetName val="I_x0005_"/>
      <sheetName val="QUY IV _x0005_"/>
      <sheetName val="_x000d_â_x0005_"/>
      <sheetName val="co_x0005_"/>
      <sheetName val="_x000d_âOŽ"/>
      <sheetName val="_x000a_âO"/>
      <sheetName val="_x000f__x0005_"/>
      <sheetName val="_x000c__x000a_"/>
      <sheetName val="_x000a_âOŽ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f_‚眨,"/>
      <sheetName val="_x000f_‚禈."/>
      <sheetName val="_x000f_‚稸1"/>
      <sheetName val="_x000c__x000d_Õ"/>
      <sheetName val="_x000f_䠀᡿谀᡿︀"/>
      <sheetName val="t1-01"/>
      <sheetName val="CV dentrong tong"/>
      <sheetName val="_x000a_âO԰"/>
      <sheetName val="Cong ban  _x0004__x0003_"/>
      <sheetName val="_x000f_‚嫌_x001a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/>
      <sheetData sheetId="698" refreshError="1"/>
      <sheetData sheetId="699"/>
      <sheetData sheetId="700" refreshError="1"/>
      <sheetData sheetId="701" refreshError="1"/>
      <sheetData sheetId="702"/>
      <sheetData sheetId="703" refreshError="1"/>
      <sheetData sheetId="704"/>
      <sheetData sheetId="705"/>
      <sheetData sheetId="706" refreshError="1"/>
      <sheetData sheetId="707" refreshError="1"/>
      <sheetData sheetId="708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/>
      <sheetData sheetId="1130" refreshError="1"/>
      <sheetData sheetId="1131" refreshError="1"/>
      <sheetData sheetId="1132" refreshError="1"/>
      <sheetData sheetId="1133" refreshError="1"/>
      <sheetData sheetId="1134"/>
      <sheetData sheetId="1135" refreshError="1"/>
      <sheetData sheetId="1136"/>
      <sheetData sheetId="1137" refreshError="1"/>
      <sheetData sheetId="1138"/>
      <sheetData sheetId="1139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/>
      <sheetData sheetId="1175" refreshError="1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 refreshError="1"/>
      <sheetData sheetId="1205"/>
      <sheetData sheetId="1206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/>
      <sheetData sheetId="1491"/>
      <sheetData sheetId="1492" refreshError="1"/>
      <sheetData sheetId="1493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1"/>
      <sheetName val="3.NN"/>
      <sheetName val="4NN "/>
      <sheetName val="5. NN"/>
      <sheetName val="1.1 SB CHN 2021"/>
      <sheetName val="VĐ"/>
      <sheetName val="Lua_4 vu"/>
      <sheetName val="sb 2021"/>
      <sheetName val="Tinh"/>
      <sheetName val="TH"/>
      <sheetName val="1"/>
      <sheetName val="2"/>
      <sheetName val="4"/>
      <sheetName val="6"/>
      <sheetName val="8"/>
      <sheetName val="10"/>
      <sheetName val="11"/>
      <sheetName val="12"/>
      <sheetName val="14"/>
      <sheetName val="15"/>
      <sheetName val="17"/>
      <sheetName val="19"/>
      <sheetName val="20"/>
      <sheetName val="22"/>
      <sheetName val="24"/>
      <sheetName val="25"/>
      <sheetName val="26"/>
      <sheetName val="27"/>
      <sheetName val="30"/>
      <sheetName val="31"/>
      <sheetName val="33"/>
      <sheetName val="34"/>
      <sheetName val="35"/>
      <sheetName val="36"/>
      <sheetName val="37"/>
      <sheetName val="38"/>
      <sheetName val="40"/>
      <sheetName val="42"/>
      <sheetName val="44"/>
      <sheetName val="45"/>
      <sheetName val="46"/>
      <sheetName val="48"/>
      <sheetName val="49"/>
      <sheetName val="51"/>
      <sheetName val="52"/>
      <sheetName val="54"/>
      <sheetName val="56"/>
      <sheetName val="58"/>
      <sheetName val="60"/>
      <sheetName val="62"/>
      <sheetName val="64"/>
      <sheetName val="66"/>
      <sheetName val="67"/>
      <sheetName val="68"/>
      <sheetName val="70"/>
      <sheetName val="72"/>
      <sheetName val="74"/>
      <sheetName val="75"/>
      <sheetName val="77"/>
      <sheetName val="79"/>
      <sheetName val="80"/>
      <sheetName val="82"/>
      <sheetName val="83"/>
      <sheetName val="84"/>
      <sheetName val="86"/>
      <sheetName val="87"/>
      <sheetName val="89"/>
      <sheetName val="91"/>
      <sheetName val="92"/>
      <sheetName val="93"/>
      <sheetName val="94"/>
      <sheetName val="95"/>
      <sheetName val="9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  <sheetName val="DATA"/>
      <sheetName val="CH"/>
      <sheetName val="LN"/>
      <sheetName val="TONGHOP"/>
      <sheetName val="GHI CHU"/>
      <sheetName val="MTL$-PRODTANO-AG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Sheet1"/>
      <sheetName val="Sheet2"/>
      <sheetName val="Sheet3"/>
      <sheetName val="Sheet4"/>
      <sheetName val="Sheet5"/>
      <sheetName val="CN"/>
      <sheetName val="Capphoivua"/>
      <sheetName val="Gia VL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NC10"/>
      <sheetName val="VL10"/>
      <sheetName val="CFmay10"/>
      <sheetName val="627(10)"/>
      <sheetName val="T1"/>
      <sheetName val="TH du toan "/>
      <sheetName val="Du toan "/>
      <sheetName val="C.Tinh"/>
      <sheetName val="TK_cap"/>
      <sheetName val="MTO REV.2(ARMOR)"/>
      <sheetName val="Bang gia ca may"/>
      <sheetName val="Bang luong CB"/>
      <sheetName val="Bang P.tich CT"/>
      <sheetName val="D.toan chi tiet"/>
      <sheetName val="Bang TH Dtoan"/>
      <sheetName val="XXXXXXXX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KL DUONG DC L = 90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ong hop"/>
      <sheetName val="phan tich DG"/>
      <sheetName val="gia vat lieu"/>
      <sheetName val="gia xe may"/>
      <sheetName val="gia nhan cong"/>
      <sheetName val="XL4Test5"/>
      <sheetName val="Sua (2)"/>
      <sheetName val="Sua"/>
      <sheetName val="DGKSDA"/>
      <sheetName val="TH_BVTC"/>
      <sheetName val="BVTC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MTL__INTER"/>
      <sheetName val="PC"/>
      <sheetName val="Ph-Thu"/>
      <sheetName val="Ph-Thu (2)"/>
      <sheetName val="PC (2)"/>
      <sheetName val="Chart2"/>
      <sheetName val="PC (3)"/>
      <sheetName val="DTCT"/>
      <sheetName val="PTVT"/>
      <sheetName val="THDT"/>
      <sheetName val="THVT"/>
      <sheetName val="THGT"/>
      <sheetName val="TongHopSuaLoé"/>
      <sheetName val="Bang ke chi tiet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ang TH Dtman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Phieu cao do K95"/>
      <sheetName val="Lop 1 K98"/>
      <sheetName val="KTQT-AFC"/>
      <sheetName val="KTQT-KH"/>
      <sheetName val="CLDG"/>
      <sheetName val="CLKL"/>
      <sheetName val="Bang du toan"/>
      <sheetName val="Bu gia"/>
      <sheetName val="PT vat tu"/>
      <sheetName val="DT"/>
      <sheetName val="CP"/>
      <sheetName val="BCT6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tuၡn"/>
      <sheetName val="km345+400-km345+500 (6'-"/>
      <sheetName val="T9"/>
      <sheetName val="T6"/>
      <sheetName val="T3"/>
      <sheetName val="T10"/>
      <sheetName val="T2"/>
      <sheetName val="SD0"/>
      <sheetName val="KL DUONG DC L_x0004_Í"/>
      <sheetName val="Y_x0004_ÏY_x0004_ÐY_x0004_ÑY_x0004_"/>
      <sheetName val="Y_x0004_ÝY_x0004_ÞY_x0004_ßY_x0004_"/>
      <sheetName val="Y_x0004_éY_x0004_êY_x0004_ëY_x0004_"/>
      <sheetName val="Y_x0004_õY_x0004_öY_x0004_÷Y_x0004_"/>
      <sheetName val="_x0001_Y_x0004__x0001__x0001_Y_x0004__x0002__x0001_Y_x0004__x0003__x0001_Y_x0004_"/>
      <sheetName val="_x0001_Y_x0004__x000d__x0001_Y_x0004__x000e__x0001_Y_x0004__x000f__x0001_Y_x0004_"/>
      <sheetName val="_x0001_Y_x0004__x0019__x0001_Y_x0004__x001a__x0001_Y_x0004__x001b__x0001_Y_x0004_"/>
      <sheetName val="_x0001_Y_x0004_&amp;_x0001_Y_x0004_'_x0001_Y_x0004_(_x0001_Y_x0004_"/>
      <sheetName val="_x0001_Y_x0004_2_x0001_Y_x0004_3_x0001_Y_x0004_4_x0001_Y_x0004_"/>
      <sheetName val="_x0001_Y_x0004_&gt;_x0001_Y_x0004_?_x0001_Y_x0004_@_x0001_Y_x0004_"/>
      <sheetName val="_x0001_Y_x0004_J_x0001_Y_x0004_K_x0001_Y_x0004_L_x0001_Y_x0004_"/>
      <sheetName val="Co quan TCT"/>
      <sheetName val="BOT"/>
      <sheetName val="BOT (PA chon)"/>
      <sheetName val="Yaly &amp; Ri Ninh"/>
      <sheetName val="Thuy dien Na Loi"/>
      <sheetName val="mau c47"/>
      <sheetName val="km337+136-ki337-35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hang 1"/>
      <sheetName val="Thang 10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uong con' vu hcm (6)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ccvo12q405   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1380"/>
      <sheetName val="1381"/>
      <sheetName val="1382"/>
      <sheetName val="1383"/>
      <sheetName val="1384"/>
      <sheetName val="1385"/>
      <sheetName val="1387"/>
      <sheetName val="138"/>
      <sheetName val="141"/>
      <sheetName val="311-1"/>
      <sheetName val="3112"/>
      <sheetName val="3113"/>
      <sheetName val="3881-dl"/>
      <sheetName val="3882"/>
      <sheetName val="3881"/>
      <sheetName val="131-2"/>
      <sheetName val="1386"/>
      <sheetName val="131-1"/>
      <sheetName val="3882-l"/>
      <sheetName val="Giao"/>
      <sheetName val="CHIET TINH"/>
      <sheetName val="Bang Gia VL"/>
      <sheetName val="Tong Hop KP"/>
      <sheetName val=" DON GIA"/>
      <sheetName val="CHIET TINH THEO KH.SAT"/>
      <sheetName val="Con NCS thu"/>
      <sheetName val="BHCond_Batch"/>
      <sheetName val="KHTT"/>
      <sheetName val="KHCBthan"/>
      <sheetName val="KHTTthan"/>
      <sheetName val="KHPC"/>
      <sheetName val="KHPCthan"/>
      <sheetName val="BC tån kho than"/>
      <sheetName val="KHPCthan2002"/>
      <sheetName val="VCTT"/>
      <sheetName val="VCTh"/>
      <sheetName val="143"/>
      <sheetName val="161"/>
      <sheetName val="162"/>
      <sheetName val="163"/>
      <sheetName val="164"/>
      <sheetName val="171"/>
      <sheetName val="172"/>
      <sheetName val="310"/>
      <sheetName val="320"/>
      <sheetName val="330"/>
      <sheetName val="360"/>
      <sheetName val="410"/>
      <sheetName val="420"/>
      <sheetName val="500"/>
      <sheetName val="GIAO TBI"/>
      <sheetName val="20000000"/>
      <sheetName val="BKmua vao"/>
      <sheetName val="BKBan ra"/>
      <sheetName val="BCsudunghd"/>
      <sheetName val="TOkhaithue"/>
      <sheetName val="MTL$-JDTTY"/>
      <sheetName val="A6"/>
      <sheetName val="5 nam (tach)"/>
      <sheetName val="5 nam (tach) (2)"/>
      <sheetName val="KH 2003"/>
      <sheetName val="shorequant"/>
      <sheetName val="MV06"/>
      <sheetName val="BR06"/>
      <sheetName val="TH06"/>
      <sheetName val="TL10PH"/>
      <sheetName val="bth "/>
      <sheetName val="Khoan"/>
      <sheetName val="cvc"/>
      <sheetName val="bcl "/>
      <sheetName val="6 T-2003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BIABAO"/>
      <sheetName val="PHAN TICH VAT TU NGANG"/>
      <sheetName val="BANG DU TOAN DRC"/>
      <sheetName val="DIEN GIAI TIEN LUONG"/>
      <sheetName val="TONGKET"/>
      <sheetName val="TMINH"/>
      <sheetName val="CHIET TINH DON GIA"/>
      <sheetName val="KHOILUONG"/>
      <sheetName val="THIETBI"/>
      <sheetName val="PHAN TICH VAT TU THEO NHOM"/>
      <sheetName val="TONG HOP NHAN CONG"/>
      <sheetName val="TONG HOP CA MAY"/>
      <sheetName val="DON GIA TONG HOP"/>
      <sheetName val="DIEN GIAI CPSX"/>
      <sheetName val="BANG GIA DU TOAN THUY LOI"/>
      <sheetName val="DON GIA TONG HOP THUY LOI"/>
      <sheetName val="BANG GIA DAU THAU"/>
      <sheetName val="DIEN GIAI TIEN LUONG DRC"/>
      <sheetName val="BANG GIA DEN CHAN CT"/>
      <sheetName val="BANG BU VAN CHUYEN"/>
      <sheetName val="CHI PHI CA MAY"/>
      <sheetName val="CHI PHI NHAN CONG"/>
      <sheetName val="PHAN TICH DGCT"/>
      <sheetName val="PHAN TICH DGCT TP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LEGEND"/>
      <sheetName val="Outlets"/>
      <sheetName val="PGs"/>
      <sheetName val="KHo152"/>
      <sheetName val="Kho153"/>
      <sheetName val="Bia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BKNHAP"/>
      <sheetName val="BKX"/>
      <sheetName val="MSVT"/>
      <sheetName val="MSSP"/>
      <sheetName val="§V"/>
      <sheetName val="N-X -T"/>
      <sheetName val="ESTI."/>
      <sheetName val="DI-ESTI"/>
      <sheetName val="Lists"/>
      <sheetName val="bang tinh chi phi KSSB"/>
      <sheetName val="bang ke khoi luong"/>
      <sheetName val="bang tinh don gia khao sat"/>
      <sheetName val="bu nha cong"/>
      <sheetName val="phu cap"/>
      <sheetName val="bang luong"/>
      <sheetName val="bangtinhchiphi"/>
      <sheetName val="VC-bocdo"/>
      <sheetName val="Chiettinh"/>
      <sheetName val="Chiphi"/>
      <sheetName val="T-nghiem"/>
      <sheetName val="T.hop-TN"/>
      <sheetName val="TH-DIEN"/>
      <sheetName val="KS-Thietke"/>
      <sheetName val="Vattu-tuphan"/>
      <sheetName val="Pbtru-trungthe"/>
      <sheetName val="PBcapABC"/>
      <sheetName val="vtthop"/>
      <sheetName val="BangTTKLQIV2000"/>
      <sheetName val="THTKnam 2000"/>
      <sheetName val="Kho than 9 thang"/>
      <sheetName val="KLQIII"/>
      <sheetName val="KL6thang"/>
      <sheetName val="KLQIV"/>
      <sheetName val="KL2000"/>
      <sheetName val="Kho gach 9 thang"/>
      <sheetName val="Kho gach2000"/>
      <sheetName val="BM moiBC2000"/>
      <sheetName val="KLQI2001"/>
      <sheetName val="KLQII2001"/>
      <sheetName val="BC ton kho than QI2001"/>
      <sheetName val="TonkhoQII"/>
      <sheetName val="THTon khoQ1&amp;GC"/>
      <sheetName val="TH ton kho 6 thang"/>
      <sheetName val="KL6 thang"/>
      <sheetName val="TKho QIV2000"/>
      <sheetName val="Ton kho 6 thang 2001"/>
      <sheetName val="KL QIV2001"/>
      <sheetName val="KL QI 2002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km342+500-km342+690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Mÿÿ$-PRODÿÿÿÿ-UG"/>
      <sheetName val="MTL$-PÿÿDTANK-AG"/>
      <sheetName val="Thong so chinh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aung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4 VT SAU"/>
      <sheetName val="74TN"/>
      <sheetName val="108 NG TRAI"/>
      <sheetName val="68A QTRUNG"/>
      <sheetName val="HT QUAY"/>
      <sheetName val="BTK TKHO"/>
      <sheetName val="818"/>
      <sheetName val="km345+661-kms45+000 (2)"/>
      <sheetName val="km338+1w6-km338+230"/>
      <sheetName val="km338+439-km388+571.x9"/>
      <sheetName val="km337+u33.60-km338 (2)"/>
      <sheetName val="km345+400-km345+5 0 (3) (2)"/>
      <sheetName val="km346+00-k_x000d_346+240 (2)"/>
      <sheetName val="k_x000d_338+60-km338+130"/>
      <sheetName val="km342+376.41- km342+52_x0010_.29"/>
      <sheetName val="km33_x0018_+571.89-km338+652"/>
      <sheetName val="km341+275-km341+35_x0010_"/>
      <sheetName val="km341+612-_x0013_41+682"/>
      <sheetName val="THChi"/>
      <sheetName val="THthu"/>
      <sheetName val="BCD"/>
      <sheetName val="111"/>
      <sheetName val="112"/>
      <sheetName val="133"/>
      <sheetName val="142"/>
      <sheetName val="152"/>
      <sheetName val="153"/>
      <sheetName val="154"/>
      <sheetName val="211"/>
      <sheetName val="214"/>
      <sheetName val="3331"/>
      <sheetName val="3334"/>
      <sheetName val="334"/>
      <sheetName val="Proj.Sum"/>
      <sheetName val="5.1TB"/>
      <sheetName val="HT1"/>
      <sheetName val="5.1"/>
      <sheetName val="HT5.1"/>
      <sheetName val="kich thuoc"/>
      <sheetName val="DTHH"/>
      <sheetName val="DTHU-T8"/>
      <sheetName val="Ch-tinh"/>
      <sheetName val="Chiet tinh dz35"/>
      <sheetName val="Quantity"/>
      <sheetName val="Trunggian"/>
      <sheetName val="Danh Sach"/>
      <sheetName val="8. Danh muc chuc danh"/>
      <sheetName val="De11A"/>
      <sheetName val="Gia vat tu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??-BLDG"/>
      <sheetName val="уровни"/>
      <sheetName val="PVGC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S"/>
      <sheetName val="DG"/>
      <sheetName val="CPTV"/>
      <sheetName val="TM"/>
      <sheetName val="Duong"/>
      <sheetName val="VLHT"/>
      <sheetName val="LT sua"/>
      <sheetName val="30000000"/>
      <sheetName val="40000000"/>
      <sheetName val="Thau"/>
      <sheetName val="Mong"/>
      <sheetName val="CT-BT"/>
      <sheetName val="bao ve"/>
      <sheetName val="doi xe"/>
      <sheetName val="lap may"/>
      <sheetName val="Co quan"/>
      <sheetName val="Xay dung"/>
      <sheetName val="ket cau"/>
      <sheetName val="luong le"/>
      <sheetName val="co khi"/>
      <sheetName val="KLQII02"/>
      <sheetName val="KL QIII02"/>
      <sheetName val="KL ca nam"/>
      <sheetName val="Bieu M4"/>
      <sheetName val="KLQ III2003"/>
      <sheetName val="KLQI2004"/>
      <sheetName val="TK 6&amp;ca nam 03"/>
      <sheetName val="Bieu M5"/>
      <sheetName val="TKQ3-04-m3a"/>
      <sheetName val="TK-Q3-04-M2A-dc,td"/>
      <sheetName val=" 2"/>
      <sheetName val="8+9"/>
      <sheetName val="15+16"/>
      <sheetName val=" 20"/>
      <sheetName val=" 21"/>
      <sheetName val=" 22+23"/>
      <sheetName val="KH23"/>
      <sheetName val=" 27"/>
      <sheetName val=" 28"/>
      <sheetName val=" "/>
      <sheetName val="TL"/>
      <sheetName val="CT"/>
      <sheetName val="GK"/>
      <sheetName val="917"/>
      <sheetName val="CB"/>
      <sheetName val="VP"/>
      <sheetName val="TQT"/>
      <sheetName val="VC"/>
      <sheetName val="VL"/>
      <sheetName val="ND"/>
      <sheetName val="411"/>
      <sheetName val="421"/>
      <sheetName val="511"/>
      <sheetName val="621"/>
      <sheetName val="622"/>
      <sheetName val="623"/>
      <sheetName val="627b"/>
      <sheetName val="_x0001_Y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_x0000_Y_x0000__x0004__x0000__x0000__x0000_é_x0000_Y_x0000__x0004__x0000__x0000__x0000_ê_x0000_Y_x0000__x0004__x0000__x0000__x0000_ë_x0000_Y_x0000__x0004__x0000__x0000__x0000_"/>
      <sheetName val="_x0000_Y_x0000__x0004__x0000__x0000__x0000_õ_x0000_Y_x0000__x0004__x0000__x0000__x0000_ö_x0000_Y_x0000__x0004__x0000__x0000__x0000_÷_x0000_Y_x0000__x0004__x0000__x0000__x0000_"/>
      <sheetName val="_x0001_Y_x0000__x0004__x0000__x0000__x0000__x0001__x0001_Y_x0000__x0004__x0000__x0000__x0000__x0002__x0001_Y_x0000__x0004__x0000__x0000__x0000__x0003__x0001_Y_x0000__x0004__x0000__x0000__x0000_"/>
      <sheetName val="_x0001_Y_x0000__x0004__x0000__x0000__x0000__x000d__x0001_Y_x0000__x0004__x0000__x0000__x0000__x000e__x0001_Y_x0000__x0004__x0000__x0000__x0000__x000f__x0001_Y_x0000__x0004__x0000__x0000__x0000_"/>
      <sheetName val="_x0001_Y_x0000__x0004__x0000__x0000__x0000__x0019__x0001_Y_x0000__x0004__x0000__x0000__x0000__x001a__x0001_Y_x0000__x0004__x0000__x0000__x0000__x001b__x0001_Y_x0000__x0004__x0000__x0000__x0000_"/>
      <sheetName val="_x0001_Y_x0000__x0004__x0000__x0000__x0000_&amp;_x0001_Y_x0000__x0004__x0000__x0000__x0000_'_x0001_Y_x0000__x0004__x0000__x0000__x0000_(_x0001_Y_x0000__x0004__x0000__x0000__x0000_"/>
      <sheetName val="_x0001_Y_x0000__x0004__x0000__x0000__x0000_2_x0001_Y_x0000__x0004__x0000__x0000__x0000_3_x0001_Y_x0000__x0004__x0000__x0000__x0000_4_x0001_Y_x0000__x0004__x0000__x0000__x0000_"/>
      <sheetName val="_x0001_Y_x0000__x0004__x0000__x0000__x0000_&gt;_x0001_Y_x0000__x0004__x0000__x0000__x0000_?_x0001_Y_x0000__x0004__x0000__x0000__x0000_@_x0001_Y_x0000__x0004__x0000__x0000__x0000_"/>
      <sheetName val="_x0001_Y_x0000__x0004__x0000__x0000__x0000_J_x0001_Y_x0000__x0004__x0000__x0000__x0000_K_x0001_Y_x0000__x0004__x0000__x0000__x0000_L_x0001_Y_x0000__x0004__x0000__x0000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eu 25b"/>
      <sheetName val="Bieu 25a"/>
      <sheetName val="00000000"/>
      <sheetName val="10000000"/>
      <sheetName val="Du_lieu"/>
      <sheetName val="THK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dg"/>
      <sheetName val="VT,NC,M"/>
      <sheetName val="dt"/>
      <sheetName val="Sheet3"/>
      <sheetName val="dt (2)"/>
      <sheetName val="XL4Poppy"/>
      <sheetName val="gia vt,nc,may"/>
      <sheetName val="THKP"/>
      <sheetName val="2.withQSXK"/>
    </sheetNames>
    <sheetDataSet>
      <sheetData sheetId="0">
        <row r="5">
          <cell r="A5" t="str">
            <v>VT</v>
          </cell>
        </row>
      </sheetData>
      <sheetData sheetId="1" refreshError="1">
        <row r="5">
          <cell r="A5" t="str">
            <v>VT</v>
          </cell>
          <cell r="D5" t="str">
            <v>M</v>
          </cell>
        </row>
        <row r="6">
          <cell r="D6" t="str">
            <v>Maùy bôm BT 50m3/h</v>
          </cell>
          <cell r="E6">
            <v>1533650.26</v>
          </cell>
        </row>
        <row r="7">
          <cell r="D7" t="str">
            <v>Maùy caåu 10T</v>
          </cell>
          <cell r="E7">
            <v>658596.77</v>
          </cell>
        </row>
        <row r="8">
          <cell r="D8" t="str">
            <v>Maùy caét uoán</v>
          </cell>
          <cell r="E8">
            <v>42574.23</v>
          </cell>
        </row>
        <row r="9">
          <cell r="D9" t="str">
            <v>Maùy haøn 15kw</v>
          </cell>
          <cell r="E9">
            <v>59577.600000000006</v>
          </cell>
        </row>
        <row r="10">
          <cell r="D10" t="str">
            <v>Maùy haøn 23Kw</v>
          </cell>
          <cell r="E10">
            <v>82751.66</v>
          </cell>
        </row>
        <row r="11">
          <cell r="D11" t="str">
            <v>Maùy khoan 4,5Kw</v>
          </cell>
          <cell r="E11">
            <v>77397.38</v>
          </cell>
        </row>
        <row r="12">
          <cell r="D12" t="str">
            <v>Maùy ñaàm baøn 1kw</v>
          </cell>
          <cell r="E12">
            <v>34801.75</v>
          </cell>
        </row>
        <row r="13">
          <cell r="D13" t="str">
            <v>Maùy ñaàm baùnh loáp 25T</v>
          </cell>
          <cell r="E13">
            <v>541046.57000000007</v>
          </cell>
        </row>
        <row r="14">
          <cell r="D14" t="str">
            <v>Maùy ñaàm coùc</v>
          </cell>
          <cell r="E14">
            <v>53681.9</v>
          </cell>
        </row>
        <row r="15">
          <cell r="D15" t="str">
            <v>Maùy ñaàm duøi 1,5Kw</v>
          </cell>
          <cell r="E15">
            <v>40077.920000000006</v>
          </cell>
        </row>
        <row r="16">
          <cell r="D16" t="str">
            <v>Maùy ñaøo &lt;=0,8m3</v>
          </cell>
          <cell r="E16">
            <v>755258.43</v>
          </cell>
        </row>
        <row r="17">
          <cell r="D17" t="str">
            <v>Maùy san 110CV</v>
          </cell>
          <cell r="E17">
            <v>625169.97000000009</v>
          </cell>
        </row>
        <row r="18">
          <cell r="D18" t="str">
            <v>Maùy troän 250 lít</v>
          </cell>
          <cell r="E18">
            <v>103011.04000000001</v>
          </cell>
        </row>
        <row r="19">
          <cell r="D19" t="str">
            <v>Maùy troän vöõa 80 lít</v>
          </cell>
          <cell r="E19">
            <v>48464.58</v>
          </cell>
        </row>
        <row r="20">
          <cell r="D20" t="str">
            <v>Maùy uûi 110CV</v>
          </cell>
          <cell r="E20">
            <v>716202.36</v>
          </cell>
        </row>
        <row r="21">
          <cell r="D21" t="str">
            <v>Maùy vaän thaêng 0,8T</v>
          </cell>
          <cell r="E21">
            <v>58309.65</v>
          </cell>
        </row>
        <row r="22">
          <cell r="D22" t="str">
            <v>Maùy, oâ toâ 5T</v>
          </cell>
          <cell r="E22">
            <v>331529.87</v>
          </cell>
        </row>
        <row r="23">
          <cell r="D23" t="str">
            <v>Maùy, oâ toâ töôùi nöôùc 5m3</v>
          </cell>
          <cell r="E23">
            <v>367065.64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NEW-PANEL"/>
      <sheetName val="Du_lieu"/>
      <sheetName val="DanhMuc"/>
      <sheetName val="IBASE"/>
      <sheetName val="MTL$-INTER"/>
      <sheetName val="THKP"/>
      <sheetName val="gia vt,nc,may"/>
      <sheetName val="LKVL-CK-HT-GD1"/>
      <sheetName val="VT,NC,M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NS"/>
      <sheetName val="J(Priv.Cap)"/>
      <sheetName val="Old Table"/>
      <sheetName val="GVL"/>
      <sheetName val="gia_vt,nc,may"/>
      <sheetName val="KH-Q1,Q2,01"/>
      <sheetName val="2.74"/>
      <sheetName val="dtxl"/>
      <sheetName val="TiÕn ®é thùc hiÖn K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  <sheetName val="dtxl"/>
      <sheetName val="NS"/>
      <sheetName val="2.withQSXK"/>
      <sheetName val="2_59_1"/>
      <sheetName val="2_1"/>
      <sheetName val="2_2"/>
      <sheetName val="2_3_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2_13"/>
      <sheetName val="2_14"/>
      <sheetName val="2_15"/>
      <sheetName val="2_16"/>
      <sheetName val="2_17"/>
      <sheetName val="2_18"/>
      <sheetName val="2_19"/>
      <sheetName val="2_20"/>
      <sheetName val="2_21"/>
      <sheetName val="2_22"/>
      <sheetName val="2_23"/>
      <sheetName val="2_24"/>
      <sheetName val="2_25"/>
      <sheetName val="2_26"/>
      <sheetName val="2_27"/>
      <sheetName val="2_28"/>
      <sheetName val="2_29"/>
      <sheetName val="2_30"/>
      <sheetName val="2_31"/>
      <sheetName val="2_32"/>
      <sheetName val="2_33"/>
      <sheetName val="2_34"/>
      <sheetName val="2_35"/>
      <sheetName val="2_36"/>
      <sheetName val="2_37"/>
      <sheetName val="2_38"/>
      <sheetName val="2_38_1"/>
      <sheetName val="2_38_2"/>
      <sheetName val="2_38_3"/>
      <sheetName val="2_39"/>
      <sheetName val="2_40"/>
      <sheetName val="2_41"/>
      <sheetName val="2_42"/>
      <sheetName val="2_43"/>
      <sheetName val="2_44"/>
      <sheetName val="2_45"/>
      <sheetName val="2_46"/>
      <sheetName val="2_47"/>
      <sheetName val="2_48"/>
      <sheetName val="2_49"/>
      <sheetName val="2_50"/>
      <sheetName val="2_51"/>
      <sheetName val="2_52"/>
      <sheetName val="2_53"/>
      <sheetName val="2_54"/>
      <sheetName val="2_55"/>
      <sheetName val="2_56"/>
      <sheetName val="2_57"/>
      <sheetName val="2_58"/>
      <sheetName val="2_59"/>
      <sheetName val="2_60"/>
      <sheetName val="2_61"/>
      <sheetName val="2_62"/>
      <sheetName val="2_63"/>
      <sheetName val="2_64"/>
      <sheetName val="2_65"/>
      <sheetName val="2_66"/>
      <sheetName val="2_67"/>
      <sheetName val="2_68"/>
      <sheetName val="2_69"/>
      <sheetName val="2_70"/>
      <sheetName val="2_71"/>
      <sheetName val="2_72"/>
      <sheetName val="2_73"/>
      <sheetName val="2_74"/>
      <sheetName val="2_74_1"/>
      <sheetName val="2_90"/>
      <sheetName val="7_THAI_NGUYEN"/>
      <sheetName val="Ban_ra"/>
      <sheetName val="2_withQSXK"/>
      <sheetName val="HT"/>
      <sheetName val="VT,NC,M"/>
      <sheetName val="IBASE"/>
      <sheetName val="Du_lieu"/>
      <sheetName val="KH-Q1,Q2,01"/>
      <sheetName val="DI-ESTI"/>
      <sheetName val="NN95-2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TỶ TRỌNG (XĐ sp đưa vào biểu)"/>
      <sheetName val="Biểu BC&amp;Tỉnh BC"/>
      <sheetName val="B.PHÂN NHÓM TỈNH"/>
      <sheetName val="C.BIỂU ĐẦU VÀO-ĐẦU RA"/>
      <sheetName val="C.1.Biểu đầu vào_tỉnh,TW"/>
      <sheetName val="DV THANG"/>
      <sheetName val="ĐV các QUY"/>
      <sheetName val="ĐV.02.TS.SB.Q"/>
      <sheetName val="ĐV.03.TS.Phân bổ tháng.quý"/>
      <sheetName val="C.3.Biểu đầu ra_tỉnh"/>
      <sheetName val="ĐR.01.TS. Tiến độ_tỉnh"/>
      <sheetName val="ĐR.02.TS. Chuỗi năm_tỉnh"/>
      <sheetName val="C.4.Biểu đầu ra_TW"/>
      <sheetName val="ĐR.01.TS.(T.Q.6T.N)_TQ"/>
      <sheetName val="ĐR.02.TS.SB.SLKTB.T_TQ"/>
      <sheetName val="ĐR.03.TS.SB.Q_TQ"/>
      <sheetName val="ĐR.04.TS.Phân bổ tháng.quý_TQ"/>
      <sheetName val="ĐR.05.TS. Chuỗi năm_TQ"/>
      <sheetName val="Thời gian"/>
      <sheetName val="Năm"/>
      <sheetName val="Tỉnh"/>
      <sheetName val="ĐR.06.TS.TH.Chỉ tiêu_TQ"/>
      <sheetName val="Tên chỉ tiêu"/>
      <sheetName val="ĐR.07.TS. Tiến độ.TH_TQ"/>
      <sheetName val="ĐR.08.TS.BC_TQ"/>
      <sheetName val="ĐR.9.MK. QI_TQ"/>
      <sheetName val="ĐR.10.MK. 6T_TQ"/>
      <sheetName val="ĐR.11.MK. 9T_TQ"/>
      <sheetName val="ĐR.12.MK. N_TQ"/>
      <sheetName val="Quy trình Ước-SB-CT"/>
      <sheetName val="Quy trình nhập số liệu"/>
      <sheetName val="THKP"/>
      <sheetName val="LN_9 thang"/>
      <sheetName val="2.7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D2" t="str">
            <v>Tháng 1</v>
          </cell>
        </row>
        <row r="3">
          <cell r="D3" t="str">
            <v>Tháng 2</v>
          </cell>
        </row>
        <row r="4">
          <cell r="D4" t="str">
            <v>Tháng 3</v>
          </cell>
        </row>
        <row r="5">
          <cell r="D5" t="str">
            <v>Tháng 4</v>
          </cell>
        </row>
        <row r="6">
          <cell r="D6" t="str">
            <v>Tháng 5</v>
          </cell>
        </row>
        <row r="7">
          <cell r="D7" t="str">
            <v>Tháng 6</v>
          </cell>
        </row>
        <row r="8">
          <cell r="D8" t="str">
            <v>Tháng 7</v>
          </cell>
        </row>
        <row r="9">
          <cell r="D9" t="str">
            <v>Tháng 8</v>
          </cell>
        </row>
        <row r="10">
          <cell r="D10" t="str">
            <v>Tháng 9</v>
          </cell>
        </row>
        <row r="11">
          <cell r="D11" t="str">
            <v>Tháng 10</v>
          </cell>
        </row>
        <row r="12">
          <cell r="D12" t="str">
            <v>Tháng 11</v>
          </cell>
        </row>
        <row r="13">
          <cell r="D13" t="str">
            <v>Tháng 12</v>
          </cell>
        </row>
        <row r="14">
          <cell r="D14" t="str">
            <v>Tháng 13</v>
          </cell>
        </row>
        <row r="15">
          <cell r="D15" t="str">
            <v>Quý I</v>
          </cell>
        </row>
        <row r="16">
          <cell r="D16" t="str">
            <v>Quý II</v>
          </cell>
        </row>
        <row r="17">
          <cell r="D17" t="str">
            <v>Quý III</v>
          </cell>
        </row>
        <row r="18">
          <cell r="D18" t="str">
            <v>Quý IV</v>
          </cell>
        </row>
        <row r="19">
          <cell r="D19" t="str">
            <v>6T</v>
          </cell>
        </row>
        <row r="20">
          <cell r="D20" t="str">
            <v>9T</v>
          </cell>
        </row>
        <row r="21">
          <cell r="D21" t="str">
            <v>Năm</v>
          </cell>
        </row>
      </sheetData>
      <sheetData sheetId="19">
        <row r="2">
          <cell r="H2">
            <v>2010</v>
          </cell>
        </row>
        <row r="3">
          <cell r="H3">
            <v>2011</v>
          </cell>
        </row>
        <row r="4">
          <cell r="H4">
            <v>2012</v>
          </cell>
        </row>
        <row r="5">
          <cell r="H5">
            <v>2013</v>
          </cell>
        </row>
        <row r="6">
          <cell r="H6">
            <v>2014</v>
          </cell>
        </row>
        <row r="7">
          <cell r="H7">
            <v>2015</v>
          </cell>
        </row>
        <row r="8">
          <cell r="H8">
            <v>2016</v>
          </cell>
        </row>
        <row r="9">
          <cell r="H9">
            <v>2017</v>
          </cell>
        </row>
        <row r="10">
          <cell r="H10">
            <v>2018</v>
          </cell>
        </row>
        <row r="11">
          <cell r="H11">
            <v>2019</v>
          </cell>
        </row>
        <row r="12">
          <cell r="H12">
            <v>2020</v>
          </cell>
        </row>
        <row r="13">
          <cell r="H13">
            <v>2021</v>
          </cell>
        </row>
        <row r="14">
          <cell r="H14">
            <v>2022</v>
          </cell>
        </row>
        <row r="15">
          <cell r="H15">
            <v>2023</v>
          </cell>
        </row>
        <row r="16">
          <cell r="H16">
            <v>2024</v>
          </cell>
        </row>
        <row r="17">
          <cell r="H17">
            <v>2025</v>
          </cell>
        </row>
        <row r="18">
          <cell r="H18">
            <v>2026</v>
          </cell>
        </row>
        <row r="19">
          <cell r="H19">
            <v>2027</v>
          </cell>
        </row>
        <row r="20">
          <cell r="H20">
            <v>2028</v>
          </cell>
        </row>
        <row r="21">
          <cell r="H21">
            <v>2029</v>
          </cell>
        </row>
        <row r="22">
          <cell r="H22">
            <v>2030</v>
          </cell>
        </row>
        <row r="23">
          <cell r="H23">
            <v>2031</v>
          </cell>
        </row>
        <row r="24">
          <cell r="H24">
            <v>2032</v>
          </cell>
        </row>
        <row r="25">
          <cell r="H25">
            <v>2033</v>
          </cell>
        </row>
        <row r="26">
          <cell r="H26">
            <v>2034</v>
          </cell>
        </row>
        <row r="27">
          <cell r="H27">
            <v>2035</v>
          </cell>
        </row>
      </sheetData>
      <sheetData sheetId="20">
        <row r="1">
          <cell r="H1" t="str">
            <v>Cả nước</v>
          </cell>
        </row>
        <row r="2">
          <cell r="H2" t="str">
            <v>ĐB sông Hồng</v>
          </cell>
        </row>
        <row r="3">
          <cell r="H3" t="str">
            <v>Hà Nội</v>
          </cell>
        </row>
        <row r="4">
          <cell r="H4" t="str">
            <v>Vĩnh Phúc</v>
          </cell>
        </row>
        <row r="5">
          <cell r="H5" t="str">
            <v>Bắc Ninh</v>
          </cell>
        </row>
        <row r="6">
          <cell r="H6" t="str">
            <v>Quảng Ninh</v>
          </cell>
        </row>
        <row r="7">
          <cell r="H7" t="str">
            <v>Hải Dương</v>
          </cell>
        </row>
        <row r="8">
          <cell r="H8" t="str">
            <v>Hải Phòng</v>
          </cell>
        </row>
        <row r="9">
          <cell r="H9" t="str">
            <v>Hưng Yên</v>
          </cell>
        </row>
        <row r="10">
          <cell r="H10" t="str">
            <v>Thái Bình</v>
          </cell>
        </row>
        <row r="11">
          <cell r="H11" t="str">
            <v>Hà Nam</v>
          </cell>
        </row>
        <row r="12">
          <cell r="H12" t="str">
            <v>Nam Định</v>
          </cell>
        </row>
        <row r="13">
          <cell r="H13" t="str">
            <v>Ninh Bình</v>
          </cell>
        </row>
        <row r="14">
          <cell r="H14" t="str">
            <v>Trung du và miền núi phía Bắc</v>
          </cell>
        </row>
        <row r="15">
          <cell r="H15" t="str">
            <v>Hà Giang</v>
          </cell>
        </row>
        <row r="16">
          <cell r="H16" t="str">
            <v>Cao Bằng</v>
          </cell>
        </row>
        <row r="17">
          <cell r="H17" t="str">
            <v>Bắc Cạn</v>
          </cell>
        </row>
        <row r="18">
          <cell r="H18" t="str">
            <v>Tuyên Quang</v>
          </cell>
        </row>
        <row r="19">
          <cell r="H19" t="str">
            <v>Lào Cai</v>
          </cell>
        </row>
        <row r="20">
          <cell r="H20" t="str">
            <v>Yên Bái</v>
          </cell>
        </row>
        <row r="21">
          <cell r="H21" t="str">
            <v>Thái Nguyên</v>
          </cell>
        </row>
        <row r="22">
          <cell r="H22" t="str">
            <v>Lạng Sơn</v>
          </cell>
        </row>
        <row r="23">
          <cell r="H23" t="str">
            <v>Bắc Giang</v>
          </cell>
        </row>
        <row r="24">
          <cell r="H24" t="str">
            <v>Phú Thọ</v>
          </cell>
        </row>
        <row r="25">
          <cell r="H25" t="str">
            <v>Điện Biên</v>
          </cell>
        </row>
        <row r="26">
          <cell r="H26" t="str">
            <v>Lai Châu</v>
          </cell>
        </row>
        <row r="27">
          <cell r="H27" t="str">
            <v>Sơn La</v>
          </cell>
        </row>
        <row r="28">
          <cell r="H28" t="str">
            <v>Hòa Bình</v>
          </cell>
        </row>
        <row r="29">
          <cell r="H29" t="str">
            <v>Bắc Trung Bộ và Duyên hải miền Trung</v>
          </cell>
        </row>
        <row r="30">
          <cell r="H30" t="str">
            <v>Thanh Hóa</v>
          </cell>
        </row>
        <row r="31">
          <cell r="H31" t="str">
            <v>Nghệ An</v>
          </cell>
        </row>
        <row r="32">
          <cell r="H32" t="str">
            <v>Hà Tĩnh</v>
          </cell>
        </row>
        <row r="33">
          <cell r="H33" t="str">
            <v>Quảng Bình</v>
          </cell>
        </row>
        <row r="34">
          <cell r="H34" t="str">
            <v>Quảng Trị</v>
          </cell>
        </row>
        <row r="35">
          <cell r="H35" t="str">
            <v>Thừa Thiên Huế</v>
          </cell>
        </row>
        <row r="36">
          <cell r="H36" t="str">
            <v>Đà Nẵng</v>
          </cell>
        </row>
        <row r="37">
          <cell r="H37" t="str">
            <v>Quảng Nam</v>
          </cell>
        </row>
        <row r="38">
          <cell r="H38" t="str">
            <v>Quãng Ngãi</v>
          </cell>
        </row>
        <row r="39">
          <cell r="H39" t="str">
            <v>Bình Định</v>
          </cell>
        </row>
        <row r="40">
          <cell r="H40" t="str">
            <v>Phú Yên</v>
          </cell>
        </row>
        <row r="41">
          <cell r="H41" t="str">
            <v>Khánh Hòa</v>
          </cell>
        </row>
        <row r="42">
          <cell r="H42" t="str">
            <v>Ninh Thuận</v>
          </cell>
        </row>
        <row r="43">
          <cell r="H43" t="str">
            <v>Bình Thuận</v>
          </cell>
        </row>
        <row r="44">
          <cell r="H44" t="str">
            <v>Tây Nguyên</v>
          </cell>
        </row>
        <row r="45">
          <cell r="H45" t="str">
            <v>Kom Tum</v>
          </cell>
        </row>
        <row r="46">
          <cell r="H46" t="str">
            <v>Gia Lai</v>
          </cell>
        </row>
        <row r="47">
          <cell r="H47" t="str">
            <v>Đắc Nông</v>
          </cell>
        </row>
        <row r="48">
          <cell r="H48" t="str">
            <v>Đắc Lắc</v>
          </cell>
        </row>
        <row r="49">
          <cell r="H49" t="str">
            <v>Lâm Đồng</v>
          </cell>
        </row>
        <row r="50">
          <cell r="H50" t="str">
            <v>Đông Nam Bộ</v>
          </cell>
        </row>
        <row r="51">
          <cell r="H51" t="str">
            <v>Bình Phước</v>
          </cell>
        </row>
        <row r="52">
          <cell r="H52" t="str">
            <v>Tây Ninh</v>
          </cell>
        </row>
        <row r="53">
          <cell r="H53" t="str">
            <v>Bình Dương</v>
          </cell>
        </row>
        <row r="54">
          <cell r="H54" t="str">
            <v>Đồng Nai</v>
          </cell>
        </row>
        <row r="55">
          <cell r="H55" t="str">
            <v>Bà Rịa Vũng Tàu</v>
          </cell>
        </row>
        <row r="56">
          <cell r="H56" t="str">
            <v>Thành phố Hồ Chí Minh</v>
          </cell>
        </row>
        <row r="57">
          <cell r="H57" t="str">
            <v>Đồng bằng sông Cửu Long</v>
          </cell>
        </row>
        <row r="58">
          <cell r="H58" t="str">
            <v>Long An</v>
          </cell>
        </row>
        <row r="59">
          <cell r="H59" t="str">
            <v>Tiền Giang</v>
          </cell>
        </row>
        <row r="60">
          <cell r="H60" t="str">
            <v>Bến Tre</v>
          </cell>
        </row>
        <row r="61">
          <cell r="H61" t="str">
            <v>Trà Vinh</v>
          </cell>
        </row>
        <row r="62">
          <cell r="H62" t="str">
            <v>Vĩnh Long</v>
          </cell>
        </row>
        <row r="63">
          <cell r="H63" t="str">
            <v>Đồng Tháp</v>
          </cell>
        </row>
        <row r="64">
          <cell r="H64" t="str">
            <v>An Giang</v>
          </cell>
        </row>
        <row r="65">
          <cell r="H65" t="str">
            <v>Kiên Giang</v>
          </cell>
        </row>
        <row r="66">
          <cell r="H66" t="str">
            <v>Hậu Giang</v>
          </cell>
        </row>
        <row r="67">
          <cell r="H67" t="str">
            <v>Sóc Trăng</v>
          </cell>
        </row>
        <row r="68">
          <cell r="H68" t="str">
            <v>Bạc Liêu</v>
          </cell>
        </row>
        <row r="69">
          <cell r="H69" t="str">
            <v>Cà Mau</v>
          </cell>
        </row>
      </sheetData>
      <sheetData sheetId="21"/>
      <sheetData sheetId="22">
        <row r="1">
          <cell r="I1" t="str">
            <v>Chỉ tiêu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Tkedotuoi"/>
      <sheetName val="Tkebactho"/>
      <sheetName val="nhan su"/>
      <sheetName val="2020"/>
      <sheetName val="23+327"/>
      <sheetName val="Nhap_lieu"/>
      <sheetName val="Khoiluong"/>
      <sheetName val="Vattu"/>
      <sheetName val="Trungchuyen"/>
      <sheetName val="Bu"/>
      <sheetName val="Chitiet"/>
      <sheetName val="luong cty"/>
      <sheetName val="bangluong"/>
      <sheetName val="Tkecong"/>
      <sheetName val="thunhap03"/>
      <sheetName val="thungoaiSCTX"/>
      <sheetName val="TRICH73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Chart3"/>
      <sheetName val="Chart2"/>
      <sheetName val="BaTrieu-L.con"/>
      <sheetName val="EDT - Ro"/>
      <sheetName val="BCDSPS"/>
      <sheetName val="BCDKT"/>
      <sheetName val=""/>
      <sheetName val=".tuanM"/>
      <sheetName val="Dinh_ha nha"/>
      <sheetName val="[IBASE2.XLS}BHXH"/>
      <sheetName val="T8-9)"/>
      <sheetName val="T6"/>
      <sheetName val="2.74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Bia_x0018_"/>
      <sheetName val="QD cua HDQT (ÿÿ"/>
      <sheetName val="ÿÿÿÿi ngoai tongÿÿ2)"/>
      <sheetName val="THKP"/>
      <sheetName val="gia vt,nc,may"/>
      <sheetName val="CHITIET VL-NC"/>
      <sheetName val="DON GIA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"/>
      <sheetName val="Nhap_lie("/>
      <sheetName val=" GT CPhi tung dot"/>
      <sheetName val="ESTI."/>
      <sheetName val="DI-ESTI"/>
      <sheetName val="THTBþ"/>
      <sheetName val="CongNo"/>
      <sheetName val="TD khao sat"/>
      <sheetName val="_x0000__x0000__x0005__x0000__x0000_"/>
      <sheetName val="nghi dinh-_x0004__x0010_"/>
      <sheetName val="Cong hop 2,0ࡸ2,0"/>
      <sheetName val="Km282-Km_x0003_?3"/>
      <sheetName val="Biaþ"/>
      <sheetName val="Luot"/>
      <sheetName val="lapdap TB "/>
      <sheetName val="IBASE2"/>
      <sheetName val="T8-9h"/>
      <sheetName val="KQKDKT#04-1"/>
      <sheetName val="VtuHaTheSauTBABenThuy1 Ш2)"/>
      <sheetName val="T8-9X"/>
      <sheetName val="MTL$-INTER"/>
      <sheetName val="GIA 뭼UOC"/>
      <sheetName val="Soqu_x0005__x0000__x0000_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Km282-Km_x0003_"/>
      <sheetName val="°:nh"/>
      <sheetName val="QDcua TGD (2)_x0000__x0000__x0000__x0000__x0000__x0000__x0000__x0000__x0000__x0000__x0000__x0000_䚼˰_x0000__x0004__x0000__x0000_"/>
      <sheetName val="Tong_ke"/>
      <sheetName val="XXXXXX?X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KH-Q1,Q2,01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 Njinh"/>
      <sheetName val="L]gngT2"/>
      <sheetName val="_x0000_"/>
      <sheetName val="Bia_x0000_"/>
      <sheetName val="Soqu_x0005_"/>
      <sheetName val="thong ke"/>
      <sheetName val="VT,NC,M"/>
      <sheetName val="XXXXXXÿÿ"/>
      <sheetName val="KHT4ÿÿ-02"/>
      <sheetName val="ÿÿÿÿ "/>
      <sheetName val="Soqu窨_x0013_竬"/>
      <sheetName val="Soqu_x0005__x0000_"/>
      <sheetName val="T4-99_x0005_"/>
      <sheetName val="PhanTichDonGia"/>
      <sheetName val="KHVt X兤"/>
      <sheetName val="So.g trai"/>
      <sheetName val="_x0013_heet9"/>
      <sheetName val="De _x0014_ai Thuc Tap"/>
      <sheetName val="tuan&quot;"/>
      <sheetName val="nt5anM"/>
      <sheetName val=".ngan"/>
      <sheetName val=".loi"/>
      <sheetName val="XXXXXX X"/>
      <sheetName val="Km282-Km _x0000_3"/>
      <sheetName val="Bia "/>
      <sheetName val="TK13 "/>
      <sheetName val="nghi dinh-  "/>
      <sheetName val="_x0000__x0000_ _x0000__x0000_"/>
      <sheetName val="Km282-Km ?3"/>
      <sheetName val="T8-9 "/>
      <sheetName val="Soqu _x0000__x0000_"/>
      <sheetName val="Km282-Km "/>
      <sheetName val="Soqu "/>
      <sheetName val="DMT"/>
      <sheetName val="Figure 6 NPV"/>
      <sheetName val="Km282-Km_x0003_3"/>
      <sheetName val="_x0005_"/>
      <sheetName val="tien uong"/>
      <sheetName val="Y_BA"/>
      <sheetName val="T6-99 _x0012_[IBASE2.XLS]T"/>
      <sheetName val="T4-99_x0005_T5-99"/>
      <sheetName val="Km282-Km 3"/>
      <sheetName val=" "/>
      <sheetName val="Soqu_x0005_"/>
      <sheetName val="BTH chua"/>
      <sheetName val="XXXXXX?"/>
      <sheetName val="MTO REV.2(ARMOR)"/>
      <sheetName val="Dhue GTGT"/>
      <sheetName val="DMTCNTM"/>
      <sheetName val="trong"/>
      <sheetName val="QD_x0000_cua HDQD"/>
      <sheetName val="CTOBT"/>
      <sheetName val="Qheet10"/>
      <sheetName val="ThieuHD "/>
      <sheetName val="Trich Ngalg"/>
      <sheetName val="THANG7 "/>
      <sheetName val="THANG8"/>
      <sheetName val="THANG9"/>
      <sheetName val="THANG10"/>
      <sheetName val="THANG 11"/>
      <sheetName val="THANG 12"/>
      <sheetName val="De Tai Vhuc Tap"/>
      <sheetName val="HDong ԰_x0000_"/>
      <sheetName val="c¨"/>
      <sheetName val="cØ"/>
      <sheetName val="BK-C T"/>
      <sheetName val="DT1"/>
      <sheetName val="T6-99_x0000__x0000__x0000__x0000__x0000__x0000__x0000__x0000__x0000__x0000__x0009__x0000__x0012_[IBASE2.XLS]T"/>
      <sheetName val="CCPS_x0005__x0000_"/>
      <sheetName val="NK9"/>
      <sheetName val="TOTAL"/>
      <sheetName val="Sept.01 (2)"/>
      <sheetName val="Aug."/>
      <sheetName val="chuong phu"/>
      <sheetName val="TNghi?m TB "/>
      <sheetName val="V?t li?u"/>
      <sheetName val="Lap ?at ?i?n"/>
      <sheetName val="TNghi?m VL"/>
      <sheetName val="Klukng phu"/>
      <sheetName val="THA"/>
      <sheetName val="149-2"/>
      <sheetName val="Formulas"/>
      <sheetName val="BT@"/>
      <sheetName val="Balance Sheet"/>
      <sheetName val="Journal"/>
      <sheetName val="BTHDT_TBA_x000d__x0000__x0000_THXL_DZcaoth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REAM-Thang9"/>
      <sheetName val="OAR-FS"/>
      <sheetName val="TB Grouping"/>
      <sheetName val="BTHCT"/>
      <sheetName val="GVT"/>
      <sheetName val="K252 K9и"/>
      <sheetName val="TTDN"/>
      <sheetName val="GiaVL"/>
      <sheetName val="TNHCHINH"/>
      <sheetName val="VL1(Phu Luong)"/>
      <sheetName val="TONG HOP VL-NC TT"/>
      <sheetName val="CHITIET VL-NC-TT -1p"/>
      <sheetName val="TDTKP1"/>
      <sheetName val="KPVC-BD "/>
      <sheetName val="dongia (2)"/>
      <sheetName val="SoqѵyTM"/>
      <sheetName val="SoCѡiTM"/>
      <sheetName val="KHT⑓CD2"/>
      <sheetName val="BASE"/>
      <sheetName val="[IBASE2.XLS?TNHNoi"/>
      <sheetName val="T11.06"/>
      <sheetName val="T12.06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電線リスト"/>
      <sheetName val="Table1"/>
      <sheetName val="BTHDT_TBA_x000a__x0000__x0000_THXL_DZcaothe"/>
      <sheetName val="phuong aL 1"/>
      <sheetName val="socai200_x0013_-6tc"/>
      <sheetName val="200000000헾】_x0005_"/>
      <sheetName val="200000000_x0000__x0000__x0005_"/>
      <sheetName val="200000000"/>
      <sheetName val="Dieuchinh"/>
      <sheetName val="bangluonU"/>
      <sheetName val="bangluon_x0005_"/>
      <sheetName val="Strt Archi"/>
      <sheetName val="Thang_x0005_"/>
      <sheetName val="Other(data)"/>
      <sheetName val="ChiTie_x001c_"/>
      <sheetName val="assy1"/>
      <sheetName val="Sales"/>
      <sheetName val="負荷15XX"/>
      <sheetName val="Detail"/>
      <sheetName val="?_x0000__x0000_0_x0000__x0000__x0000__x0000__x0000__x0000__x0000__x0000__x0000__x0000__x0000__x0000__x0000__x0000__x0000__x001d_[IBASE2.XLS"/>
      <sheetName val="BTHDT_TBA_x000d_??THXL_DZcaothe"/>
      <sheetName val="ESTI_1"/>
      <sheetName val="Km282-Km_x0003__x0000__x0005_"/>
      <sheetName val="Thangþ"/>
      <sheetName val="Thang_x001c_"/>
      <sheetName val="schedule"/>
      <sheetName val="Thang("/>
      <sheetName val="31.12.01"/>
      <sheetName val="NKì"/>
      <sheetName val="PL"/>
      <sheetName val="Output"/>
      <sheetName val="6_Data"/>
      <sheetName val="1_Hướng dẫn sử dụng"/>
      <sheetName val="K"/>
      <sheetName val="Parametri"/>
      <sheetName val="dtxl"/>
      <sheetName val="_x0016_PPN"/>
      <sheetName val="OPERATING HEAD"/>
      <sheetName val="Sat tron"/>
      <sheetName val="Tohop1(a_x0007_"/>
      <sheetName val="Tien luong (2)"/>
      <sheetName val="DTX-NGG.XLS"/>
      <sheetName val="chenh lech"/>
      <sheetName val="CL Hµ t©y"/>
      <sheetName val="CL Bæ tóc"/>
      <sheetName val="DT Ph­¬ng mai 1"/>
      <sheetName val="CN-QV FG"/>
      <sheetName val="CN-QV RM"/>
      <sheetName val="PHAV R.M"/>
      <sheetName val="PHAV F.G"/>
      <sheetName val="TOA R.M"/>
      <sheetName val="TOA F.G"/>
      <sheetName val="CVN R.M"/>
      <sheetName val="CVN F.G"/>
      <sheetName val="DENSO R.M"/>
      <sheetName val="DENSO F.G"/>
      <sheetName val="SATO RM"/>
      <sheetName val="SATO F.G"/>
      <sheetName val="Six"/>
      <sheetName val="Bieu 2a"/>
      <sheetName val="_x0003_"/>
      <sheetName val="A3210-MO"/>
      <sheetName val="NKC-2009"/>
      <sheetName val="BC-BANHALG"/>
      <sheetName val="TT04"/>
      <sheetName val="封皮"/>
      <sheetName val="MI2A-A"/>
      <sheetName val="MI3"/>
      <sheetName val="MI20(1)"/>
      <sheetName val="HT mua USD"/>
      <sheetName val="bcth 05-0"/>
      <sheetName val="VL"/>
      <sheetName val="ND"/>
      <sheetName val="BT_x0016_"/>
      <sheetName val="NK_x0016_"/>
      <sheetName val="NK"/>
      <sheetName val="BT"/>
      <sheetName val="BTÜ"/>
      <sheetName val="ct luong "/>
      <sheetName val="Nhap 6T"/>
      <sheetName val="KPI"/>
      <sheetName val="Ranking data"/>
      <sheetName val="QԘ"/>
      <sheetName val="PHAT-SINH"/>
      <sheetName val="Package1"/>
      <sheetName val="Temp"/>
      <sheetName val="pHAN CON_x0005_"/>
      <sheetName val="oper0402MAT&gt;=0"/>
      <sheetName val="Km277 %_x0000_Km278 "/>
      <sheetName val="OIL"/>
      <sheetName val="Original+CC"/>
      <sheetName val="head_code"/>
      <sheetName val="SUMMARY"/>
      <sheetName val="資料_700部品点数設定"/>
      <sheetName val="Config"/>
      <sheetName val="(9.30) IP"/>
      <sheetName val="Original_CC"/>
      <sheetName val="CVden_ngoai_TCT_(1)1"/>
      <sheetName val="CV_den_ngoai_TCT_(2)1"/>
      <sheetName val="CV_den_ngoai_TCT_(3)1"/>
      <sheetName val="QDcua_TGD1"/>
      <sheetName val="QD_cua_HDQT1"/>
      <sheetName val="QD_cua_HDQT_(2)1"/>
      <sheetName val="CV_di_ngoai_tong1"/>
      <sheetName val="CV_di_ngoai_tong_(2)1"/>
      <sheetName val="To_trinh1"/>
      <sheetName val="Giao_nhiem_vu1"/>
      <sheetName val="QDcua_TGD_(2)1"/>
      <sheetName val="Thong_tu1"/>
      <sheetName val="CV_di_trong__tong1"/>
      <sheetName val="nghi_dinh-CP1"/>
      <sheetName val="CV_den_trong_tong1"/>
      <sheetName val="GIA_NUOC1"/>
      <sheetName val="GIA_DIEN_THOAI1"/>
      <sheetName val="GIA_DIEN1"/>
      <sheetName val="chiet_tinh_XD1"/>
      <sheetName val="Triet_T1"/>
      <sheetName val="Phan_tich_gia1"/>
      <sheetName val="pHAN_CONG1"/>
      <sheetName val="GIA_XD1"/>
      <sheetName val="lapdat_TB_1"/>
      <sheetName val="TNghiªm_TB_1"/>
      <sheetName val="VËt_liÖu1"/>
      <sheetName val="Lap_®at_®iÖn1"/>
      <sheetName val="TNghiÖm_VL1"/>
      <sheetName val="th_1"/>
      <sheetName val="tien_luong1"/>
      <sheetName val="KHVt_1"/>
      <sheetName val="KHVt_XL1"/>
      <sheetName val="KHVt_XLT41"/>
      <sheetName val="Thep_be1"/>
      <sheetName val="Thep_than1"/>
      <sheetName val="Thep_xa_mu1"/>
      <sheetName val="142201-T1_1"/>
      <sheetName val="142201-T2-th_1"/>
      <sheetName val="142201-T3-th_1"/>
      <sheetName val="142201-T4-th__1"/>
      <sheetName val="_t51"/>
      <sheetName val="t_41"/>
      <sheetName val="_t3_1"/>
      <sheetName val="_TH3311"/>
      <sheetName val="_Minh_ha1"/>
      <sheetName val="_Ha_Tay1"/>
      <sheetName val="_Vinhphuc1"/>
      <sheetName val="_Nbinh1"/>
      <sheetName val="_QVinh1"/>
      <sheetName val="_TW11"/>
      <sheetName val="T_so_thay_doi1"/>
      <sheetName val="b_THchitietDZCT1"/>
      <sheetName val="b_THchitietTBA1"/>
      <sheetName val="Khao_sat1"/>
      <sheetName val="TT_khao_sat1"/>
      <sheetName val="Kluong_phu1"/>
      <sheetName val="Lan_can1"/>
      <sheetName val="Ho_lan1"/>
      <sheetName val="Coc_tieu1"/>
      <sheetName val="Bien_bao1"/>
      <sheetName val="Op_mai_2741"/>
      <sheetName val="Op_mai_2751"/>
      <sheetName val="Op_mai_2761"/>
      <sheetName val="Op_mai_2771"/>
      <sheetName val="Op_mai_2781"/>
      <sheetName val="Op_mai_2791"/>
      <sheetName val="Op_mai_2801"/>
      <sheetName val="Op_mai_2811"/>
      <sheetName val="Op_mai_2821"/>
      <sheetName val="Op_mai_2831"/>
      <sheetName val="Op_mai_2841"/>
      <sheetName val="Op_mai1"/>
      <sheetName val="Song_trai1"/>
      <sheetName val="Dinh+ha_nha1"/>
      <sheetName val="NG_k1"/>
      <sheetName val="Km274_-_Km2751"/>
      <sheetName val="Km275_-_Km2761"/>
      <sheetName val="Km276_-_Km2771"/>
      <sheetName val="Km277_-_Km278_1"/>
      <sheetName val="Km278_-_Km2791"/>
      <sheetName val="Km279_-_Km2801"/>
      <sheetName val="Km280_-_Km2811"/>
      <sheetName val="Km281_-_Km2821"/>
      <sheetName val="Km282_-_Km2831"/>
      <sheetName val="Km283_-_Km2841"/>
      <sheetName val="Km284_-_Km2851"/>
      <sheetName val="Tong_hop_Matduong1"/>
      <sheetName val="Cong_D751"/>
      <sheetName val="Cong_D1001"/>
      <sheetName val="Cong_D1501"/>
      <sheetName val="Cong_2D1501"/>
      <sheetName val="Cong_ban_0,7x0,71"/>
      <sheetName val="Cong_ban_0,8x0,81"/>
      <sheetName val="Cong_ban_1x11"/>
      <sheetName val="Cong_ban_1x1,21"/>
      <sheetName val="Cong_ban_1,5x1,51"/>
      <sheetName val="Cong_ban_2x1,51"/>
      <sheetName val="Cong_ban_2x21"/>
      <sheetName val="Tong_hop1"/>
      <sheetName val="Tong_hop_(2)1"/>
      <sheetName val="Cong_cu1"/>
      <sheetName val="Cot_thep1"/>
      <sheetName val="Cong_tron_D751"/>
      <sheetName val="Cong_tron_D1001"/>
      <sheetName val="Cong_tron_D1501"/>
      <sheetName val="Cong_tron_2D1501"/>
      <sheetName val="Cong_ban_1,0x1,01"/>
      <sheetName val="Cong_ban_1,0x1,21"/>
      <sheetName val="Cong_hop_1,5x1,51"/>
      <sheetName val="Cong_hop_2,0x1,51"/>
      <sheetName val="Cong_hop_2,0x2,01"/>
      <sheetName val="thkl_(2)1"/>
      <sheetName val="long_tec1"/>
      <sheetName val="Trich_Ngang1"/>
      <sheetName val="Danh_sach_Rieng1"/>
      <sheetName val="Dia_Diem_Thuc_Tap1"/>
      <sheetName val="De_Tai_Thuc_Tap1"/>
      <sheetName val="CDSL_(2)1"/>
      <sheetName val="TK_1121"/>
      <sheetName val="TK_1311"/>
      <sheetName val="TK_1411"/>
      <sheetName val="TK_1531"/>
      <sheetName val="TK_2111"/>
      <sheetName val="TK_2421"/>
      <sheetName val="TK_3341"/>
      <sheetName val="TK_5111"/>
      <sheetName val="TK_5151"/>
      <sheetName val="TK_9111"/>
      <sheetName val="KQKD02-2_(2)1"/>
      <sheetName val="KQKD-2_(2)1"/>
      <sheetName val="KQKD_thu20041"/>
      <sheetName val="VtuHaTheSauTBABenThuy1_(2)1"/>
      <sheetName val="T_K_H_T_T51"/>
      <sheetName val="T_K_T71"/>
      <sheetName val="TK_T61"/>
      <sheetName val="T_K_T51"/>
      <sheetName val="Bang_thong_ke_hang_ton1"/>
      <sheetName val="thong_ke_1"/>
      <sheetName val="T_KT041"/>
      <sheetName val="Coc_61"/>
      <sheetName val="Deo_nai1"/>
      <sheetName val="CKD_than1"/>
      <sheetName val="CTT_Thong_nhat1"/>
      <sheetName val="CTT_Nui_beo1"/>
      <sheetName val="CTT_cao_son1"/>
      <sheetName val="CTT_Khe_cham1"/>
      <sheetName val="XNxlva_sxthanKCII1"/>
      <sheetName val="Cam_Y_ut_KC1"/>
      <sheetName val="CTxay_lap_mo_CP1"/>
      <sheetName val="CTdo_luong_GDSP1"/>
      <sheetName val="Dong_bac1"/>
      <sheetName val="Cac_cang_UT_mua_than_Dong_bac1"/>
      <sheetName val="cua_hang_vtu1"/>
      <sheetName val="Khach_hang_le_1"/>
      <sheetName val="nhat_ky_51"/>
      <sheetName val="cac_cong_ty_van_tai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F_ThanhTri1"/>
      <sheetName val="F_Gialam1"/>
      <sheetName val="TH_dam1"/>
      <sheetName val="SX_dam1"/>
      <sheetName val="LD_dam1"/>
      <sheetName val="Bang_gia_VL1"/>
      <sheetName val="Gia_NC1"/>
      <sheetName val="Gia_may1"/>
      <sheetName val="phan_tich_DG1"/>
      <sheetName val="gia_vat_lieu1"/>
      <sheetName val="gia_xe_may1"/>
      <sheetName val="gia_nhan_cong1"/>
      <sheetName val="SCT_Cong_trinh1"/>
      <sheetName val="06-2003_(2)1"/>
      <sheetName val="CDPS_6tc1"/>
      <sheetName val="SCT_Nha_thau1"/>
      <sheetName val="socai2003_(6tc)dp1"/>
      <sheetName val="socai2003_(6tc)1"/>
      <sheetName val="CDPS_6tc_(2)1"/>
      <sheetName val="Dancau-Q_Ninh1"/>
      <sheetName val="BaTrieu-L_son1"/>
      <sheetName val="Don_gia_CPM1"/>
      <sheetName val="Tong_Thieu_HD_cac_CT-20011"/>
      <sheetName val="VL_thieu_HD_-_20011"/>
      <sheetName val="Tong_thieu_HD_cac_CT_-_20021"/>
      <sheetName val="Lan_trai1"/>
      <sheetName val="Van_chuyen1"/>
      <sheetName val="HDong_VC1"/>
      <sheetName val="ThieuHD_nam_20011"/>
      <sheetName val="Bang_TH1"/>
      <sheetName val="Tong_Chinh1"/>
      <sheetName val="Xaylap_1"/>
      <sheetName val="Nhan_cong1"/>
      <sheetName val="giai_thich1"/>
      <sheetName val="DT_-_Ro1"/>
      <sheetName val="TH_-_Ro_1"/>
      <sheetName val="GDT_-_Ro1"/>
      <sheetName val="DT_-_TB1"/>
      <sheetName val="TH_-_TB1"/>
      <sheetName val="GDT_-_TB1"/>
      <sheetName val="DT_-_NT1"/>
      <sheetName val="TH_-_NT1"/>
      <sheetName val="GDT_-_NT1"/>
      <sheetName val="CV_di_trong__dong1"/>
      <sheetName val="BC_TH_CK_(2)1"/>
      <sheetName val="BC_TH_CK1"/>
      <sheetName val="BC6tT19_food1"/>
      <sheetName val="BC6tT18_-_Food1"/>
      <sheetName val="BCCK_41"/>
      <sheetName val="BCFood-_T161"/>
      <sheetName val="BCFood-_T151"/>
      <sheetName val="BCFood-_T141"/>
      <sheetName val="BCFood-_T131"/>
      <sheetName val="TH_CK21"/>
      <sheetName val="BC6tT52_(3)1"/>
      <sheetName val="BC6tT52_(2)1"/>
      <sheetName val="TCK_121"/>
      <sheetName val="Tong_CK1"/>
      <sheetName val="DOANH_SO1"/>
      <sheetName val="BD-SINH_VIEN1"/>
      <sheetName val="T03_-_031"/>
      <sheetName val="THL_T031"/>
      <sheetName val="TTBC_T031"/>
      <sheetName val="Luong_noi_Bo_-_T31"/>
      <sheetName val="Tong_hop_-_T31"/>
      <sheetName val="Thuong_Quy_31"/>
      <sheetName val="Phu_cap_trach_nhiem1"/>
      <sheetName val="Tay_ninh1"/>
      <sheetName val="A_Duc1"/>
      <sheetName val="[IBASE2_XLSѝTNHNoi1"/>
      <sheetName val="So_sanh1"/>
      <sheetName val="HHVt_1"/>
      <sheetName val="TH_du_toan_1"/>
      <sheetName val="Du_toan_1"/>
      <sheetName val="C_Tinh1"/>
      <sheetName val="Co~g_hop_1,5x1,5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Thang_4"/>
      <sheetName val="[IBASE2_XLS䁝BC6tT17"/>
      <sheetName val="TK13"/>
      <sheetName val="_GT_CPhi_tung_dot"/>
      <sheetName val="[IBASE2_XLS_Tong_hop_Matduong"/>
      <sheetName val="chi_phi_cap_tien"/>
      <sheetName val="BC§_2001"/>
      <sheetName val="BBC§_2002"/>
      <sheetName val="TSC§_2001"/>
      <sheetName val="TSc®_2002"/>
      <sheetName val="TD_khao_sat"/>
      <sheetName val="chuong_phu"/>
      <sheetName val="THANG7_"/>
      <sheetName val="THANG_11"/>
      <sheetName val="THANG_12"/>
      <sheetName val="phuong_aL_1"/>
      <sheetName val="Khac_DP"/>
      <sheetName val="Khoi_than_"/>
      <sheetName val="socai200-6tc"/>
      <sheetName val="Km282-Km?3"/>
      <sheetName val="Bang_can_doi_"/>
      <sheetName val="De_Tai_Vhuc_Tap"/>
      <sheetName val="ChiTie"/>
      <sheetName val="Thang"/>
      <sheetName val="[IBASE2_XLS?TNHNoi"/>
      <sheetName val="Tinh_hinh_cat_lang"/>
      <sheetName val="Tinh_hinh_SX_phu"/>
      <sheetName val="Tinh_hinh_do_xop"/>
      <sheetName val="?0[IBASE2_XLS"/>
      <sheetName val="BTHDT_TBA_x000a_??THXL_DZcaothe"/>
      <sheetName val="Km282-Km"/>
      <sheetName val="TK1#3"/>
      <sheetName val="Cong tron D100_x000e__x0000__x0000_Cong tron D150"/>
      <sheetName val="Cost Center "/>
      <sheetName val="NuocGN"/>
      <sheetName val="NNgung"/>
      <sheetName val="Bia-thau"/>
      <sheetName val="Up to 2002"/>
      <sheetName val="Thang "/>
      <sheetName val="karylengkap"/>
      <sheetName val="74上"/>
      <sheetName val="Ｐ１"/>
      <sheetName val="XXXXXX_x005f_xda24_X"/>
      <sheetName val="Master"/>
      <sheetName val="T_K_H_T_T52"/>
      <sheetName val="T_K_T72"/>
      <sheetName val="TK_T62"/>
      <sheetName val="T_K_T52"/>
      <sheetName val="Bang_thong_ke_hang_ton2"/>
      <sheetName val="thong_ke_2"/>
      <sheetName val="T_KT042"/>
      <sheetName val="lapdat_TB_2"/>
      <sheetName val="TNghiªm_TB_2"/>
      <sheetName val="VËt_liÖu2"/>
      <sheetName val="Lap_®at_®iÖn2"/>
      <sheetName val="TNghiÖm_VL2"/>
      <sheetName val="th_2"/>
      <sheetName val="tien_luong2"/>
      <sheetName val="CVden_ngoai_TCT_(1)2"/>
      <sheetName val="CV_den_ngoai_TCT_(2)2"/>
      <sheetName val="CV_den_ngoai_TCT_(3)2"/>
      <sheetName val="QDcua_TGD2"/>
      <sheetName val="QD_cua_HDQT2"/>
      <sheetName val="QD_cua_HDQT_(2)2"/>
      <sheetName val="CV_di_ngoai_tong2"/>
      <sheetName val="CV_di_ngoai_tong_(2)2"/>
      <sheetName val="To_trinh2"/>
      <sheetName val="Giao_nhiem_vu2"/>
      <sheetName val="QDcua_TGD_(2)2"/>
      <sheetName val="Thong_tu2"/>
      <sheetName val="CV_di_trong__tong2"/>
      <sheetName val="nghi_dinh-CP2"/>
      <sheetName val="CV_den_trong_tong2"/>
      <sheetName val="KHVt_2"/>
      <sheetName val="KHVt_XL2"/>
      <sheetName val="KHVt_XLT42"/>
      <sheetName val="Thep_be2"/>
      <sheetName val="Thep_than2"/>
      <sheetName val="Thep_xa_mu2"/>
      <sheetName val="142201-T1_2"/>
      <sheetName val="142201-T2-th_2"/>
      <sheetName val="142201-T3-th_2"/>
      <sheetName val="142201-T4-th__2"/>
      <sheetName val="_t52"/>
      <sheetName val="t_42"/>
      <sheetName val="_t3_2"/>
      <sheetName val="_TH3312"/>
      <sheetName val="_Minh_ha2"/>
      <sheetName val="_Ha_Tay2"/>
      <sheetName val="_Vinhphuc2"/>
      <sheetName val="_Nbinh2"/>
      <sheetName val="_QVinh2"/>
      <sheetName val="_TW12"/>
      <sheetName val="VtuHaTheSauTBABenThuy1_(2)2"/>
      <sheetName val="CDSL_(2)2"/>
      <sheetName val="T_so_thay_doi2"/>
      <sheetName val="b_THchitietDZCT2"/>
      <sheetName val="b_THchitietTBA2"/>
      <sheetName val="Khao_sat2"/>
      <sheetName val="TT_khao_sat2"/>
      <sheetName val="Kluong_phu2"/>
      <sheetName val="Lan_can2"/>
      <sheetName val="Ho_lan2"/>
      <sheetName val="Coc_tieu2"/>
      <sheetName val="Bien_bao2"/>
      <sheetName val="Op_mai_2742"/>
      <sheetName val="Op_mai_2752"/>
      <sheetName val="Op_mai_2762"/>
      <sheetName val="Op_mai_2772"/>
      <sheetName val="Op_mai_2782"/>
      <sheetName val="Op_mai_2792"/>
      <sheetName val="Op_mai_2802"/>
      <sheetName val="Op_mai_2812"/>
      <sheetName val="Op_mai_2822"/>
      <sheetName val="Op_mai_2832"/>
      <sheetName val="Op_mai_2842"/>
      <sheetName val="Op_mai2"/>
      <sheetName val="SCT_Cong_trinh2"/>
      <sheetName val="06-2003_(2)2"/>
      <sheetName val="CDPS_6tc2"/>
      <sheetName val="SCT_Nha_thau2"/>
      <sheetName val="socai2003_(6tc)dp2"/>
      <sheetName val="socai2003_(6tc)2"/>
      <sheetName val="CDPS_6tc_(2)2"/>
      <sheetName val="thkl_(2)2"/>
      <sheetName val="long_tec2"/>
      <sheetName val="Trich_Ngang2"/>
      <sheetName val="Danh_sach_Rieng2"/>
      <sheetName val="Dia_Diem_Thuc_Tap2"/>
      <sheetName val="De_Tai_Thuc_Tap2"/>
      <sheetName val="Song_trai2"/>
      <sheetName val="Dinh+ha_nha2"/>
      <sheetName val="NG_k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m274_-_Km2752"/>
      <sheetName val="Km275_-_Km2762"/>
      <sheetName val="Km276_-_Km2772"/>
      <sheetName val="Km277_-_Km278_2"/>
      <sheetName val="Km278_-_Km2792"/>
      <sheetName val="Km279_-_Km2802"/>
      <sheetName val="Km280_-_Km2812"/>
      <sheetName val="Km281_-_Km2822"/>
      <sheetName val="Km282_-_Km2832"/>
      <sheetName val="Km283_-_Km2842"/>
      <sheetName val="Km284_-_Km2852"/>
      <sheetName val="Tong_hop_Matduong2"/>
      <sheetName val="Cong_D752"/>
      <sheetName val="Cong_D1002"/>
      <sheetName val="Cong_D1502"/>
      <sheetName val="Cong_2D1502"/>
      <sheetName val="Cong_ban_0,7x0,72"/>
      <sheetName val="Cong_ban_0,8x0,82"/>
      <sheetName val="Cong_ban_1x12"/>
      <sheetName val="Cong_ban_1x1,22"/>
      <sheetName val="Cong_ban_1,5x1,52"/>
      <sheetName val="Cong_ban_2x1,52"/>
      <sheetName val="Cong_ban_2x22"/>
      <sheetName val="Tong_hop2"/>
      <sheetName val="Tong_hop_(2)2"/>
      <sheetName val="Cong_cu2"/>
      <sheetName val="Cot_thep2"/>
      <sheetName val="Cong_tron_D752"/>
      <sheetName val="Cong_tron_D1002"/>
      <sheetName val="Cong_tron_D1502"/>
      <sheetName val="Cong_tron_2D1502"/>
      <sheetName val="Cong_ban_1,0x1,02"/>
      <sheetName val="Cong_ban_1,0x1,22"/>
      <sheetName val="Cong_hop_1,5x1,52"/>
      <sheetName val="Cong_hop_2,0x1,52"/>
      <sheetName val="Cong_hop_2,0x2,02"/>
      <sheetName val="TK_1122"/>
      <sheetName val="TK_1312"/>
      <sheetName val="TK_1412"/>
      <sheetName val="TK_1532"/>
      <sheetName val="TK_2112"/>
      <sheetName val="TK_2422"/>
      <sheetName val="TK_3342"/>
      <sheetName val="TK_5112"/>
      <sheetName val="TK_5152"/>
      <sheetName val="TK_9112"/>
      <sheetName val="Dancau-Q_Ninh2"/>
      <sheetName val="BaTrieu-L_son2"/>
      <sheetName val="phan_tich_DG2"/>
      <sheetName val="gia_vat_lieu2"/>
      <sheetName val="gia_xe_may2"/>
      <sheetName val="gia_nhan_cong2"/>
      <sheetName val="giai_thich2"/>
      <sheetName val="DT_-_Ro2"/>
      <sheetName val="TH_-_Ro_2"/>
      <sheetName val="GDT_-_Ro2"/>
      <sheetName val="DT_-_TB2"/>
      <sheetName val="TH_-_TB2"/>
      <sheetName val="GDT_-_TB2"/>
      <sheetName val="DT_-_NT2"/>
      <sheetName val="TH_-_NT2"/>
      <sheetName val="GDT_-_NT2"/>
      <sheetName val="KQKD02-2_(2)2"/>
      <sheetName val="KQKD-2_(2)2"/>
      <sheetName val="KQKD_thu20042"/>
      <sheetName val="F_ThanhTri2"/>
      <sheetName val="F_Gialam2"/>
      <sheetName val="TH_dam2"/>
      <sheetName val="SX_dam2"/>
      <sheetName val="LD_dam2"/>
      <sheetName val="Bang_gia_VL2"/>
      <sheetName val="Gia_NC2"/>
      <sheetName val="Gia_may2"/>
      <sheetName val="DOANH_SO2"/>
      <sheetName val="BD-SINH_VIEN2"/>
      <sheetName val="BC_TH_CK_(2)2"/>
      <sheetName val="BC_TH_CK2"/>
      <sheetName val="BC6tT19_food2"/>
      <sheetName val="BC6tT18_-_Food2"/>
      <sheetName val="BCCK_42"/>
      <sheetName val="BCFood-_T162"/>
      <sheetName val="BCFood-_T152"/>
      <sheetName val="BCFood-_T142"/>
      <sheetName val="BCFood-_T132"/>
      <sheetName val="TH_CK22"/>
      <sheetName val="BC6tT52_(3)2"/>
      <sheetName val="BC6tT52_(2)2"/>
      <sheetName val="TCK_122"/>
      <sheetName val="Tong_CK2"/>
      <sheetName val="bcth_05-041"/>
      <sheetName val="baocao_05-041"/>
      <sheetName val="CV_di_trong__dong2"/>
      <sheetName val="Don_gia_CPM2"/>
      <sheetName val="Tong_Thieu_HD_cac_CT-20012"/>
      <sheetName val="VL_thieu_HD_-_20012"/>
      <sheetName val="Tong_thieu_HD_cac_CT_-_20022"/>
      <sheetName val="Lan_trai2"/>
      <sheetName val="Van_chuyen2"/>
      <sheetName val="HDong_VC2"/>
      <sheetName val="ThieuHD_nam_20012"/>
      <sheetName val="Bang_TH2"/>
      <sheetName val="Tong_Chinh2"/>
      <sheetName val="Tay_ninh2"/>
      <sheetName val="A_Duc2"/>
      <sheetName val="GIA_NUOC2"/>
      <sheetName val="GIA_DIEN_THOAI2"/>
      <sheetName val="GIA_DIEN2"/>
      <sheetName val="chiet_tinh_XD2"/>
      <sheetName val="Triet_T2"/>
      <sheetName val="Phan_tich_gia2"/>
      <sheetName val="pHAN_CONG2"/>
      <sheetName val="GIA_XD2"/>
      <sheetName val="HHVt_2"/>
      <sheetName val="Co~g_hop_1,5x1,52"/>
      <sheetName val="[IBASE2_XLSѝTNHNoi2"/>
      <sheetName val="TH_du_toan_2"/>
      <sheetName val="Du_toan_2"/>
      <sheetName val="C_Tinh2"/>
      <sheetName val="ql_(2)1"/>
      <sheetName val="Xaylap_2"/>
      <sheetName val="Nhan_cong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1"/>
      <sheetName val="dang_ap_dung1"/>
      <sheetName val="bang_tong_hop_(dang_huong)1"/>
      <sheetName val="So_sanh2"/>
      <sheetName val="T03_-_032"/>
      <sheetName val="THL_T032"/>
      <sheetName val="TTBC_T032"/>
      <sheetName val="Luong_noi_Bo_-_T32"/>
      <sheetName val="Tong_hop_-_T32"/>
      <sheetName val="Thuong_Quy_32"/>
      <sheetName val="Phu_cap_trach_nhiem2"/>
      <sheetName val="_KQTH_quy_hoach_1351"/>
      <sheetName val="Bao_cao_KQTH_quy_hoach_1351"/>
      <sheetName val="CT_031"/>
      <sheetName val="TH_031"/>
      <sheetName val="Heso_3-2004_(3)1"/>
      <sheetName val="Luong_(2)1"/>
      <sheetName val="heso_T31"/>
      <sheetName val="heso_T41"/>
      <sheetName val="heso_T51"/>
      <sheetName val="Heso_T61"/>
      <sheetName val="Heso_T71"/>
      <sheetName val="Heso_T81"/>
      <sheetName val="Heso_T91"/>
      <sheetName val="Heso_2-20041"/>
      <sheetName val="Heso_3-20041"/>
      <sheetName val="Heso_3-2004_(2)1"/>
      <sheetName val="Coc_62"/>
      <sheetName val="Deo_nai2"/>
      <sheetName val="CKD_than2"/>
      <sheetName val="CTT_Thong_nhat2"/>
      <sheetName val="CTT_Nui_beo2"/>
      <sheetName val="CTT_cao_son2"/>
      <sheetName val="CTT_Khe_cham2"/>
      <sheetName val="XNxlva_sxthanKCII2"/>
      <sheetName val="Cam_Y_ut_KC2"/>
      <sheetName val="CTxay_lap_mo_CP2"/>
      <sheetName val="CTdo_luong_GDSP2"/>
      <sheetName val="Dong_bac2"/>
      <sheetName val="Cac_cang_UT_mua_than_Dong_bac2"/>
      <sheetName val="cua_hang_vtu2"/>
      <sheetName val="Khach_hang_le_2"/>
      <sheetName val="nhat_ky_52"/>
      <sheetName val="cac_cong_ty_van_tai2"/>
      <sheetName val="Nhap_lieu2"/>
      <sheetName val="Tien_dien1"/>
      <sheetName val="Thue_GTGT1"/>
      <sheetName val="tô_rôiDY1"/>
      <sheetName val="Luu_goc1"/>
      <sheetName val="km22+93_86-km22+121_861"/>
      <sheetName val="km22+177_14-km22+205_641"/>
      <sheetName val="Bang_20-251"/>
      <sheetName val="km22+267_96-km22+283_961"/>
      <sheetName val="km22+304_31-km22+344_311"/>
      <sheetName val="km22+460_92-km22+614_571"/>
      <sheetName val="km22+671_78-km22+713_321"/>
      <sheetName val="nhan_su1"/>
      <sheetName val="luong_cty1"/>
      <sheetName val="Dinh_ha_nha1"/>
      <sheetName val="_tuanM1"/>
      <sheetName val="[IBASE2_XLS_Tong_hop_Matduong1"/>
      <sheetName val="THU_T121"/>
      <sheetName val="CHI_T121"/>
      <sheetName val="THU_T111"/>
      <sheetName val="CHI_T111"/>
      <sheetName val="THU_T101"/>
      <sheetName val="CHI_T101"/>
      <sheetName val="THU_T91"/>
      <sheetName val="CHI_T91"/>
      <sheetName val="THU_T81"/>
      <sheetName val="CHI_T81"/>
      <sheetName val="THT_nam_041"/>
      <sheetName val="chi_phi_cap_tien1"/>
      <sheetName val="BC§_20011"/>
      <sheetName val="BBC§_20021"/>
      <sheetName val="TSC§_20011"/>
      <sheetName val="TSc®_20021"/>
      <sheetName val="BaTrieu-L_con1"/>
      <sheetName val="EDT_-_Ro1"/>
      <sheetName val="KHVô_XL1"/>
      <sheetName val="TD_khao_sat1"/>
      <sheetName val="[IBASE2_XLS}BHXH1"/>
      <sheetName val="chuong_phu1"/>
      <sheetName val="THANG7_1"/>
      <sheetName val="THANG_111"/>
      <sheetName val="THANG_121"/>
      <sheetName val="phuong_aL_11"/>
      <sheetName val="[IBASE2_XLS䁝BC6tT171"/>
      <sheetName val="Khac_DP1"/>
      <sheetName val="Khoi_than_1"/>
      <sheetName val="TK__TK1"/>
      <sheetName val="Thang_41"/>
      <sheetName val="HD_CTrinh11"/>
      <sheetName val="HD_benA1"/>
      <sheetName val="Theodoi_HD1"/>
      <sheetName val="Theodoi_HD_(2)1"/>
      <sheetName val="_GT_CPhi_tung_dot1"/>
      <sheetName val="Bang_can_doi_1"/>
      <sheetName val="De_Tai_Vhuc_Tap1"/>
      <sheetName val="02_11"/>
      <sheetName val="2_11"/>
      <sheetName val="2_31"/>
      <sheetName val="02_31"/>
      <sheetName val="B_011"/>
      <sheetName val="B_031"/>
      <sheetName val="D_131"/>
      <sheetName val="[IBASE2_XLS?TNHNoi1"/>
      <sheetName val="Tinh_hinh_cat_lang1"/>
      <sheetName val="Tinh_hinh_SX_phu1"/>
      <sheetName val="Tinh_hinh_do_xop1"/>
      <sheetName val="(9_30)_IP"/>
      <sheetName val="Cong_hop_2,0ࡸ2,0"/>
      <sheetName val="Sat_tron"/>
      <sheetName val="QDcua_TGD_(2)䚼˰"/>
      <sheetName val="Cong_tron_D7'"/>
      <sheetName val="Cong_tron_D100Cong_tron_D150"/>
      <sheetName val="CN-QV_FG"/>
      <sheetName val="CN-QV_RM"/>
      <sheetName val="PHAV_R_M"/>
      <sheetName val="PHAV_F_G"/>
      <sheetName val="TOA_R_M"/>
      <sheetName val="TOA_F_G"/>
      <sheetName val="CVN_R_M"/>
      <sheetName val="CVN_F_G"/>
      <sheetName val="DENSO_R_M"/>
      <sheetName val="DENSO_F_G"/>
      <sheetName val="SATO_RM"/>
      <sheetName val="SATO_F_G"/>
      <sheetName val="CVden_ngoai_TCT_(1)3"/>
      <sheetName val="CV_den_ngoai_TCT_(2)3"/>
      <sheetName val="CV_den_ngoai_TCT_(3)3"/>
      <sheetName val="QDcua_TGD3"/>
      <sheetName val="QD_cua_HDQT3"/>
      <sheetName val="QD_cua_HDQT_(2)3"/>
      <sheetName val="CV_di_ngoai_tong3"/>
      <sheetName val="CV_di_ngoai_tong_(2)3"/>
      <sheetName val="To_trinh3"/>
      <sheetName val="Giao_nhiem_vu3"/>
      <sheetName val="QDcua_TGD_(2)3"/>
      <sheetName val="Thong_tu3"/>
      <sheetName val="CV_di_trong__tong3"/>
      <sheetName val="nghi_dinh-CP3"/>
      <sheetName val="CV_den_trong_tong3"/>
      <sheetName val="GIA_NUOC3"/>
      <sheetName val="GIA_DIEN_THOAI3"/>
      <sheetName val="GIA_DIEN3"/>
      <sheetName val="chiet_tinh_XD3"/>
      <sheetName val="Triet_T3"/>
      <sheetName val="Phan_tich_gia3"/>
      <sheetName val="pHAN_CONG3"/>
      <sheetName val="GIA_XD3"/>
      <sheetName val="lapdat_TB_3"/>
      <sheetName val="TNghiªm_TB_3"/>
      <sheetName val="VËt_liÖu3"/>
      <sheetName val="Lap_®at_®iÖn3"/>
      <sheetName val="TNghiÖm_VL3"/>
      <sheetName val="th_3"/>
      <sheetName val="tien_luong3"/>
      <sheetName val="KHVt_3"/>
      <sheetName val="KHVt_XL3"/>
      <sheetName val="KHVt_XLT43"/>
      <sheetName val="Thep_be3"/>
      <sheetName val="Thep_than3"/>
      <sheetName val="Thep_xa_mu3"/>
      <sheetName val="142201-T1_3"/>
      <sheetName val="142201-T2-th_3"/>
      <sheetName val="142201-T3-th_3"/>
      <sheetName val="142201-T4-th__3"/>
      <sheetName val="_t53"/>
      <sheetName val="t_43"/>
      <sheetName val="_t3_3"/>
      <sheetName val="_TH3313"/>
      <sheetName val="_Minh_ha3"/>
      <sheetName val="_Ha_Tay3"/>
      <sheetName val="_Vinhphuc3"/>
      <sheetName val="_Nbinh3"/>
      <sheetName val="_QVinh3"/>
      <sheetName val="_TW13"/>
      <sheetName val="T_so_thay_doi3"/>
      <sheetName val="b_THchitietDZCT3"/>
      <sheetName val="b_THchitietTBA3"/>
      <sheetName val="Khao_sat3"/>
      <sheetName val="TT_khao_sat3"/>
      <sheetName val="Kluong_phu3"/>
      <sheetName val="Lan_can3"/>
      <sheetName val="Ho_lan3"/>
      <sheetName val="Coc_tieu3"/>
      <sheetName val="Bien_bao3"/>
      <sheetName val="Op_mai_2743"/>
      <sheetName val="Op_mai_2753"/>
      <sheetName val="Op_mai_2763"/>
      <sheetName val="Op_mai_2773"/>
      <sheetName val="Op_mai_2783"/>
      <sheetName val="Op_mai_2793"/>
      <sheetName val="Op_mai_2803"/>
      <sheetName val="Op_mai_2813"/>
      <sheetName val="Op_mai_2823"/>
      <sheetName val="Op_mai_2833"/>
      <sheetName val="Op_mai_2843"/>
      <sheetName val="Op_mai3"/>
      <sheetName val="Song_trai3"/>
      <sheetName val="Dinh+ha_nha3"/>
      <sheetName val="NG_k3"/>
      <sheetName val="Km274_-_Km2753"/>
      <sheetName val="Km275_-_Km2763"/>
      <sheetName val="Km276_-_Km2773"/>
      <sheetName val="Km277_-_Km278_3"/>
      <sheetName val="Km278_-_Km2793"/>
      <sheetName val="Km279_-_Km2803"/>
      <sheetName val="Km280_-_Km2813"/>
      <sheetName val="Km281_-_Km2823"/>
      <sheetName val="Km282_-_Km2833"/>
      <sheetName val="Km283_-_Km2843"/>
      <sheetName val="Km284_-_Km2853"/>
      <sheetName val="Tong_hop_Matduong3"/>
      <sheetName val="Cong_D753"/>
      <sheetName val="Cong_D1003"/>
      <sheetName val="Cong_D1503"/>
      <sheetName val="Cong_2D1503"/>
      <sheetName val="Cong_ban_0,7x0,73"/>
      <sheetName val="Cong_ban_0,8x0,83"/>
      <sheetName val="Cong_ban_1x13"/>
      <sheetName val="Cong_ban_1x1,23"/>
      <sheetName val="Cong_ban_1,5x1,53"/>
      <sheetName val="Cong_ban_2x1,53"/>
      <sheetName val="Cong_ban_2x23"/>
      <sheetName val="Tong_hop3"/>
      <sheetName val="Tong_hop_(2)3"/>
      <sheetName val="Cong_cu3"/>
      <sheetName val="Cot_thep3"/>
      <sheetName val="Cong_tron_D753"/>
      <sheetName val="Cong_tron_D1003"/>
      <sheetName val="Cong_tron_D1503"/>
      <sheetName val="Cong_tron_2D1503"/>
      <sheetName val="Cong_ban_1,0x1,03"/>
      <sheetName val="Cong_ban_1,0x1,23"/>
      <sheetName val="Cong_hop_1,5x1,53"/>
      <sheetName val="Cong_hop_2,0x1,53"/>
      <sheetName val="Cong_hop_2,0x2,03"/>
      <sheetName val="thkl_(2)3"/>
      <sheetName val="long_tec3"/>
      <sheetName val="Trich_Ngang3"/>
      <sheetName val="Danh_sach_Rieng3"/>
      <sheetName val="Dia_Diem_Thuc_Tap3"/>
      <sheetName val="De_Tai_Thuc_Tap3"/>
      <sheetName val="CDSL_(2)3"/>
      <sheetName val="TK_1123"/>
      <sheetName val="TK_1313"/>
      <sheetName val="TK_1413"/>
      <sheetName val="TK_1533"/>
      <sheetName val="TK_2113"/>
      <sheetName val="TK_2423"/>
      <sheetName val="TK_3343"/>
      <sheetName val="TK_5113"/>
      <sheetName val="TK_5153"/>
      <sheetName val="TK_9113"/>
      <sheetName val="KQKD02-2_(2)3"/>
      <sheetName val="KQKD-2_(2)3"/>
      <sheetName val="KQKD_thu20043"/>
      <sheetName val="VtuHaTheSauTBABenThuy1_(2)3"/>
      <sheetName val="T_K_H_T_T53"/>
      <sheetName val="T_K_T73"/>
      <sheetName val="TK_T63"/>
      <sheetName val="T_K_T53"/>
      <sheetName val="Bang_thong_ke_hang_ton3"/>
      <sheetName val="thong_ke_3"/>
      <sheetName val="T_KT043"/>
      <sheetName val="Coc_63"/>
      <sheetName val="Deo_nai3"/>
      <sheetName val="CKD_than3"/>
      <sheetName val="CTT_Thong_nhat3"/>
      <sheetName val="CTT_Nui_beo3"/>
      <sheetName val="CTT_cao_son3"/>
      <sheetName val="CTT_Khe_cham3"/>
      <sheetName val="XNxlva_sxthanKCII3"/>
      <sheetName val="Cam_Y_ut_KC3"/>
      <sheetName val="CTxay_lap_mo_CP3"/>
      <sheetName val="CTdo_luong_GDSP3"/>
      <sheetName val="Dong_bac3"/>
      <sheetName val="Cac_cang_UT_mua_than_Dong_bac3"/>
      <sheetName val="cua_hang_vtu3"/>
      <sheetName val="Khach_hang_le_3"/>
      <sheetName val="nhat_ky_53"/>
      <sheetName val="cac_cong_ty_van_tai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F_ThanhTri3"/>
      <sheetName val="F_Gialam3"/>
      <sheetName val="TH_dam3"/>
      <sheetName val="SX_dam3"/>
      <sheetName val="LD_dam3"/>
      <sheetName val="Bang_gia_VL3"/>
      <sheetName val="Gia_NC3"/>
      <sheetName val="Gia_may3"/>
      <sheetName val="phan_tich_DG3"/>
      <sheetName val="gia_vat_lieu3"/>
      <sheetName val="gia_xe_may3"/>
      <sheetName val="gia_nhan_cong3"/>
      <sheetName val="SCT_Cong_trinh3"/>
      <sheetName val="06-2003_(2)3"/>
      <sheetName val="CDPS_6tc3"/>
      <sheetName val="SCT_Nha_thau3"/>
      <sheetName val="socai2003_(6tc)dp3"/>
      <sheetName val="socai2003_(6tc)3"/>
      <sheetName val="CDPS_6tc_(2)3"/>
      <sheetName val="Dancau-Q_Ninh3"/>
      <sheetName val="BaTrieu-L_son3"/>
      <sheetName val="Don_gia_CPM3"/>
      <sheetName val="Tong_Thieu_HD_cac_CT-20013"/>
      <sheetName val="VL_thieu_HD_-_20013"/>
      <sheetName val="Tong_thieu_HD_cac_CT_-_20023"/>
      <sheetName val="Lan_trai3"/>
      <sheetName val="Van_chuyen3"/>
      <sheetName val="HDong_VC3"/>
      <sheetName val="ThieuHD_nam_20013"/>
      <sheetName val="Bang_TH3"/>
      <sheetName val="Tong_Chinh3"/>
      <sheetName val="Xaylap_3"/>
      <sheetName val="Nhan_cong3"/>
      <sheetName val="giai_thich3"/>
      <sheetName val="DT_-_Ro3"/>
      <sheetName val="TH_-_Ro_3"/>
      <sheetName val="GDT_-_Ro3"/>
      <sheetName val="DT_-_TB3"/>
      <sheetName val="TH_-_TB3"/>
      <sheetName val="GDT_-_TB3"/>
      <sheetName val="DT_-_NT3"/>
      <sheetName val="TH_-_NT3"/>
      <sheetName val="GDT_-_NT3"/>
      <sheetName val="CV_di_trong__dong3"/>
      <sheetName val="Nhap_lieu3"/>
      <sheetName val="Tien_dien2"/>
      <sheetName val="Thue_GTGT2"/>
      <sheetName val="BC_TH_CK_(2)3"/>
      <sheetName val="BC_TH_CK3"/>
      <sheetName val="BC6tT19_food3"/>
      <sheetName val="BC6tT18_-_Food3"/>
      <sheetName val="BCCK_43"/>
      <sheetName val="BCFood-_T163"/>
      <sheetName val="BCFood-_T153"/>
      <sheetName val="BCFood-_T143"/>
      <sheetName val="BCFood-_T133"/>
      <sheetName val="TH_CK23"/>
      <sheetName val="BC6tT52_(3)3"/>
      <sheetName val="BC6tT52_(2)3"/>
      <sheetName val="TCK_123"/>
      <sheetName val="Tong_CK3"/>
      <sheetName val="DOANH_SO3"/>
      <sheetName val="BD-SINH_VIEN3"/>
      <sheetName val="T03_-_033"/>
      <sheetName val="THL_T033"/>
      <sheetName val="TTBC_T033"/>
      <sheetName val="Luong_noi_Bo_-_T33"/>
      <sheetName val="Tong_hop_-_T33"/>
      <sheetName val="Thuong_Quy_33"/>
      <sheetName val="Phu_cap_trach_nhiem3"/>
      <sheetName val="Tay_ninh3"/>
      <sheetName val="A_Duc3"/>
      <sheetName val="[IBASE2_XLSѝTNHNoi3"/>
      <sheetName val="So_sanh3"/>
      <sheetName val="HHVt_3"/>
      <sheetName val="bcth_05-042"/>
      <sheetName val="baocao_05-042"/>
      <sheetName val="ql_(2)2"/>
      <sheetName val="TH_du_toan_3"/>
      <sheetName val="Du_toan_3"/>
      <sheetName val="C_Tinh3"/>
      <sheetName val="Co~g_hop_1,5x1,53"/>
      <sheetName val="_KQTH_quy_hoach_1352"/>
      <sheetName val="Bao_cao_KQTH_quy_hoach_1352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tô_rôiDY2"/>
      <sheetName val="Heso_3-2004_(3)2"/>
      <sheetName val="Luong_(2)2"/>
      <sheetName val="heso_T32"/>
      <sheetName val="heso_T42"/>
      <sheetName val="heso_T52"/>
      <sheetName val="Heso_T62"/>
      <sheetName val="Heso_T72"/>
      <sheetName val="Heso_T82"/>
      <sheetName val="Heso_T92"/>
      <sheetName val="Heso_2-20042"/>
      <sheetName val="Heso_3-20042"/>
      <sheetName val="Heso_3-2004_(2)2"/>
      <sheetName val="nhan_su2"/>
      <sheetName val="luong_cty2"/>
      <sheetName val="Thang_42"/>
      <sheetName val="Luu_goc2"/>
      <sheetName val="km22+93_86-km22+121_862"/>
      <sheetName val="km22+177_14-km22+205_642"/>
      <sheetName val="Bang_20-252"/>
      <sheetName val="km22+267_96-km22+283_962"/>
      <sheetName val="km22+304_31-km22+344_312"/>
      <sheetName val="km22+460_92-km22+614_572"/>
      <sheetName val="km22+671_78-km22+713_322"/>
      <sheetName val="_tuanM2"/>
      <sheetName val="CT_032"/>
      <sheetName val="TH_032"/>
      <sheetName val="bang_so_sanh_tong_hop_(_PA_cho2"/>
      <sheetName val="dang_ap_dung2"/>
      <sheetName val="bang_tong_hop_(dang_huong)2"/>
      <sheetName val="Dinh_ha_nha2"/>
      <sheetName val="[IBASE2_XLS}BHXH2"/>
      <sheetName val="[IBASE2_XLS䁝BC6tT172"/>
      <sheetName val="THT_nam_042"/>
      <sheetName val="HD_CTrinh12"/>
      <sheetName val="HD_benA2"/>
      <sheetName val="Theodoi_HD2"/>
      <sheetName val="Theodoi_HD_(2)2"/>
      <sheetName val="_GT_CPhi_tung_dot2"/>
      <sheetName val="[IBASE2_XLS_Tong_hop_Matduong2"/>
      <sheetName val="THU_T122"/>
      <sheetName val="CHI_T122"/>
      <sheetName val="THU_T112"/>
      <sheetName val="CHI_T112"/>
      <sheetName val="THU_T102"/>
      <sheetName val="CHI_T102"/>
      <sheetName val="THU_T92"/>
      <sheetName val="CHI_T92"/>
      <sheetName val="THU_T82"/>
      <sheetName val="CHI_T82"/>
      <sheetName val="chi_phi_cap_tien2"/>
      <sheetName val="BC§_20012"/>
      <sheetName val="BBC§_20022"/>
      <sheetName val="TSC§_20012"/>
      <sheetName val="TSc®_20022"/>
      <sheetName val="BaTrieu-L_con2"/>
      <sheetName val="EDT_-_Ro2"/>
      <sheetName val="KHVô_XL2"/>
      <sheetName val="TD_khao_sat2"/>
      <sheetName val="chuong_phu2"/>
      <sheetName val="THANG7_2"/>
      <sheetName val="THANG_112"/>
      <sheetName val="THANG_122"/>
      <sheetName val="phuong_aL_12"/>
      <sheetName val="Khac_DP2"/>
      <sheetName val="Khoi_than_2"/>
      <sheetName val="TK__TK2"/>
      <sheetName val="Bang_can_doi_2"/>
      <sheetName val="De_Tai_Vhuc_Tap2"/>
      <sheetName val="02_12"/>
      <sheetName val="2_12"/>
      <sheetName val="2_32"/>
      <sheetName val="02_32"/>
      <sheetName val="B_012"/>
      <sheetName val="B_032"/>
      <sheetName val="D_132"/>
      <sheetName val="[IBASE2_XLS?TNHNoi2"/>
      <sheetName val="Tinh_hinh_cat_lang2"/>
      <sheetName val="Tinh_hinh_SX_phu2"/>
      <sheetName val="Tinh_hinh_do_xop2"/>
      <sheetName val="(9_30)_IP1"/>
      <sheetName val="Cong_hop_2,0ࡸ2,01"/>
      <sheetName val="Sat_tron1"/>
      <sheetName val="Cong_tron_D7'1"/>
      <sheetName val="2_741"/>
      <sheetName val="CN-QV_FG1"/>
      <sheetName val="CN-QV_RM1"/>
      <sheetName val="PHAV_R_M1"/>
      <sheetName val="PHAV_F_G1"/>
      <sheetName val="TOA_R_M1"/>
      <sheetName val="TOA_F_G1"/>
      <sheetName val="CVN_R_M1"/>
      <sheetName val="CVN_F_G1"/>
      <sheetName val="DENSO_R_M1"/>
      <sheetName val="DENSO_F_G1"/>
      <sheetName val="SATO_RM1"/>
      <sheetName val="SATO_F_G1"/>
      <sheetName val="det_VP"/>
      <sheetName val="det_hn"/>
      <sheetName val="chi_Hieu"/>
      <sheetName val="c_thoa"/>
      <sheetName val="A_thanh_-_DL"/>
      <sheetName val="A_Tuyen"/>
      <sheetName val="A_Tien_-laphu"/>
      <sheetName val="A_Thang-_laphu"/>
      <sheetName val="A_Dong"/>
      <sheetName val="27-7_NB"/>
      <sheetName val="xn_5"/>
      <sheetName val="PKD_X20"/>
      <sheetName val="da_giay_SG"/>
      <sheetName val="dagiay_XK"/>
      <sheetName val="DK_Dong_xuan"/>
      <sheetName val="chu_Ton"/>
      <sheetName val="minh_tri"/>
      <sheetName val="viet_huy"/>
      <sheetName val="thanh_ha"/>
      <sheetName val="O_Su"/>
      <sheetName val="A_Ha-DL"/>
      <sheetName val="Vinh_oanh"/>
      <sheetName val="chi_Thuy"/>
      <sheetName val="chu_Hong"/>
      <sheetName val="thuy-_may"/>
      <sheetName val="vu_yen"/>
      <sheetName val="PPN"/>
      <sheetName val="OPERATING_HEAD"/>
      <sheetName val="31_12_01"/>
      <sheetName val="Tong_hop_xuat_kho_nvl"/>
      <sheetName val="Xuat_kho"/>
      <sheetName val="Tong_hop_so_lieu_tai_nhap_kho"/>
      <sheetName val="tai_nhap_kho"/>
      <sheetName val="Nhap_kho"/>
      <sheetName val="Tong_ket_nhap_kho"/>
      <sheetName val="Tong_ket"/>
      <sheetName val="cac_ma_can_huy"/>
      <sheetName val="Hang_hong"/>
      <sheetName val="Tham_khao"/>
      <sheetName val="hang_khong_co_packing"/>
      <sheetName val="VtuHaTheSauTBABenThuy1_Ш2)"/>
      <sheetName val="K252_K9и"/>
      <sheetName val="nphuocb_4"/>
      <sheetName val="bcth_05-0"/>
      <sheetName val="ESTI_"/>
      <sheetName val="TB_Grouping"/>
      <sheetName val="Balance_Sheet"/>
      <sheetName val="CHITIET_VL-NC"/>
      <sheetName val="DON_GIA"/>
      <sheetName val="So_lieu"/>
      <sheetName val="tt_chu_dong"/>
      <sheetName val="Tinh_j+cvi"/>
      <sheetName val="Tinh_MoP"/>
      <sheetName val="giai_he_2"/>
      <sheetName val="ct_luong_"/>
      <sheetName val="Nhap_6T"/>
      <sheetName val="Ranking_data"/>
      <sheetName val="pHAN_CON"/>
      <sheetName val="Km277_%Km278_"/>
      <sheetName val="May_khau"/>
      <sheetName val="PXKT6Via_11"/>
      <sheetName val="PXKTLo_Thien_V_14A"/>
      <sheetName val="V14_phu"/>
      <sheetName val="Via_16_Lthien"/>
      <sheetName val="ポンプ作動耐久回数検討"/>
      <sheetName val="LKVL-CK-HT-GD1"/>
      <sheetName val="giathanh1"/>
      <sheetName val="lam-moi"/>
      <sheetName val="gtrinh"/>
      <sheetName val="thao-go"/>
      <sheetName val="DONGIA"/>
      <sheetName val="TONGKE-HT"/>
      <sheetName val="#REF"/>
      <sheetName val="phuluc1"/>
      <sheetName val="chitimc"/>
      <sheetName val="THPDMoi  (2)"/>
      <sheetName val="t-h HA THE"/>
      <sheetName val="TH XL"/>
      <sheetName val="TONGKE3p "/>
      <sheetName val="Tiepdia"/>
      <sheetName val="CHITIET VL-NC-TT-3p"/>
      <sheetName val="TDTKP"/>
      <sheetName val="VCV-BE-TONG"/>
      <sheetName val="ｺﾝY条件BD"/>
      <sheetName val="HDþ"/>
      <sheetName val="BTHDT_TBA_x000d__x0000__x0000_T"/>
      <sheetName val="_IBASE2.XLS䁝BC6tT17"/>
      <sheetName val="BTHDT_TBA_x000d___THXL_DZcaothe"/>
      <sheetName val="_IBASE2.XLS}BHXH"/>
      <sheetName val="_IBASE2.XLS_Tong hop Matduong"/>
      <sheetName val="_IBASE2_XLSѝTNHNoi"/>
      <sheetName val="BTHDT_TBA_x000a__x0000__x0000_T"/>
      <sheetName val="Stationary"/>
      <sheetName val="BTHDT_TBA "/>
      <sheetName val="nam2004"/>
      <sheetName val="Lookup Tables"/>
      <sheetName val="Cong ban 11yx1,2"/>
      <sheetName val="櫘"/>
      <sheetName val="List"/>
      <sheetName val="Parem"/>
      <sheetName val="CT Thang Mo"/>
      <sheetName val="CT  PL"/>
      <sheetName val="142201_x0005__x0000__x0000_"/>
      <sheetName val="Dropdow list"/>
      <sheetName val="Packing type 2"/>
      <sheetName val="Links"/>
      <sheetName val="Lead"/>
      <sheetName val="Px1"/>
      <sheetName val="Px2"/>
      <sheetName val="MTO REV.0"/>
      <sheetName val="Settings"/>
      <sheetName val="Translation"/>
      <sheetName val="Official"/>
      <sheetName val="BL3"/>
      <sheetName val="KG4"/>
      <sheetName val="BL4"/>
      <sheetName val="Nham"/>
      <sheetName val="Thai"/>
      <sheetName val="Linh"/>
      <sheetName val="Linh (2)"/>
      <sheetName val="KG6"/>
      <sheetName val="[IBASE2.XLSULuongT2"/>
      <sheetName val="SOban"/>
      <sheetName val="MHH"/>
      <sheetName val="HDmua "/>
      <sheetName val="OT"/>
      <sheetName val="PAGE1"/>
      <sheetName val="BTÐ"/>
      <sheetName val="0803 by Dept"/>
      <sheetName val="CF_DT"/>
      <sheetName val="FP_PT"/>
      <sheetName val="CD2000"/>
      <sheetName val="ngoc"/>
      <sheetName val="TongHopNX"/>
      <sheetName val="DMKhachHang"/>
      <sheetName val="DTNV"/>
      <sheetName val="FCTCalculationSheet"/>
      <sheetName val="D送1"/>
      <sheetName val="K送nht送-hi送lam"/>
      <sheetName val="So quy"/>
      <sheetName val="Thang 10"/>
      <sheetName val="Thang 9"/>
      <sheetName val="Thang 8"/>
      <sheetName val="Thang 7"/>
      <sheetName val="Thang 6"/>
      <sheetName val="Thang 5"/>
      <sheetName val="Thang 3"/>
      <sheetName val="Thang 2"/>
      <sheetName val="Thang 1"/>
      <sheetName val="Khau hao"/>
      <sheetName val="lo hang 1"/>
      <sheetName val="lo hang 2"/>
      <sheetName val="Master schedule"/>
      <sheetName val="mc 2006 &amp; 09"/>
      <sheetName val="mc 2006 &amp; 57 &amp; 09"/>
      <sheetName val="生B715適用検討一覧"/>
      <sheetName val="Solieudien"/>
      <sheetName val="DS tong"/>
      <sheetName val="TH-Dien"/>
      <sheetName val="c5"/>
      <sheetName val="c_x0008_"/>
      <sheetName val="Part data"/>
      <sheetName val="Vender Data"/>
      <sheetName val="#REF!"/>
      <sheetName val="入力ｼｰﾄ"/>
      <sheetName val="DIACHI"/>
      <sheetName val="mng"/>
      <sheetName val="CC"/>
      <sheetName val="C100-KICK"/>
      <sheetName val="Ｍss.４Ｒ要員"/>
      <sheetName val="県別ﾏﾙﾁ"/>
      <sheetName val="名簿データ"/>
      <sheetName val="モデル賃金"/>
      <sheetName val="Source"/>
      <sheetName val="CHITIET VL-NC-TT1p"/>
      <sheetName val="TONGKE3p"/>
      <sheetName val="Form"/>
      <sheetName val="NV"/>
      <sheetName val="10000ူ000000"/>
      <sheetName val="Cong bal 2x2"/>
      <sheetName val="SBD-Phach"/>
      <sheetName val="01pl"/>
      <sheetName val="Ca._x0000_"/>
      <sheetName val="BS"/>
      <sheetName val="FX FWD KS"/>
      <sheetName val="Phan bo 142"/>
      <sheetName val="Xuat hang"/>
      <sheetName val="Can doi"/>
      <sheetName val="ma"/>
      <sheetName val="VP-MM"/>
      <sheetName val="KQKDluytien"/>
      <sheetName val="MUA-"/>
      <sheetName val="BAN"/>
      <sheetName val="TONKHO CHITIET"/>
      <sheetName val="LAI%CTY"/>
      <sheetName val="Lai%CO"/>
      <sheetName val="LAI CTY 0,75%"/>
      <sheetName val="Sheet17"/>
      <sheetName val="Sheet18"/>
      <sheetName val="Sheet19"/>
      <sheetName val="Sheet20"/>
      <sheetName val="Data Sheet"/>
      <sheetName val="SP10"/>
      <sheetName val="food0402AMT&gt;=0"/>
      <sheetName val="1A.Muc-tieu Cty"/>
      <sheetName val="ctTBA"/>
      <sheetName val="매출계획대실적"/>
      <sheetName val="QDcua TGD (0)"/>
      <sheetName val="NKChung "/>
      <sheetName val="TH_CPNVL"/>
      <sheetName val="DC"/>
      <sheetName val="Bieu do"/>
      <sheetName val="CusotmerVendorGroup"/>
      <sheetName val="メニュー"/>
      <sheetName val="LK PHIEU (2)"/>
      <sheetName val="材料表用リスト"/>
      <sheetName val="端子リスト"/>
      <sheetName val="NhKy-Thg"/>
      <sheetName val="Reference"/>
      <sheetName val="KHQT-00-01"/>
      <sheetName val="Mavt"/>
      <sheetName val="KHVô Xx"/>
      <sheetName val="baocaochinh(qui1.05) (DC)"/>
      <sheetName val="Ctuluongq.1.05"/>
      <sheetName val="BANG PHAN BO qui1.05(DC)"/>
      <sheetName val="BANG PHAN BO quiII.05"/>
      <sheetName val="bao cac cinh Qui II-2005"/>
      <sheetName val="Gia thanh"/>
      <sheetName val="DON GIA TRAM (3)"/>
      <sheetName val="Solieu"/>
      <sheetName val="USdd"/>
      <sheetName val="USdcs"/>
      <sheetName val="USdcq"/>
      <sheetName val="Luc"/>
      <sheetName val="Tongke"/>
      <sheetName val="Lietke"/>
      <sheetName val="CDay"/>
      <sheetName val="Catalog"/>
      <sheetName val="K2"/>
      <sheetName val="VTuHaVheSautramBT2"/>
      <sheetName val="Coog ban 0,7x0,7"/>
      <sheetName val="XXXXXX_x005f_x005f_x005f_xda24_X"/>
      <sheetName val="0("/>
      <sheetName val="0v"/>
      <sheetName val="0"/>
      <sheetName val="OM"/>
      <sheetName val="T11_06"/>
      <sheetName val="T12_06"/>
      <sheetName val="det_VP1"/>
      <sheetName val="det_hn1"/>
      <sheetName val="chi_Hieu1"/>
      <sheetName val="c_thoa1"/>
      <sheetName val="A_thanh_-_DL1"/>
      <sheetName val="A_Tuyen1"/>
      <sheetName val="A_Tien_-laphu1"/>
      <sheetName val="T11_061"/>
      <sheetName val="T12_061"/>
      <sheetName val="TT35"/>
      <sheetName val="bm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T_Coc"/>
      <sheetName val="D_Nghia"/>
      <sheetName val="P_Phu"/>
      <sheetName val="P_Lai"/>
      <sheetName val="N_Xuyen"/>
      <sheetName val="H_quan"/>
      <sheetName val="S_Dang"/>
      <sheetName val="tô_rôiDY3"/>
      <sheetName val="bang_so_sanh_tong_hop_(_PA_cho3"/>
      <sheetName val="dang_ap_dung3"/>
      <sheetName val="bang_tong_hop_(dang_huong)3"/>
      <sheetName val="ql_(2)3"/>
      <sheetName val="Heso_3-2004_(3)3"/>
      <sheetName val="Luong_(2)3"/>
      <sheetName val="heso_T33"/>
      <sheetName val="heso_T43"/>
      <sheetName val="heso_T53"/>
      <sheetName val="Heso_T63"/>
      <sheetName val="Heso_T73"/>
      <sheetName val="Heso_T83"/>
      <sheetName val="Heso_T93"/>
      <sheetName val="Heso_2-20043"/>
      <sheetName val="Heso_3-20043"/>
      <sheetName val="Heso_3-2004_(2)3"/>
      <sheetName val="_KQTH_quy_hoach_1353"/>
      <sheetName val="Bao_cao_KQTH_quy_hoach_1353"/>
      <sheetName val="CT_033"/>
      <sheetName val="TH_033"/>
      <sheetName val="bcth_05-043"/>
      <sheetName val="baocao_05-043"/>
      <sheetName val="Tien_dien3"/>
      <sheetName val="Thue_GTGT3"/>
      <sheetName val="Cong_hop_2,0ࡸ2,02"/>
      <sheetName val="For_Summary2"/>
      <sheetName val="For_Summary(KG)2"/>
      <sheetName val="PP_Cloth2"/>
      <sheetName val="Mix-PP_Cloth2"/>
      <sheetName val="Material_Price-PP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T_Coc2"/>
      <sheetName val="D_Nghia2"/>
      <sheetName val="P_Phu2"/>
      <sheetName val="P_Lai2"/>
      <sheetName val="N_Xuyen2"/>
      <sheetName val="H_quan2"/>
      <sheetName val="S_Dang2"/>
      <sheetName val="Tuan_1_012"/>
      <sheetName val="Tuan_3_01_2"/>
      <sheetName val="Tuan_5_06_2"/>
      <sheetName val="Tuan_6_06__2"/>
      <sheetName val="Tuan_7_06_2"/>
      <sheetName val="Tuan_7_06__(2)2"/>
      <sheetName val="Tuan10,06_2"/>
      <sheetName val="Tuan11,06__2"/>
      <sheetName val="Bao_cao_DD_31_3_062"/>
      <sheetName val="Bao_cao_DD_30_4_062"/>
      <sheetName val="For_Summary1"/>
      <sheetName val="For_Summary(KG)1"/>
      <sheetName val="PP_Cloth1"/>
      <sheetName val="Mix-PP_Cloth1"/>
      <sheetName val="Material_Price-PP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T_Coc1"/>
      <sheetName val="D_Nghia1"/>
      <sheetName val="P_Phu1"/>
      <sheetName val="P_Lai1"/>
      <sheetName val="N_Xuyen1"/>
      <sheetName val="H_quan1"/>
      <sheetName val="S_Dang1"/>
      <sheetName val="Tuan_1_011"/>
      <sheetName val="Tuan_3_01_1"/>
      <sheetName val="Tuan_5_06_1"/>
      <sheetName val="Tuan_6_06__1"/>
      <sheetName val="Tuan_7_06_1"/>
      <sheetName val="Tuan_7_06__(2)1"/>
      <sheetName val="Tuan10,06_1"/>
      <sheetName val="Tuan11,06__1"/>
      <sheetName val="Bao_cao_DD_31_3_061"/>
      <sheetName val="Bao_cao_DD_30_4_061"/>
      <sheetName val="Tkedo_x0009__x0000__x0007__x0000_"/>
      <sheetName val="܀ऀఀ܀"/>
      <sheetName val="Tkedo _x0000__x0007__x0000_"/>
      <sheetName val="Dept.List"/>
      <sheetName val="Statement"/>
      <sheetName val="˜Ünh m÷c"/>
      <sheetName val="Income Statement"/>
      <sheetName val="TRBANG"/>
      <sheetName val="CVden_ngoai_TCT_(1)6"/>
      <sheetName val="CV_den_ngoai_TCT_(2)6"/>
      <sheetName val="CV_den_ngoai_TCT_(3)6"/>
      <sheetName val="QDcua_TGD6"/>
      <sheetName val="QD_cua_HDQT6"/>
      <sheetName val="QD_cua_HDQT_(2)6"/>
      <sheetName val="CV_di_ngoai_tong6"/>
      <sheetName val="CV_di_ngoai_tong_(2)6"/>
      <sheetName val="To_trinh6"/>
      <sheetName val="Giao_nhiem_vu6"/>
      <sheetName val="QDcua_TGD_(2)6"/>
      <sheetName val="Thong_tu6"/>
      <sheetName val="CV_di_trong__tong6"/>
      <sheetName val="nghi_dinh-CP6"/>
      <sheetName val="CV_den_trong_tong6"/>
      <sheetName val="lapdat_TB_6"/>
      <sheetName val="TNghiªm_TB_6"/>
      <sheetName val="VËt_liÖu6"/>
      <sheetName val="Lap_®at_®iÖn6"/>
      <sheetName val="TNghiÖm_VL6"/>
      <sheetName val="th_6"/>
      <sheetName val="tien_luong6"/>
      <sheetName val="KHVt_6"/>
      <sheetName val="KHVt_XL6"/>
      <sheetName val="KHVt_XLT46"/>
      <sheetName val="142201-T1_6"/>
      <sheetName val="142201-T2-th_6"/>
      <sheetName val="142201-T3-th_6"/>
      <sheetName val="142201-T4-th__6"/>
      <sheetName val="Thep_be6"/>
      <sheetName val="Thep_than6"/>
      <sheetName val="Thep_xa_mu6"/>
      <sheetName val="_t56"/>
      <sheetName val="t_46"/>
      <sheetName val="_t3_6"/>
      <sheetName val="_TH3316"/>
      <sheetName val="_Minh_ha6"/>
      <sheetName val="_Ha_Tay6"/>
      <sheetName val="_Vinhphuc6"/>
      <sheetName val="_Nbinh6"/>
      <sheetName val="_QVinh6"/>
      <sheetName val="_TW16"/>
      <sheetName val="Kluong_phu6"/>
      <sheetName val="Lan_can6"/>
      <sheetName val="Ho_lan6"/>
      <sheetName val="Coc_tieu6"/>
      <sheetName val="Bien_bao6"/>
      <sheetName val="Op_mai_2746"/>
      <sheetName val="Op_mai_2756"/>
      <sheetName val="Op_mai_2766"/>
      <sheetName val="Op_mai_2776"/>
      <sheetName val="Op_mai_2786"/>
      <sheetName val="Op_mai_2796"/>
      <sheetName val="Op_mai_2806"/>
      <sheetName val="Op_mai_2816"/>
      <sheetName val="Op_mai_2826"/>
      <sheetName val="Op_mai_2836"/>
      <sheetName val="Op_mai_2846"/>
      <sheetName val="Op_mai6"/>
      <sheetName val="T_so_thay_doi6"/>
      <sheetName val="b_THchitietDZCT6"/>
      <sheetName val="b_THchitietTBA6"/>
      <sheetName val="Khao_sat6"/>
      <sheetName val="TT_khao_sat6"/>
      <sheetName val="T_K_H_T_T56"/>
      <sheetName val="T_K_T76"/>
      <sheetName val="TK_T66"/>
      <sheetName val="T_K_T56"/>
      <sheetName val="Bang_thong_ke_hang_ton6"/>
      <sheetName val="thong_ke_6"/>
      <sheetName val="T_KT046"/>
      <sheetName val="VtuHaTheSauTBABenThuy1_(2)6"/>
      <sheetName val="GIA_NUOC6"/>
      <sheetName val="GIA_DIEN_THOAI6"/>
      <sheetName val="GIA_DIEN6"/>
      <sheetName val="chiet_tinh_XD6"/>
      <sheetName val="Triet_T6"/>
      <sheetName val="Phan_tich_gia6"/>
      <sheetName val="pHAN_CONG6"/>
      <sheetName val="GIA_XD6"/>
      <sheetName val="CDSL_(2)6"/>
      <sheetName val="Km274_-_Km2756"/>
      <sheetName val="Km275_-_Km2766"/>
      <sheetName val="Km276_-_Km2776"/>
      <sheetName val="Km277_-_Km278_6"/>
      <sheetName val="Km278_-_Km2796"/>
      <sheetName val="Km279_-_Km2806"/>
      <sheetName val="Km280_-_Km2816"/>
      <sheetName val="Km281_-_Km2826"/>
      <sheetName val="Km282_-_Km2836"/>
      <sheetName val="Km283_-_Km2846"/>
      <sheetName val="Km284_-_Km2856"/>
      <sheetName val="Tong_hop_Matduong6"/>
      <sheetName val="Cong_D756"/>
      <sheetName val="Cong_D1006"/>
      <sheetName val="Cong_D1506"/>
      <sheetName val="Cong_2D1506"/>
      <sheetName val="Cong_ban_0,7x0,76"/>
      <sheetName val="Cong_ban_0,8x0,86"/>
      <sheetName val="Cong_ban_1x16"/>
      <sheetName val="Cong_ban_1x1,26"/>
      <sheetName val="Cong_ban_1,5x1,56"/>
      <sheetName val="Cong_ban_2x1,56"/>
      <sheetName val="Cong_ban_2x26"/>
      <sheetName val="Tong_hop6"/>
      <sheetName val="Tong_hop_(2)6"/>
      <sheetName val="Cong_cu6"/>
      <sheetName val="Cot_thep6"/>
      <sheetName val="Cong_tron_D756"/>
      <sheetName val="Cong_tron_D1006"/>
      <sheetName val="Cong_tron_D1506"/>
      <sheetName val="Cong_tron_2D1506"/>
      <sheetName val="Cong_ban_1,0x1,06"/>
      <sheetName val="Cong_ban_1,0x1,26"/>
      <sheetName val="Cong_hop_1,5x1,56"/>
      <sheetName val="Cong_hop_2,0x1,56"/>
      <sheetName val="Cong_hop_2,0x2,06"/>
      <sheetName val="TK_1126"/>
      <sheetName val="TK_1316"/>
      <sheetName val="TK_1416"/>
      <sheetName val="TK_1536"/>
      <sheetName val="TK_2116"/>
      <sheetName val="TK_2426"/>
      <sheetName val="TK_3346"/>
      <sheetName val="TK_5116"/>
      <sheetName val="TK_5156"/>
      <sheetName val="TK_9116"/>
      <sheetName val="Song_trai6"/>
      <sheetName val="Dinh+ha_nha6"/>
      <sheetName val="NG_k6"/>
      <sheetName val="Trich_Ngang6"/>
      <sheetName val="Danh_sach_Rieng6"/>
      <sheetName val="Dia_Diem_Thuc_Tap6"/>
      <sheetName val="De_Tai_Thuc_Tap6"/>
      <sheetName val="thkl_(2)6"/>
      <sheetName val="long_tec6"/>
      <sheetName val="KQKD02-2_(2)6"/>
      <sheetName val="KQKD-2_(2)6"/>
      <sheetName val="KQKD_thu20046"/>
      <sheetName val="tô_rôiDY5"/>
      <sheetName val="F_ThanhTri6"/>
      <sheetName val="F_Gialam6"/>
      <sheetName val="TH_dam6"/>
      <sheetName val="SX_dam6"/>
      <sheetName val="LD_dam6"/>
      <sheetName val="Bang_gia_VL6"/>
      <sheetName val="Gia_NC6"/>
      <sheetName val="Gia_may6"/>
      <sheetName val="phan_tich_DG6"/>
      <sheetName val="gia_vat_lieu6"/>
      <sheetName val="gia_xe_may6"/>
      <sheetName val="gia_nhan_cong6"/>
      <sheetName val="K249_K986"/>
      <sheetName val="K249_K98_(2)6"/>
      <sheetName val="K251_K986"/>
      <sheetName val="K251_SBase6"/>
      <sheetName val="K251_AC6"/>
      <sheetName val="K252_K986"/>
      <sheetName val="K252_SBase6"/>
      <sheetName val="K252_AC6"/>
      <sheetName val="K253_K986"/>
      <sheetName val="K253_Subbase6"/>
      <sheetName val="K253_Base_6"/>
      <sheetName val="K253_SBase6"/>
      <sheetName val="K253_AC6"/>
      <sheetName val="K255_SBase6"/>
      <sheetName val="K259_K986"/>
      <sheetName val="K259_Subbase6"/>
      <sheetName val="K259_Base_6"/>
      <sheetName val="K259_AC6"/>
      <sheetName val="K260_K986"/>
      <sheetName val="K260_Subbase6"/>
      <sheetName val="K260_Base6"/>
      <sheetName val="K260_AC6"/>
      <sheetName val="K261_K986"/>
      <sheetName val="K261_Base6"/>
      <sheetName val="K261_AC6"/>
      <sheetName val="Dancau-Q_Ninh6"/>
      <sheetName val="BaTrieu-L_son6"/>
      <sheetName val="HHVt_6"/>
      <sheetName val="Don_gia_CPM6"/>
      <sheetName val="Tong_Thieu_HD_cac_CT-20016"/>
      <sheetName val="VL_thieu_HD_-_20016"/>
      <sheetName val="Tong_thieu_HD_cac_CT_-_20026"/>
      <sheetName val="Lan_trai6"/>
      <sheetName val="Van_chuyen6"/>
      <sheetName val="HDong_VC6"/>
      <sheetName val="ThieuHD_nam_20016"/>
      <sheetName val="Bang_TH6"/>
      <sheetName val="Tong_Chinh6"/>
      <sheetName val="Tay_ninh6"/>
      <sheetName val="A_Duc6"/>
      <sheetName val="giai_thich6"/>
      <sheetName val="DT_-_Ro6"/>
      <sheetName val="TH_-_Ro_6"/>
      <sheetName val="GDT_-_Ro6"/>
      <sheetName val="DT_-_TB6"/>
      <sheetName val="TH_-_TB6"/>
      <sheetName val="GDT_-_TB6"/>
      <sheetName val="DT_-_NT6"/>
      <sheetName val="TH_-_NT6"/>
      <sheetName val="GDT_-_NT6"/>
      <sheetName val="Co~g_hop_1,5x1,56"/>
      <sheetName val="SCT_Cong_trinh6"/>
      <sheetName val="06-2003_(2)6"/>
      <sheetName val="CDPS_6tc6"/>
      <sheetName val="SCT_Nha_thau6"/>
      <sheetName val="socai2003_(6tc)dp6"/>
      <sheetName val="socai2003_(6tc)6"/>
      <sheetName val="CDPS_6tc_(2)6"/>
      <sheetName val="TH_du_toan_6"/>
      <sheetName val="Du_toan_6"/>
      <sheetName val="C_Tinh6"/>
      <sheetName val="Xaylap_6"/>
      <sheetName val="Nhan_cong6"/>
      <sheetName val="Heso_3-2004_(3)5"/>
      <sheetName val="Luong_(2)5"/>
      <sheetName val="heso_T35"/>
      <sheetName val="heso_T45"/>
      <sheetName val="heso_T55"/>
      <sheetName val="Heso_T65"/>
      <sheetName val="Heso_T75"/>
      <sheetName val="Heso_T85"/>
      <sheetName val="Heso_T95"/>
      <sheetName val="Heso_2-20045"/>
      <sheetName val="Heso_3-20045"/>
      <sheetName val="Heso_3-2004_(2)5"/>
      <sheetName val="So_sanh6"/>
      <sheetName val="Coc_66"/>
      <sheetName val="Deo_nai6"/>
      <sheetName val="CKD_than6"/>
      <sheetName val="CTT_Thong_nhat6"/>
      <sheetName val="CTT_Nui_beo6"/>
      <sheetName val="CTT_cao_son6"/>
      <sheetName val="CTT_Khe_cham6"/>
      <sheetName val="XNxlva_sxthanKCII6"/>
      <sheetName val="Cam_Y_ut_KC6"/>
      <sheetName val="CTxay_lap_mo_CP6"/>
      <sheetName val="CTdo_luong_GDSP6"/>
      <sheetName val="Dong_bac6"/>
      <sheetName val="Cac_cang_UT_mua_than_Dong_bac6"/>
      <sheetName val="cua_hang_vtu6"/>
      <sheetName val="Khach_hang_le_6"/>
      <sheetName val="nhat_ky_56"/>
      <sheetName val="cac_cong_ty_van_tai6"/>
      <sheetName val="T03_-_036"/>
      <sheetName val="THL_T036"/>
      <sheetName val="TTBC_T036"/>
      <sheetName val="Luong_noi_Bo_-_T36"/>
      <sheetName val="Tong_hop_-_T36"/>
      <sheetName val="Thuong_Quy_36"/>
      <sheetName val="Phu_cap_trach_nhiem6"/>
      <sheetName val="CV_di_trong__dong6"/>
      <sheetName val="BC_TH_CK_(2)6"/>
      <sheetName val="BC_TH_CK6"/>
      <sheetName val="BC6tT19_food6"/>
      <sheetName val="BC6tT18_-_Food6"/>
      <sheetName val="BCCK_46"/>
      <sheetName val="BCFood-_T166"/>
      <sheetName val="BCFood-_T156"/>
      <sheetName val="BCFood-_T146"/>
      <sheetName val="BCFood-_T136"/>
      <sheetName val="TH_CK26"/>
      <sheetName val="BC6tT52_(3)6"/>
      <sheetName val="BC6tT52_(2)6"/>
      <sheetName val="TCK_126"/>
      <sheetName val="Tong_CK6"/>
      <sheetName val="DOANH_SO6"/>
      <sheetName val="BD-SINH_VIEN6"/>
      <sheetName val="Co_quan_TCT6"/>
      <sheetName val="BOT_(PA_chon)6"/>
      <sheetName val="Yaly_&amp;_Ri_Ninh6"/>
      <sheetName val="Thuy_dien_Na_Loi6"/>
      <sheetName val="bang_so_sanh_tong_hop6"/>
      <sheetName val="bang_so_sanh_tong_hop_(ty_le)6"/>
      <sheetName val="thu_nhap_binh_quan_(2)6"/>
      <sheetName val="dang_huong6"/>
      <sheetName val="phuong_an_16"/>
      <sheetName val="phuong_an_1_(2)6"/>
      <sheetName val="phuong_an26"/>
      <sheetName val="tong_hop_BQ6"/>
      <sheetName val="tong_hop_BQ-16"/>
      <sheetName val="phuong_an_chon6"/>
      <sheetName val="bang_so_sanh_tong_hop_(_PA_cho5"/>
      <sheetName val="dang_ap_dung5"/>
      <sheetName val="bang_tong_hop_(dang_huong)5"/>
      <sheetName val="bcth_05-045"/>
      <sheetName val="baocao_05-045"/>
      <sheetName val="ql_(2)5"/>
      <sheetName val="CT_035"/>
      <sheetName val="TH_035"/>
      <sheetName val="_KQTH_quy_hoach_1355"/>
      <sheetName val="Bao_cao_KQTH_quy_hoach_1355"/>
      <sheetName val="[IBASE2_XLSѝTNHNoi6"/>
      <sheetName val="Nhap_lieu6"/>
      <sheetName val="Tien_dien5"/>
      <sheetName val="Thue_GTGT5"/>
      <sheetName val="Luu_goc5"/>
      <sheetName val="km22+93_86-km22+121_865"/>
      <sheetName val="km22+177_14-km22+205_645"/>
      <sheetName val="Bang_20-255"/>
      <sheetName val="km22+267_96-km22+283_965"/>
      <sheetName val="km22+304_31-km22+344_315"/>
      <sheetName val="km22+460_92-km22+614_575"/>
      <sheetName val="km22+671_78-km22+713_325"/>
      <sheetName val="nhan_su5"/>
      <sheetName val="luong_cty5"/>
      <sheetName val="Dinh_ha_nha5"/>
      <sheetName val="_tuanM5"/>
      <sheetName val="[IBASE2_XLS_Tong_hop_Matduong5"/>
      <sheetName val="THU_T125"/>
      <sheetName val="CHI_T125"/>
      <sheetName val="THU_T115"/>
      <sheetName val="CHI_T115"/>
      <sheetName val="THU_T105"/>
      <sheetName val="CHI_T105"/>
      <sheetName val="THU_T95"/>
      <sheetName val="CHI_T95"/>
      <sheetName val="THU_T85"/>
      <sheetName val="CHI_T85"/>
      <sheetName val="THT_nam_045"/>
      <sheetName val="chi_phi_cap_tien5"/>
      <sheetName val="BC§_20015"/>
      <sheetName val="BBC§_20025"/>
      <sheetName val="TSC§_20015"/>
      <sheetName val="TSc®_20025"/>
      <sheetName val="BaTrieu-L_con5"/>
      <sheetName val="EDT_-_Ro5"/>
      <sheetName val="KHVô_XL5"/>
      <sheetName val="TD_khao_sat5"/>
      <sheetName val="[IBASE2_XLS}BHXH5"/>
      <sheetName val="chuong_phu5"/>
      <sheetName val="THANG7_5"/>
      <sheetName val="THANG_115"/>
      <sheetName val="THANG_125"/>
      <sheetName val="phuong_aL_15"/>
      <sheetName val="[IBASE2_XLS䁝BC6tT175"/>
      <sheetName val="Khac_DP5"/>
      <sheetName val="Khoi_than_5"/>
      <sheetName val="TK__TK5"/>
      <sheetName val="Thang_45"/>
      <sheetName val="HD_CTrinh15"/>
      <sheetName val="HD_benA5"/>
      <sheetName val="Theodoi_HD5"/>
      <sheetName val="Theodoi_HD_(2)5"/>
      <sheetName val="_GT_CPhi_tung_dot5"/>
      <sheetName val="Bang_can_doi_5"/>
      <sheetName val="De_Tai_Vhuc_Tap5"/>
      <sheetName val="02_15"/>
      <sheetName val="2_15"/>
      <sheetName val="2_35"/>
      <sheetName val="02_35"/>
      <sheetName val="B_015"/>
      <sheetName val="B_035"/>
      <sheetName val="D_135"/>
      <sheetName val="[IBASE2_XLS?TNHNoi5"/>
      <sheetName val="Tinh_hinh_cat_lang5"/>
      <sheetName val="Tinh_hinh_SX_phu5"/>
      <sheetName val="Tinh_hinh_do_xop5"/>
      <sheetName val="Cong_hop_2,0ࡸ2,04"/>
      <sheetName val="Sat_tron4"/>
      <sheetName val="(9_30)_IP4"/>
      <sheetName val="Cong_tron_D7'4"/>
      <sheetName val="2_744"/>
      <sheetName val="CN-QV_FG4"/>
      <sheetName val="CN-QV_RM4"/>
      <sheetName val="PHAV_R_M4"/>
      <sheetName val="PHAV_F_G4"/>
      <sheetName val="TOA_R_M4"/>
      <sheetName val="TOA_F_G4"/>
      <sheetName val="CVN_R_M4"/>
      <sheetName val="CVN_F_G4"/>
      <sheetName val="DENSO_R_M4"/>
      <sheetName val="DENSO_F_G4"/>
      <sheetName val="SATO_RM4"/>
      <sheetName val="SATO_F_G4"/>
      <sheetName val="Up_to_20022"/>
      <sheetName val="det_VP3"/>
      <sheetName val="det_hn3"/>
      <sheetName val="chi_Hieu3"/>
      <sheetName val="c_thoa3"/>
      <sheetName val="A_thanh_-_DL3"/>
      <sheetName val="A_Tuyen3"/>
      <sheetName val="A_Tien_-laphu3"/>
      <sheetName val="A_Thang-_laphu3"/>
      <sheetName val="A_Dong3"/>
      <sheetName val="27-7_NB3"/>
      <sheetName val="xn_53"/>
      <sheetName val="PKD_X203"/>
      <sheetName val="da_giay_SG3"/>
      <sheetName val="dagiay_XK3"/>
      <sheetName val="DK_Dong_xuan3"/>
      <sheetName val="chu_Ton3"/>
      <sheetName val="minh_tri3"/>
      <sheetName val="viet_huy3"/>
      <sheetName val="thanh_ha3"/>
      <sheetName val="O_Su3"/>
      <sheetName val="A_Ha-DL3"/>
      <sheetName val="Vinh_oanh3"/>
      <sheetName val="chi_Thuy3"/>
      <sheetName val="chu_Hong3"/>
      <sheetName val="thuy-_may3"/>
      <sheetName val="vu_yen3"/>
      <sheetName val="OPERATING_HEAD3"/>
      <sheetName val="31_12_013"/>
      <sheetName val="Tong_hop_xuat_kho_nvl3"/>
      <sheetName val="Xuat_kho3"/>
      <sheetName val="Tong_hop_so_lieu_tai_nhap_kho3"/>
      <sheetName val="tai_nhap_kho3"/>
      <sheetName val="Nhap_kho3"/>
      <sheetName val="Tong_ket_nhap_kho3"/>
      <sheetName val="Tong_ket3"/>
      <sheetName val="cac_ma_can_huy3"/>
      <sheetName val="Hang_hong3"/>
      <sheetName val="Tham_khao3"/>
      <sheetName val="hang_khong_co_packing3"/>
      <sheetName val="VtuHaTheSauTBABenThuy1_Ш2)3"/>
      <sheetName val="K252_K9и3"/>
      <sheetName val="nphuocb_43"/>
      <sheetName val="bcth_05-03"/>
      <sheetName val="ESTI_4"/>
      <sheetName val="THU_T73"/>
      <sheetName val="CHI_T73"/>
      <sheetName val="THU_T63"/>
      <sheetName val="CHI_T63"/>
      <sheetName val="THU_T53"/>
      <sheetName val="CHI_T53"/>
      <sheetName val="THU_T43"/>
      <sheetName val="CHI_T43"/>
      <sheetName val="THU_T33"/>
      <sheetName val="CHI_T33"/>
      <sheetName val="THU_T23"/>
      <sheetName val="CHI_T23"/>
      <sheetName val="THU_T15"/>
      <sheetName val="CHI_T15"/>
      <sheetName val="TB_Grouping3"/>
      <sheetName val="Balance_Sheet3"/>
      <sheetName val="CHITIET_VL-NC3"/>
      <sheetName val="DON_GIA3"/>
      <sheetName val="So_lieu3"/>
      <sheetName val="tt_chu_dong3"/>
      <sheetName val="Tinh_j+cvi3"/>
      <sheetName val="Tinh_MoP3"/>
      <sheetName val="giai_he_23"/>
      <sheetName val="ct_luong_3"/>
      <sheetName val="Nhap_6T3"/>
      <sheetName val="Ranking_data3"/>
      <sheetName val="GDMN_13"/>
      <sheetName val="May_khau3"/>
      <sheetName val="PXKT6Via_113"/>
      <sheetName val="PXKTLo_Thien_V_14A3"/>
      <sheetName val="V14_phu3"/>
      <sheetName val="Via_16_Lthien3"/>
      <sheetName val="mc_2006_&amp;_092"/>
      <sheetName val="mc_2006_&amp;_57_&amp;_092"/>
      <sheetName val="dongia_(2)2"/>
      <sheetName val="THPDMoi__(2)2"/>
      <sheetName val="t-h_HA_THE2"/>
      <sheetName val="CHITIET_VL-NC-TT_-1p2"/>
      <sheetName val="TONG_HOP_VL-NC_TT2"/>
      <sheetName val="TH_XL2"/>
      <sheetName val="TONGKE3p_2"/>
      <sheetName val="CHITIET_VL-NC-TT-3p2"/>
      <sheetName val="KPVC-BD_2"/>
      <sheetName val="Master_schedule2"/>
      <sheetName val="GDMN_22"/>
      <sheetName val="GDMN_32"/>
      <sheetName val="GDMN_42"/>
      <sheetName val="GDMN_52"/>
      <sheetName val="GDTH_12"/>
      <sheetName val="GDTH_22"/>
      <sheetName val="GDTH_32"/>
      <sheetName val="GDTH_42"/>
      <sheetName val="GDTH_52"/>
      <sheetName val="THCS_12"/>
      <sheetName val="THCS_22"/>
      <sheetName val="THCS_32"/>
      <sheetName val="THCS_42"/>
      <sheetName val="THCS_52"/>
      <sheetName val="THCS_62"/>
      <sheetName val="THPT_12"/>
      <sheetName val="THPT_22"/>
      <sheetName val="THPT_32"/>
      <sheetName val="THPT_42"/>
      <sheetName val="THPT_52"/>
      <sheetName val="THPT_62"/>
      <sheetName val="DH,CD,THCN_12"/>
      <sheetName val="DH,CD,THCN_22"/>
      <sheetName val="DH,CD,THCN_32"/>
      <sheetName val="GDKCQ_12"/>
      <sheetName val="GDKCQ_22"/>
      <sheetName val="_IBASE2_XLSѝTNHNoi3"/>
      <sheetName val="_IBASE2_XLS䁝BC6tT172"/>
      <sheetName val="BTHDT_TBA_x000a___THXL_DZcaothe"/>
      <sheetName val="_IBASE2_XLS}BHXH2"/>
      <sheetName val="_IBASE2_XLS_Tong_hop_Matduong2"/>
      <sheetName val="BTHDT_TBA_2"/>
      <sheetName val="DS_tong2"/>
      <sheetName val="CDSM_(2)2"/>
      <sheetName val="c"/>
      <sheetName val="Cost_Center_2"/>
      <sheetName val="Part_data2"/>
      <sheetName val="Vender_Data2"/>
      <sheetName val="CVden_ngoai_TCT_(1)4"/>
      <sheetName val="CV_den_ngoai_TCT_(2)4"/>
      <sheetName val="CV_den_ngoai_TCT_(3)4"/>
      <sheetName val="QDcua_TGD4"/>
      <sheetName val="QD_cua_HDQT4"/>
      <sheetName val="QD_cua_HDQT_(2)4"/>
      <sheetName val="CV_di_ngoai_tong4"/>
      <sheetName val="CV_di_ngoai_tong_(2)4"/>
      <sheetName val="To_trinh4"/>
      <sheetName val="Giao_nhiem_vu4"/>
      <sheetName val="QDcua_TGD_(2)4"/>
      <sheetName val="Thong_tu4"/>
      <sheetName val="CV_di_trong__tong4"/>
      <sheetName val="nghi_dinh-CP4"/>
      <sheetName val="CV_den_trong_tong4"/>
      <sheetName val="lapdat_TB_4"/>
      <sheetName val="TNghiªm_TB_4"/>
      <sheetName val="VËt_liÖu4"/>
      <sheetName val="Lap_®at_®iÖn4"/>
      <sheetName val="TNghiÖm_VL4"/>
      <sheetName val="th_4"/>
      <sheetName val="tien_luong4"/>
      <sheetName val="KHVt_4"/>
      <sheetName val="KHVt_XL4"/>
      <sheetName val="KHVt_XLT44"/>
      <sheetName val="142201-T1_4"/>
      <sheetName val="142201-T2-th_4"/>
      <sheetName val="142201-T3-th_4"/>
      <sheetName val="142201-T4-th__4"/>
      <sheetName val="Thep_be4"/>
      <sheetName val="Thep_than4"/>
      <sheetName val="Thep_xa_mu4"/>
      <sheetName val="_t54"/>
      <sheetName val="t_44"/>
      <sheetName val="_t3_4"/>
      <sheetName val="_TH3314"/>
      <sheetName val="_Minh_ha4"/>
      <sheetName val="_Ha_Tay4"/>
      <sheetName val="_Vinhphuc4"/>
      <sheetName val="_Nbinh4"/>
      <sheetName val="_QVinh4"/>
      <sheetName val="_TW14"/>
      <sheetName val="Kluong_phu4"/>
      <sheetName val="Lan_can4"/>
      <sheetName val="Ho_lan4"/>
      <sheetName val="Coc_tieu4"/>
      <sheetName val="Bien_bao4"/>
      <sheetName val="Op_mai_2744"/>
      <sheetName val="Op_mai_2754"/>
      <sheetName val="Op_mai_2764"/>
      <sheetName val="Op_mai_2774"/>
      <sheetName val="Op_mai_2784"/>
      <sheetName val="Op_mai_2794"/>
      <sheetName val="Op_mai_2804"/>
      <sheetName val="Op_mai_2814"/>
      <sheetName val="Op_mai_2824"/>
      <sheetName val="Op_mai_2834"/>
      <sheetName val="Op_mai_2844"/>
      <sheetName val="Op_mai4"/>
      <sheetName val="T_so_thay_doi4"/>
      <sheetName val="b_THchitietDZCT4"/>
      <sheetName val="b_THchitietTBA4"/>
      <sheetName val="Khao_sat4"/>
      <sheetName val="TT_khao_sat4"/>
      <sheetName val="T_K_H_T_T54"/>
      <sheetName val="T_K_T74"/>
      <sheetName val="TK_T64"/>
      <sheetName val="T_K_T54"/>
      <sheetName val="Bang_thong_ke_hang_ton4"/>
      <sheetName val="thong_ke_4"/>
      <sheetName val="T_KT044"/>
      <sheetName val="VtuHaTheSauTBABenThuy1_(2)4"/>
      <sheetName val="GIA_NUOC4"/>
      <sheetName val="GIA_DIEN_THOAI4"/>
      <sheetName val="GIA_DIEN4"/>
      <sheetName val="chiet_tinh_XD4"/>
      <sheetName val="Triet_T4"/>
      <sheetName val="Phan_tich_gia4"/>
      <sheetName val="pHAN_CONG4"/>
      <sheetName val="GIA_XD4"/>
      <sheetName val="CDSL_(2)4"/>
      <sheetName val="Km274_-_Km2754"/>
      <sheetName val="Km275_-_Km2764"/>
      <sheetName val="Km276_-_Km2774"/>
      <sheetName val="Km277_-_Km278_4"/>
      <sheetName val="Km278_-_Km2794"/>
      <sheetName val="Km279_-_Km2804"/>
      <sheetName val="Km280_-_Km2814"/>
      <sheetName val="Km281_-_Km2824"/>
      <sheetName val="Km282_-_Km2834"/>
      <sheetName val="Km283_-_Km2844"/>
      <sheetName val="Km284_-_Km2854"/>
      <sheetName val="Tong_hop_Matduong4"/>
      <sheetName val="Cong_D754"/>
      <sheetName val="Cong_D1004"/>
      <sheetName val="Cong_D1504"/>
      <sheetName val="Cong_2D1504"/>
      <sheetName val="Cong_ban_0,7x0,74"/>
      <sheetName val="Cong_ban_0,8x0,84"/>
      <sheetName val="Cong_ban_1x14"/>
      <sheetName val="Cong_ban_1x1,24"/>
      <sheetName val="Cong_ban_1,5x1,54"/>
      <sheetName val="Cong_ban_2x1,54"/>
      <sheetName val="Cong_ban_2x24"/>
      <sheetName val="Tong_hop4"/>
      <sheetName val="Tong_hop_(2)4"/>
      <sheetName val="Cong_cu4"/>
      <sheetName val="Cot_thep4"/>
      <sheetName val="Cong_tron_D754"/>
      <sheetName val="Cong_tron_D1004"/>
      <sheetName val="Cong_tron_D1504"/>
      <sheetName val="Cong_tron_2D1504"/>
      <sheetName val="Cong_ban_1,0x1,04"/>
      <sheetName val="Cong_ban_1,0x1,24"/>
      <sheetName val="Cong_hop_1,5x1,54"/>
      <sheetName val="Cong_hop_2,0x1,54"/>
      <sheetName val="Cong_hop_2,0x2,04"/>
      <sheetName val="TK_1124"/>
      <sheetName val="TK_1314"/>
      <sheetName val="TK_1414"/>
      <sheetName val="TK_1534"/>
      <sheetName val="TK_2114"/>
      <sheetName val="TK_2424"/>
      <sheetName val="TK_3344"/>
      <sheetName val="TK_5114"/>
      <sheetName val="TK_5154"/>
      <sheetName val="TK_9114"/>
      <sheetName val="Song_trai4"/>
      <sheetName val="Dinh+ha_nha4"/>
      <sheetName val="NG_k4"/>
      <sheetName val="Trich_Ngang4"/>
      <sheetName val="Danh_sach_Rieng4"/>
      <sheetName val="Dia_Diem_Thuc_Tap4"/>
      <sheetName val="De_Tai_Thuc_Tap4"/>
      <sheetName val="thkl_(2)4"/>
      <sheetName val="long_tec4"/>
      <sheetName val="KQKD02-2_(2)4"/>
      <sheetName val="KQKD-2_(2)4"/>
      <sheetName val="KQKD_thu20044"/>
      <sheetName val="F_ThanhTri4"/>
      <sheetName val="F_Gialam4"/>
      <sheetName val="TH_dam4"/>
      <sheetName val="SX_dam4"/>
      <sheetName val="LD_dam4"/>
      <sheetName val="Bang_gia_VL4"/>
      <sheetName val="Gia_NC4"/>
      <sheetName val="Gia_may4"/>
      <sheetName val="phan_tich_DG4"/>
      <sheetName val="gia_vat_lieu4"/>
      <sheetName val="gia_xe_may4"/>
      <sheetName val="gia_nhan_cong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Dancau-Q_Ninh4"/>
      <sheetName val="BaTrieu-L_son4"/>
      <sheetName val="HHVt_4"/>
      <sheetName val="Don_gia_CPM4"/>
      <sheetName val="Tong_Thieu_HD_cac_CT-20014"/>
      <sheetName val="VL_thieu_HD_-_20014"/>
      <sheetName val="Tong_thieu_HD_cac_CT_-_20024"/>
      <sheetName val="Lan_trai4"/>
      <sheetName val="Van_chuyen4"/>
      <sheetName val="HDong_VC4"/>
      <sheetName val="ThieuHD_nam_20014"/>
      <sheetName val="Bang_TH4"/>
      <sheetName val="Tong_Chinh4"/>
      <sheetName val="Tay_ninh4"/>
      <sheetName val="A_Duc4"/>
      <sheetName val="giai_thich4"/>
      <sheetName val="DT_-_Ro4"/>
      <sheetName val="TH_-_Ro_4"/>
      <sheetName val="GDT_-_Ro4"/>
      <sheetName val="DT_-_TB4"/>
      <sheetName val="TH_-_TB4"/>
      <sheetName val="GDT_-_TB4"/>
      <sheetName val="DT_-_NT4"/>
      <sheetName val="TH_-_NT4"/>
      <sheetName val="GDT_-_NT4"/>
      <sheetName val="Co~g_hop_1,5x1,54"/>
      <sheetName val="SCT_Cong_trinh4"/>
      <sheetName val="06-2003_(2)4"/>
      <sheetName val="CDPS_6tc4"/>
      <sheetName val="SCT_Nha_thau4"/>
      <sheetName val="socai2003_(6tc)dp4"/>
      <sheetName val="socai2003_(6tc)4"/>
      <sheetName val="CDPS_6tc_(2)4"/>
      <sheetName val="TH_du_toan_4"/>
      <sheetName val="Du_toan_4"/>
      <sheetName val="C_Tinh4"/>
      <sheetName val="Xaylap_4"/>
      <sheetName val="Nhan_cong4"/>
      <sheetName val="So_sanh4"/>
      <sheetName val="Coc_64"/>
      <sheetName val="Deo_nai4"/>
      <sheetName val="CKD_than4"/>
      <sheetName val="CTT_Thong_nhat4"/>
      <sheetName val="CTT_Nui_beo4"/>
      <sheetName val="CTT_cao_son4"/>
      <sheetName val="CTT_Khe_cham4"/>
      <sheetName val="XNxlva_sxthanKCII4"/>
      <sheetName val="Cam_Y_ut_KC4"/>
      <sheetName val="CTxay_lap_mo_CP4"/>
      <sheetName val="CTdo_luong_GDSP4"/>
      <sheetName val="Dong_bac4"/>
      <sheetName val="Cac_cang_UT_mua_than_Dong_bac4"/>
      <sheetName val="cua_hang_vtu4"/>
      <sheetName val="Khach_hang_le_4"/>
      <sheetName val="nhat_ky_54"/>
      <sheetName val="cac_cong_ty_van_tai4"/>
      <sheetName val="T03_-_034"/>
      <sheetName val="THL_T034"/>
      <sheetName val="TTBC_T034"/>
      <sheetName val="Luong_noi_Bo_-_T34"/>
      <sheetName val="Tong_hop_-_T34"/>
      <sheetName val="Thuong_Quy_34"/>
      <sheetName val="Phu_cap_trach_nhiem4"/>
      <sheetName val="CV_di_trong__dong4"/>
      <sheetName val="BC_TH_CK_(2)4"/>
      <sheetName val="BC_TH_CK4"/>
      <sheetName val="BC6tT19_food4"/>
      <sheetName val="BC6tT18_-_Food4"/>
      <sheetName val="BCCK_44"/>
      <sheetName val="BCFood-_T164"/>
      <sheetName val="BCFood-_T154"/>
      <sheetName val="BCFood-_T144"/>
      <sheetName val="BCFood-_T134"/>
      <sheetName val="TH_CK24"/>
      <sheetName val="BC6tT52_(3)4"/>
      <sheetName val="BC6tT52_(2)4"/>
      <sheetName val="TCK_124"/>
      <sheetName val="Tong_CK4"/>
      <sheetName val="DOANH_SO4"/>
      <sheetName val="BD-SINH_VIEN4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[IBASE2_XLSѝTNHNoi4"/>
      <sheetName val="Nhap_lieu4"/>
      <sheetName val="Luu_goc3"/>
      <sheetName val="km22+93_86-km22+121_863"/>
      <sheetName val="km22+177_14-km22+205_643"/>
      <sheetName val="Bang_20-253"/>
      <sheetName val="km22+267_96-km22+283_963"/>
      <sheetName val="km22+304_31-km22+344_313"/>
      <sheetName val="km22+460_92-km22+614_573"/>
      <sheetName val="km22+671_78-km22+713_323"/>
      <sheetName val="nhan_su3"/>
      <sheetName val="luong_cty3"/>
      <sheetName val="Dinh_ha_nha3"/>
      <sheetName val="_tuanM3"/>
      <sheetName val="[IBASE2_XLS_Tong_hop_Matduong3"/>
      <sheetName val="THU_T123"/>
      <sheetName val="CHI_T123"/>
      <sheetName val="THU_T113"/>
      <sheetName val="CHI_T113"/>
      <sheetName val="THU_T103"/>
      <sheetName val="CHI_T103"/>
      <sheetName val="THU_T93"/>
      <sheetName val="CHI_T93"/>
      <sheetName val="THU_T83"/>
      <sheetName val="CHI_T83"/>
      <sheetName val="THT_nam_043"/>
      <sheetName val="chi_phi_cap_tien3"/>
      <sheetName val="BC§_20013"/>
      <sheetName val="BBC§_20023"/>
      <sheetName val="TSC§_20013"/>
      <sheetName val="TSc®_20023"/>
      <sheetName val="BaTrieu-L_con3"/>
      <sheetName val="EDT_-_Ro3"/>
      <sheetName val="KHVô_XL3"/>
      <sheetName val="TD_khao_sat3"/>
      <sheetName val="[IBASE2_XLS}BHXH3"/>
      <sheetName val="chuong_phu3"/>
      <sheetName val="THANG7_3"/>
      <sheetName val="THANG_113"/>
      <sheetName val="THANG_123"/>
      <sheetName val="phuong_aL_13"/>
      <sheetName val="[IBASE2_XLS䁝BC6tT173"/>
      <sheetName val="Khac_DP3"/>
      <sheetName val="Khoi_than_3"/>
      <sheetName val="TK__TK3"/>
      <sheetName val="Thang_43"/>
      <sheetName val="HD_CTrinh13"/>
      <sheetName val="HD_benA3"/>
      <sheetName val="Theodoi_HD3"/>
      <sheetName val="Theodoi_HD_(2)3"/>
      <sheetName val="_GT_CPhi_tung_dot3"/>
      <sheetName val="Bang_can_doi_3"/>
      <sheetName val="De_Tai_Vhuc_Tap3"/>
      <sheetName val="02_13"/>
      <sheetName val="2_13"/>
      <sheetName val="2_33"/>
      <sheetName val="02_33"/>
      <sheetName val="B_013"/>
      <sheetName val="B_033"/>
      <sheetName val="D_133"/>
      <sheetName val="[IBASE2_XLS?TNHNoi3"/>
      <sheetName val="Tinh_hinh_cat_lang3"/>
      <sheetName val="Tinh_hinh_SX_phu3"/>
      <sheetName val="Tinh_hinh_do_xop3"/>
      <sheetName val="Sat_tron2"/>
      <sheetName val="(9_30)_IP2"/>
      <sheetName val="Cong_tron_D7'2"/>
      <sheetName val="2_742"/>
      <sheetName val="CN-QV_FG2"/>
      <sheetName val="CN-QV_RM2"/>
      <sheetName val="PHAV_R_M2"/>
      <sheetName val="PHAV_F_G2"/>
      <sheetName val="TOA_R_M2"/>
      <sheetName val="TOA_F_G2"/>
      <sheetName val="CVN_R_M2"/>
      <sheetName val="CVN_F_G2"/>
      <sheetName val="DENSO_R_M2"/>
      <sheetName val="DENSO_F_G2"/>
      <sheetName val="SATO_RM2"/>
      <sheetName val="SATO_F_G2"/>
      <sheetName val="Up_to_2002"/>
      <sheetName val="A_Thang-_laphu1"/>
      <sheetName val="A_Dong1"/>
      <sheetName val="27-7_NB1"/>
      <sheetName val="xn_51"/>
      <sheetName val="PKD_X201"/>
      <sheetName val="da_giay_SG1"/>
      <sheetName val="dagiay_XK1"/>
      <sheetName val="DK_Dong_xuan1"/>
      <sheetName val="chu_Ton1"/>
      <sheetName val="minh_tri1"/>
      <sheetName val="viet_huy1"/>
      <sheetName val="thanh_ha1"/>
      <sheetName val="O_Su1"/>
      <sheetName val="A_Ha-DL1"/>
      <sheetName val="Vinh_oanh1"/>
      <sheetName val="chi_Thuy1"/>
      <sheetName val="chu_Hong1"/>
      <sheetName val="thuy-_may1"/>
      <sheetName val="vu_yen1"/>
      <sheetName val="OPERATING_HEAD1"/>
      <sheetName val="31_12_011"/>
      <sheetName val="Tong_hop_xuat_kho_nvl1"/>
      <sheetName val="Xuat_kho1"/>
      <sheetName val="Tong_hop_so_lieu_tai_nhap_kho1"/>
      <sheetName val="tai_nhap_kho1"/>
      <sheetName val="Nhap_kho1"/>
      <sheetName val="Tong_ket_nhap_kho1"/>
      <sheetName val="Tong_ket1"/>
      <sheetName val="cac_ma_can_huy1"/>
      <sheetName val="Hang_hong1"/>
      <sheetName val="Tham_khao1"/>
      <sheetName val="hang_khong_co_packing1"/>
      <sheetName val="VtuHaTheSauTBABenThuy1_Ш2)1"/>
      <sheetName val="K252_K9и1"/>
      <sheetName val="nphuocb_41"/>
      <sheetName val="bcth_05-01"/>
      <sheetName val="ESTI_2"/>
      <sheetName val="THU_T71"/>
      <sheetName val="CHI_T71"/>
      <sheetName val="THU_T61"/>
      <sheetName val="CHI_T61"/>
      <sheetName val="THU_T51"/>
      <sheetName val="CHI_T51"/>
      <sheetName val="THU_T41"/>
      <sheetName val="CHI_T41"/>
      <sheetName val="THU_T31"/>
      <sheetName val="CHI_T31"/>
      <sheetName val="THU_T21"/>
      <sheetName val="CHI_T21"/>
      <sheetName val="THU_T13"/>
      <sheetName val="CHI_T13"/>
      <sheetName val="TB_Grouping1"/>
      <sheetName val="Balance_Sheet1"/>
      <sheetName val="CHITIET_VL-NC1"/>
      <sheetName val="DON_GIA1"/>
      <sheetName val="So_lieu1"/>
      <sheetName val="tt_chu_dong1"/>
      <sheetName val="Tinh_j+cvi1"/>
      <sheetName val="Tinh_MoP1"/>
      <sheetName val="giai_he_21"/>
      <sheetName val="ct_luong_1"/>
      <sheetName val="Nhap_6T1"/>
      <sheetName val="Ranking_data1"/>
      <sheetName val="GDMN_11"/>
      <sheetName val="May_khau1"/>
      <sheetName val="PXKT6Via_111"/>
      <sheetName val="PXKTLo_Thien_V_14A1"/>
      <sheetName val="V14_phu1"/>
      <sheetName val="Via_16_Lthien1"/>
      <sheetName val="mc_2006_&amp;_09"/>
      <sheetName val="mc_2006_&amp;_57_&amp;_09"/>
      <sheetName val="dongia_(2)"/>
      <sheetName val="THPDMoi__(2)"/>
      <sheetName val="t-h_HA_THE"/>
      <sheetName val="CHITIET_VL-NC-TT_-1p"/>
      <sheetName val="TONG_HOP_VL-NC_TT"/>
      <sheetName val="TH_XL"/>
      <sheetName val="TONGKE3p_"/>
      <sheetName val="CHITIET_VL-NC-TT-3p"/>
      <sheetName val="KPVC-BD_"/>
      <sheetName val="Master_schedule"/>
      <sheetName val="_IBASE2_XLSѝTNHNoi1"/>
      <sheetName val="_IBASE2_XLS䁝BC6tT17"/>
      <sheetName val="_IBASE2_XLS}BHXH"/>
      <sheetName val="_IBASE2_XLS_Tong_hop_Matduong"/>
      <sheetName val="BTHDT_TBA_"/>
      <sheetName val="DS_tong"/>
      <sheetName val="Cost_Center_"/>
      <sheetName val="Part_data"/>
      <sheetName val="Vender_Data"/>
      <sheetName val="CVden_ngoai_TCT_(1)5"/>
      <sheetName val="CV_den_ngoai_TCT_(2)5"/>
      <sheetName val="CV_den_ngoai_TCT_(3)5"/>
      <sheetName val="QDcua_TGD5"/>
      <sheetName val="QD_cua_HDQT5"/>
      <sheetName val="QD_cua_HDQT_(2)5"/>
      <sheetName val="CV_di_ngoai_tong5"/>
      <sheetName val="CV_di_ngoai_tong_(2)5"/>
      <sheetName val="To_trinh5"/>
      <sheetName val="Giao_nhiem_vu5"/>
      <sheetName val="QDcua_TGD_(2)5"/>
      <sheetName val="Thong_tu5"/>
      <sheetName val="CV_di_trong__tong5"/>
      <sheetName val="nghi_dinh-CP5"/>
      <sheetName val="CV_den_trong_tong5"/>
      <sheetName val="lapdat_TB_5"/>
      <sheetName val="TNghiªm_TB_5"/>
      <sheetName val="VËt_liÖu5"/>
      <sheetName val="Lap_®at_®iÖn5"/>
      <sheetName val="TNghiÖm_VL5"/>
      <sheetName val="th_5"/>
      <sheetName val="tien_luong5"/>
      <sheetName val="KHVt_5"/>
      <sheetName val="KHVt_XL5"/>
      <sheetName val="KHVt_XLT45"/>
      <sheetName val="142201-T1_5"/>
      <sheetName val="142201-T2-th_5"/>
      <sheetName val="142201-T3-th_5"/>
      <sheetName val="142201-T4-th__5"/>
      <sheetName val="Thep_be5"/>
      <sheetName val="Thep_than5"/>
      <sheetName val="Thep_xa_mu5"/>
      <sheetName val="_t55"/>
      <sheetName val="t_45"/>
      <sheetName val="_t3_5"/>
      <sheetName val="_TH3315"/>
      <sheetName val="_Minh_ha5"/>
      <sheetName val="_Ha_Tay5"/>
      <sheetName val="_Vinhphuc5"/>
      <sheetName val="_Nbinh5"/>
      <sheetName val="_QVinh5"/>
      <sheetName val="_TW15"/>
      <sheetName val="Kluong_phu5"/>
      <sheetName val="Lan_can5"/>
      <sheetName val="Ho_lan5"/>
      <sheetName val="Coc_tieu5"/>
      <sheetName val="Bien_bao5"/>
      <sheetName val="Op_mai_2745"/>
      <sheetName val="Op_mai_2755"/>
      <sheetName val="Op_mai_2765"/>
      <sheetName val="Op_mai_2775"/>
      <sheetName val="Op_mai_2785"/>
      <sheetName val="Op_mai_2795"/>
      <sheetName val="Op_mai_2805"/>
      <sheetName val="Op_mai_2815"/>
      <sheetName val="Op_mai_2825"/>
      <sheetName val="Op_mai_2835"/>
      <sheetName val="Op_mai_2845"/>
      <sheetName val="Op_mai5"/>
      <sheetName val="T_so_thay_doi5"/>
      <sheetName val="b_THchitietDZCT5"/>
      <sheetName val="b_THchitietTBA5"/>
      <sheetName val="Khao_sat5"/>
      <sheetName val="TT_khao_sat5"/>
      <sheetName val="T_K_H_T_T55"/>
      <sheetName val="T_K_T75"/>
      <sheetName val="TK_T65"/>
      <sheetName val="T_K_T55"/>
      <sheetName val="Bang_thong_ke_hang_ton5"/>
      <sheetName val="thong_ke_5"/>
      <sheetName val="T_KT045"/>
      <sheetName val="VtuHaTheSauTBABenThuy1_(2)5"/>
      <sheetName val="GIA_NUOC5"/>
      <sheetName val="GIA_DIEN_THOAI5"/>
      <sheetName val="GIA_DIEN5"/>
      <sheetName val="chiet_tinh_XD5"/>
      <sheetName val="Triet_T5"/>
      <sheetName val="Phan_tich_gia5"/>
      <sheetName val="pHAN_CONG5"/>
      <sheetName val="GIA_XD5"/>
      <sheetName val="CDSL_(2)5"/>
      <sheetName val="Km274_-_Km2755"/>
      <sheetName val="Km275_-_Km2765"/>
      <sheetName val="Km276_-_Km2775"/>
      <sheetName val="Km277_-_Km278_5"/>
      <sheetName val="Km278_-_Km2795"/>
      <sheetName val="Km279_-_Km2805"/>
      <sheetName val="Km280_-_Km2815"/>
      <sheetName val="Km281_-_Km2825"/>
      <sheetName val="Km282_-_Km2835"/>
      <sheetName val="Km283_-_Km2845"/>
      <sheetName val="Km284_-_Km2855"/>
      <sheetName val="Tong_hop_Matduong5"/>
      <sheetName val="Cong_D755"/>
      <sheetName val="Cong_D1005"/>
      <sheetName val="Cong_D1505"/>
      <sheetName val="Cong_2D1505"/>
      <sheetName val="Cong_ban_0,7x0,75"/>
      <sheetName val="Cong_ban_0,8x0,85"/>
      <sheetName val="Cong_ban_1x15"/>
      <sheetName val="Cong_ban_1x1,25"/>
      <sheetName val="Cong_ban_1,5x1,55"/>
      <sheetName val="Cong_ban_2x1,55"/>
      <sheetName val="Cong_ban_2x25"/>
      <sheetName val="Tong_hop5"/>
      <sheetName val="Tong_hop_(2)5"/>
      <sheetName val="Cong_cu5"/>
      <sheetName val="Cot_thep5"/>
      <sheetName val="Cong_tron_D755"/>
      <sheetName val="Cong_tron_D1005"/>
      <sheetName val="Cong_tron_D1505"/>
      <sheetName val="Cong_tron_2D1505"/>
      <sheetName val="Cong_ban_1,0x1,05"/>
      <sheetName val="Cong_ban_1,0x1,25"/>
      <sheetName val="Cong_hop_1,5x1,55"/>
      <sheetName val="Cong_hop_2,0x1,55"/>
      <sheetName val="Cong_hop_2,0x2,05"/>
      <sheetName val="TK_1125"/>
      <sheetName val="TK_1315"/>
      <sheetName val="TK_1415"/>
      <sheetName val="TK_1535"/>
      <sheetName val="TK_2115"/>
      <sheetName val="TK_2425"/>
      <sheetName val="TK_3345"/>
      <sheetName val="TK_5115"/>
      <sheetName val="TK_5155"/>
      <sheetName val="TK_9115"/>
      <sheetName val="Song_trai5"/>
      <sheetName val="Dinh+ha_nha5"/>
      <sheetName val="NG_k5"/>
      <sheetName val="Trich_Ngang5"/>
      <sheetName val="Danh_sach_Rieng5"/>
      <sheetName val="Dia_Diem_Thuc_Tap5"/>
      <sheetName val="De_Tai_Thuc_Tap5"/>
      <sheetName val="thkl_(2)5"/>
      <sheetName val="long_tec5"/>
      <sheetName val="KQKD02-2_(2)5"/>
      <sheetName val="KQKD-2_(2)5"/>
      <sheetName val="KQKD_thu20045"/>
      <sheetName val="tô_rôiDY4"/>
      <sheetName val="F_ThanhTri5"/>
      <sheetName val="F_Gialam5"/>
      <sheetName val="TH_dam5"/>
      <sheetName val="SX_dam5"/>
      <sheetName val="LD_dam5"/>
      <sheetName val="Bang_gia_VL5"/>
      <sheetName val="Gia_NC5"/>
      <sheetName val="Gia_may5"/>
      <sheetName val="phan_tich_DG5"/>
      <sheetName val="gia_vat_lieu5"/>
      <sheetName val="gia_xe_may5"/>
      <sheetName val="gia_nhan_cong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Dancau-Q_Ninh5"/>
      <sheetName val="BaTrieu-L_son5"/>
      <sheetName val="HHVt_5"/>
      <sheetName val="Don_gia_CPM5"/>
      <sheetName val="Tong_Thieu_HD_cac_CT-20015"/>
      <sheetName val="VL_thieu_HD_-_20015"/>
      <sheetName val="Tong_thieu_HD_cac_CT_-_20025"/>
      <sheetName val="Lan_trai5"/>
      <sheetName val="Van_chuyen5"/>
      <sheetName val="HDong_VC5"/>
      <sheetName val="ThieuHD_nam_20015"/>
      <sheetName val="Bang_TH5"/>
      <sheetName val="Tong_Chinh5"/>
      <sheetName val="Tay_ninh5"/>
      <sheetName val="A_Duc5"/>
      <sheetName val="giai_thich5"/>
      <sheetName val="DT_-_Ro5"/>
      <sheetName val="TH_-_Ro_5"/>
      <sheetName val="GDT_-_Ro5"/>
      <sheetName val="DT_-_TB5"/>
      <sheetName val="TH_-_TB5"/>
      <sheetName val="GDT_-_TB5"/>
      <sheetName val="DT_-_NT5"/>
      <sheetName val="TH_-_NT5"/>
      <sheetName val="GDT_-_NT5"/>
      <sheetName val="Co~g_hop_1,5x1,55"/>
      <sheetName val="SCT_Cong_trinh5"/>
      <sheetName val="06-2003_(2)5"/>
      <sheetName val="CDPS_6tc5"/>
      <sheetName val="SCT_Nha_thau5"/>
      <sheetName val="socai2003_(6tc)dp5"/>
      <sheetName val="socai2003_(6tc)5"/>
      <sheetName val="CDPS_6tc_(2)5"/>
      <sheetName val="TH_du_toan_5"/>
      <sheetName val="Du_toan_5"/>
      <sheetName val="C_Tinh5"/>
      <sheetName val="Xaylap_5"/>
      <sheetName val="Nhan_cong5"/>
      <sheetName val="Heso_3-2004_(3)4"/>
      <sheetName val="Luong_(2)4"/>
      <sheetName val="heso_T34"/>
      <sheetName val="heso_T44"/>
      <sheetName val="heso_T54"/>
      <sheetName val="Heso_T64"/>
      <sheetName val="Heso_T74"/>
      <sheetName val="Heso_T84"/>
      <sheetName val="Heso_T94"/>
      <sheetName val="Heso_2-20044"/>
      <sheetName val="Heso_3-20044"/>
      <sheetName val="Heso_3-2004_(2)4"/>
      <sheetName val="So_sanh5"/>
      <sheetName val="Coc_65"/>
      <sheetName val="Deo_nai5"/>
      <sheetName val="CKD_than5"/>
      <sheetName val="CTT_Thong_nhat5"/>
      <sheetName val="CTT_Nui_beo5"/>
      <sheetName val="CTT_cao_son5"/>
      <sheetName val="CTT_Khe_cham5"/>
      <sheetName val="XNxlva_sxthanKCII5"/>
      <sheetName val="Cam_Y_ut_KC5"/>
      <sheetName val="CTxay_lap_mo_CP5"/>
      <sheetName val="CTdo_luong_GDSP5"/>
      <sheetName val="Dong_bac5"/>
      <sheetName val="Cac_cang_UT_mua_than_Dong_bac5"/>
      <sheetName val="cua_hang_vtu5"/>
      <sheetName val="Khach_hang_le_5"/>
      <sheetName val="nhat_ky_55"/>
      <sheetName val="cac_cong_ty_van_tai5"/>
      <sheetName val="T03_-_035"/>
      <sheetName val="THL_T035"/>
      <sheetName val="TTBC_T035"/>
      <sheetName val="Luong_noi_Bo_-_T35"/>
      <sheetName val="Tong_hop_-_T35"/>
      <sheetName val="Thuong_Quy_35"/>
      <sheetName val="Phu_cap_trach_nhiem5"/>
      <sheetName val="CV_di_trong__dong5"/>
      <sheetName val="BC_TH_CK_(2)5"/>
      <sheetName val="BC_TH_CK5"/>
      <sheetName val="BC6tT19_food5"/>
      <sheetName val="BC6tT18_-_Food5"/>
      <sheetName val="BCCK_45"/>
      <sheetName val="BCFood-_T165"/>
      <sheetName val="BCFood-_T155"/>
      <sheetName val="BCFood-_T145"/>
      <sheetName val="BCFood-_T135"/>
      <sheetName val="TH_CK25"/>
      <sheetName val="BC6tT52_(3)5"/>
      <sheetName val="BC6tT52_(2)5"/>
      <sheetName val="TCK_125"/>
      <sheetName val="Tong_CK5"/>
      <sheetName val="DOANH_SO5"/>
      <sheetName val="BD-SINH_VIEN5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bang_so_sanh_tong_hop_(_PA_cho4"/>
      <sheetName val="dang_ap_dung4"/>
      <sheetName val="bang_tong_hop_(dang_huong)4"/>
      <sheetName val="bcth_05-044"/>
      <sheetName val="baocao_05-044"/>
      <sheetName val="ql_(2)4"/>
      <sheetName val="CT_034"/>
      <sheetName val="TH_034"/>
      <sheetName val="_KQTH_quy_hoach_1354"/>
      <sheetName val="Bao_cao_KQTH_quy_hoach_1354"/>
      <sheetName val="[IBASE2_XLSѝTNHNoi5"/>
      <sheetName val="Nhap_lieu5"/>
      <sheetName val="Tien_dien4"/>
      <sheetName val="Thue_GTGT4"/>
      <sheetName val="Luu_goc4"/>
      <sheetName val="km22+93_86-km22+121_864"/>
      <sheetName val="km22+177_14-km22+205_644"/>
      <sheetName val="Bang_20-254"/>
      <sheetName val="km22+267_96-km22+283_964"/>
      <sheetName val="km22+304_31-km22+344_314"/>
      <sheetName val="km22+460_92-km22+614_574"/>
      <sheetName val="km22+671_78-km22+713_324"/>
      <sheetName val="nhan_su4"/>
      <sheetName val="luong_cty4"/>
      <sheetName val="Dinh_ha_nha4"/>
      <sheetName val="_tuanM4"/>
      <sheetName val="[IBASE2_XLS_Tong_hop_Matduong4"/>
      <sheetName val="THU_T124"/>
      <sheetName val="CHI_T124"/>
      <sheetName val="THU_T114"/>
      <sheetName val="CHI_T114"/>
      <sheetName val="THU_T104"/>
      <sheetName val="CHI_T104"/>
      <sheetName val="THU_T94"/>
      <sheetName val="CHI_T94"/>
      <sheetName val="THU_T84"/>
      <sheetName val="CHI_T84"/>
      <sheetName val="THT_nam_044"/>
      <sheetName val="chi_phi_cap_tien4"/>
      <sheetName val="BC§_20014"/>
      <sheetName val="BBC§_20024"/>
      <sheetName val="TSC§_20014"/>
      <sheetName val="TSc®_20024"/>
      <sheetName val="BaTrieu-L_con4"/>
      <sheetName val="EDT_-_Ro4"/>
      <sheetName val="KHVô_XL4"/>
      <sheetName val="TD_khao_sat4"/>
      <sheetName val="[IBASE2_XLS}BHXH4"/>
      <sheetName val="chuong_phu4"/>
      <sheetName val="THANG7_4"/>
      <sheetName val="THANG_114"/>
      <sheetName val="THANG_124"/>
      <sheetName val="phuong_aL_14"/>
      <sheetName val="[IBASE2_XLS䁝BC6tT174"/>
      <sheetName val="Khac_DP4"/>
      <sheetName val="Khoi_than_4"/>
      <sheetName val="TK__TK4"/>
      <sheetName val="Thang_44"/>
      <sheetName val="HD_CTrinh14"/>
      <sheetName val="HD_benA4"/>
      <sheetName val="Theodoi_HD4"/>
      <sheetName val="Theodoi_HD_(2)4"/>
      <sheetName val="_GT_CPhi_tung_dot4"/>
      <sheetName val="Bang_can_doi_4"/>
      <sheetName val="De_Tai_Vhuc_Tap4"/>
      <sheetName val="02_14"/>
      <sheetName val="2_14"/>
      <sheetName val="2_34"/>
      <sheetName val="02_34"/>
      <sheetName val="B_014"/>
      <sheetName val="B_034"/>
      <sheetName val="D_134"/>
      <sheetName val="[IBASE2_XLS?TNHNoi4"/>
      <sheetName val="Tinh_hinh_cat_lang4"/>
      <sheetName val="Tinh_hinh_SX_phu4"/>
      <sheetName val="Tinh_hinh_do_xop4"/>
      <sheetName val="Cong_hop_2,0ࡸ2,03"/>
      <sheetName val="Sat_tron3"/>
      <sheetName val="(9_30)_IP3"/>
      <sheetName val="Cong_tron_D7'3"/>
      <sheetName val="2_743"/>
      <sheetName val="CN-QV_FG3"/>
      <sheetName val="CN-QV_RM3"/>
      <sheetName val="PHAV_R_M3"/>
      <sheetName val="PHAV_F_G3"/>
      <sheetName val="TOA_R_M3"/>
      <sheetName val="TOA_F_G3"/>
      <sheetName val="CVN_R_M3"/>
      <sheetName val="CVN_F_G3"/>
      <sheetName val="DENSO_R_M3"/>
      <sheetName val="DENSO_F_G3"/>
      <sheetName val="SATO_RM3"/>
      <sheetName val="SATO_F_G3"/>
      <sheetName val="Up_to_20021"/>
      <sheetName val="det_VP2"/>
      <sheetName val="det_hn2"/>
      <sheetName val="chi_Hieu2"/>
      <sheetName val="c_thoa2"/>
      <sheetName val="A_thanh_-_DL2"/>
      <sheetName val="A_Tuyen2"/>
      <sheetName val="A_Tien_-laphu2"/>
      <sheetName val="A_Thang-_laphu2"/>
      <sheetName val="A_Dong2"/>
      <sheetName val="27-7_NB2"/>
      <sheetName val="xn_52"/>
      <sheetName val="PKD_X202"/>
      <sheetName val="da_giay_SG2"/>
      <sheetName val="dagiay_XK2"/>
      <sheetName val="DK_Dong_xuan2"/>
      <sheetName val="chu_Ton2"/>
      <sheetName val="minh_tri2"/>
      <sheetName val="viet_huy2"/>
      <sheetName val="thanh_ha2"/>
      <sheetName val="O_Su2"/>
      <sheetName val="A_Ha-DL2"/>
      <sheetName val="Vinh_oanh2"/>
      <sheetName val="chi_Thuy2"/>
      <sheetName val="chu_Hong2"/>
      <sheetName val="thuy-_may2"/>
      <sheetName val="vu_yen2"/>
      <sheetName val="OPERATING_HEAD2"/>
      <sheetName val="31_12_012"/>
      <sheetName val="Tong_hop_xuat_kho_nvl2"/>
      <sheetName val="Xuat_kho2"/>
      <sheetName val="Tong_hop_so_lieu_tai_nhap_kho2"/>
      <sheetName val="tai_nhap_kho2"/>
      <sheetName val="Nhap_kho2"/>
      <sheetName val="Tong_ket_nhap_kho2"/>
      <sheetName val="Tong_ket2"/>
      <sheetName val="cac_ma_can_huy2"/>
      <sheetName val="Hang_hong2"/>
      <sheetName val="Tham_khao2"/>
      <sheetName val="hang_khong_co_packing2"/>
      <sheetName val="VtuHaTheSauTBABenThuy1_Ш2)2"/>
      <sheetName val="K252_K9и2"/>
      <sheetName val="nphuocb_42"/>
      <sheetName val="bcth_05-02"/>
      <sheetName val="ESTI_3"/>
      <sheetName val="THU_T72"/>
      <sheetName val="CHI_T72"/>
      <sheetName val="THU_T62"/>
      <sheetName val="CHI_T62"/>
      <sheetName val="THU_T52"/>
      <sheetName val="CHI_T52"/>
      <sheetName val="THU_T42"/>
      <sheetName val="CHI_T42"/>
      <sheetName val="THU_T32"/>
      <sheetName val="CHI_T32"/>
      <sheetName val="THU_T22"/>
      <sheetName val="CHI_T22"/>
      <sheetName val="THU_T14"/>
      <sheetName val="CHI_T14"/>
      <sheetName val="TB_Grouping2"/>
      <sheetName val="Balance_Sheet2"/>
      <sheetName val="CHITIET_VL-NC2"/>
      <sheetName val="DON_GIA2"/>
      <sheetName val="So_lieu2"/>
      <sheetName val="tt_chu_dong2"/>
      <sheetName val="Tinh_j+cvi2"/>
      <sheetName val="Tinh_MoP2"/>
      <sheetName val="giai_he_22"/>
      <sheetName val="ct_luong_2"/>
      <sheetName val="Nhap_6T2"/>
      <sheetName val="Ranking_data2"/>
      <sheetName val="GDMN_12"/>
      <sheetName val="May_khau2"/>
      <sheetName val="PXKT6Via_112"/>
      <sheetName val="PXKTLo_Thien_V_14A2"/>
      <sheetName val="V14_phu2"/>
      <sheetName val="Via_16_Lthien2"/>
      <sheetName val="mc_2006_&amp;_091"/>
      <sheetName val="mc_2006_&amp;_57_&amp;_091"/>
      <sheetName val="dongia_(2)1"/>
      <sheetName val="THPDMoi__(2)1"/>
      <sheetName val="t-h_HA_THE1"/>
      <sheetName val="CHITIET_VL-NC-TT_-1p1"/>
      <sheetName val="TONG_HOP_VL-NC_TT1"/>
      <sheetName val="TH_XL1"/>
      <sheetName val="TONGKE3p_1"/>
      <sheetName val="CHITIET_VL-NC-TT-3p1"/>
      <sheetName val="KPVC-BD_1"/>
      <sheetName val="Master_schedule1"/>
      <sheetName val="GDMN_21"/>
      <sheetName val="GDMN_31"/>
      <sheetName val="GDMN_41"/>
      <sheetName val="GDMN_51"/>
      <sheetName val="GDTH_11"/>
      <sheetName val="GDTH_21"/>
      <sheetName val="GDTH_31"/>
      <sheetName val="GDTH_41"/>
      <sheetName val="GDTH_51"/>
      <sheetName val="THCS_11"/>
      <sheetName val="THCS_21"/>
      <sheetName val="THCS_31"/>
      <sheetName val="THCS_41"/>
      <sheetName val="THCS_51"/>
      <sheetName val="THCS_61"/>
      <sheetName val="THPT_11"/>
      <sheetName val="THPT_21"/>
      <sheetName val="THPT_31"/>
      <sheetName val="THPT_41"/>
      <sheetName val="THPT_51"/>
      <sheetName val="THPT_61"/>
      <sheetName val="DH,CD,THCN_11"/>
      <sheetName val="DH,CD,THCN_21"/>
      <sheetName val="DH,CD,THCN_31"/>
      <sheetName val="GDKCQ_11"/>
      <sheetName val="GDKCQ_21"/>
      <sheetName val="_IBASE2_XLSѝTNHNoi2"/>
      <sheetName val="_IBASE2_XLS䁝BC6tT171"/>
      <sheetName val="_IBASE2_XLS}BHXH1"/>
      <sheetName val="_IBASE2_XLS_Tong_hop_Matduong1"/>
      <sheetName val="BTHDT_TBA_1"/>
      <sheetName val="DS_tong1"/>
      <sheetName val="CDSM_(2)1"/>
      <sheetName val="Cost_Center_1"/>
      <sheetName val="Part_data1"/>
      <sheetName val="Vender_Data1"/>
      <sheetName val="HDmua_"/>
      <sheetName val="tien_uong"/>
      <sheetName val="IMP TAX"/>
      <sheetName val="Model"/>
      <sheetName val="TramKCࡓ"/>
      <sheetName val="Tohop1ȨLD"/>
      <sheetName val="基本登録"/>
      <sheetName val="ｶｯﾄ表"/>
      <sheetName val="基本登录（1）"/>
      <sheetName val="Tables"/>
      <sheetName val="VALEO Requirements File"/>
      <sheetName val="所要数計算"/>
      <sheetName val="工数単価"/>
      <sheetName val="材料単価"/>
      <sheetName val="s&amp;iBR"/>
      <sheetName val="_x0016_PP¸"/>
      <sheetName val="Tracked"/>
      <sheetName val="Km277 %"/>
      <sheetName val="ThieuHD nal 2001"/>
      <sheetName val="CT 0_x0000_"/>
      <sheetName val="DATA2"/>
      <sheetName val="TP nhap"/>
      <sheetName val="NK PL"/>
      <sheetName val="NHAP NVL"/>
      <sheetName val="01. CONG TY 2013"/>
      <sheetName val="SO KET CONG TY"/>
      <sheetName val="Thong_tin"/>
      <sheetName val="DuyetGia"/>
      <sheetName val="X_x0003__x0000_Test5"/>
      <sheetName val="THXHTBA"/>
      <sheetName val="tong hÒq BQ"/>
      <sheetName val="DANHPHAP"/>
      <sheetName val="LCK"/>
      <sheetName val="LXTP"/>
      <sheetName val="T.LONG"/>
      <sheetName val="P.DAT"/>
      <sheetName val="CBL"/>
      <sheetName val="TBB"/>
      <sheetName val="TDHD"/>
      <sheetName val="LXK"/>
      <sheetName val="KHTBB"/>
      <sheetName val="LIET KE HANG HOA"/>
      <sheetName val="BT"/>
      <sheetName val="NEW_PANEL"/>
      <sheetName val="Ct_ DZ35kV"/>
      <sheetName val="Industry"/>
      <sheetName val="MSVT"/>
      <sheetName val="OFFICE TOWER"/>
      <sheetName val="BC6tT52 (_x0000__x0000_"/>
      <sheetName val="CV dej ngoai TCT (2)"/>
      <sheetName val="CV di ngoai to.g (2)"/>
      <sheetName val="Sum"/>
      <sheetName val="HÈp"/>
      <sheetName val="HÆX"/>
      <sheetName val="H_x0000__x0000_"/>
      <sheetName val="H§µ"/>
      <sheetName val="H_x0005__x0000_"/>
      <sheetName val="CONG TY"/>
      <sheetName val="GTHAU"/>
      <sheetName val="Hhp"/>
      <sheetName val="H@W"/>
      <sheetName val="DTC0"/>
      <sheetName val="TABLE"/>
      <sheetName val="KTCT (2)"/>
      <sheetName val="Plan"/>
      <sheetName val="ExchRates"/>
      <sheetName val="PLALL"/>
      <sheetName val="P&amp;L by Month"/>
      <sheetName val="gas (2)"/>
      <sheetName val="Phant԰_x0000__x0000__x0000_"/>
      <sheetName val="BK-SP"/>
      <sheetName val="Mã cũ-mới"/>
      <sheetName val="NHD"/>
      <sheetName val="Du lieu"/>
      <sheetName val="Data-AN90-2002"/>
      <sheetName val="Module"/>
      <sheetName val="ThangB"/>
      <sheetName val="Dinh muc chuan"/>
      <sheetName val="TH du toan_x0005_"/>
      <sheetName val="TH du toanð"/>
      <sheetName val="TH du toan "/>
      <sheetName val="DS Protecter"/>
      <sheetName val="lapdap_TB_"/>
      <sheetName val="Tonf_hop"/>
      <sheetName val="Ｍss_４Ｒ要員"/>
      <sheetName val="Du_lieu1"/>
      <sheetName val="IMP_TAX"/>
      <sheetName val="Dinh_muc_chuan"/>
      <sheetName val="TH_du_toan"/>
      <sheetName val="TH_du_toanð"/>
      <sheetName val="TH_du_toan "/>
      <sheetName val="DS_Protecter"/>
      <sheetName val="Klukng_phu"/>
      <sheetName val="AF"/>
      <sheetName val="CVden_ngoai_TCT_(1)7"/>
      <sheetName val="CV_den_ngoai_TCT_(2)7"/>
      <sheetName val="CV_den_ngoai_TCT_(3)7"/>
      <sheetName val="QDcua_TGD7"/>
      <sheetName val="QD_cua_HDQT7"/>
      <sheetName val="QD_cua_HDQT_(2)7"/>
      <sheetName val="CV_di_ngoai_tong7"/>
      <sheetName val="CV_di_ngoai_tong_(2)7"/>
      <sheetName val="To_trinh7"/>
      <sheetName val="Giao_nhiem_vu7"/>
      <sheetName val="QDcua_TGD_(2)7"/>
      <sheetName val="Thong_tu7"/>
      <sheetName val="CV_di_trong__tong7"/>
      <sheetName val="nghi_dinh-CP7"/>
      <sheetName val="CV_den_trong_tong7"/>
      <sheetName val="GIA_NUOC7"/>
      <sheetName val="GIA_DIEN_THOAI7"/>
      <sheetName val="GIA_DIEN7"/>
      <sheetName val="chiet_tinh_XD7"/>
      <sheetName val="Triet_T7"/>
      <sheetName val="Phan_tich_gia7"/>
      <sheetName val="pHAN_CONG7"/>
      <sheetName val="GIA_XD7"/>
      <sheetName val="lapdat_TB_7"/>
      <sheetName val="TNghiªm_TB_7"/>
      <sheetName val="VËt_liÖu7"/>
      <sheetName val="Lap_®at_®iÖn7"/>
      <sheetName val="TNghiÖm_VL7"/>
      <sheetName val="th_7"/>
      <sheetName val="tien_luong7"/>
      <sheetName val="KHVt_7"/>
      <sheetName val="KHVt_XL7"/>
      <sheetName val="KHVt_XLT47"/>
      <sheetName val="Thep_be7"/>
      <sheetName val="Thep_than7"/>
      <sheetName val="Thep_xa_mu7"/>
      <sheetName val="142201-T1_7"/>
      <sheetName val="142201-T2-th_7"/>
      <sheetName val="142201-T3-th_7"/>
      <sheetName val="142201-T4-th__7"/>
      <sheetName val="_t57"/>
      <sheetName val="t_47"/>
      <sheetName val="_t3_7"/>
      <sheetName val="_TH3317"/>
      <sheetName val="_Minh_ha7"/>
      <sheetName val="_Ha_Tay7"/>
      <sheetName val="_Vinhphuc7"/>
      <sheetName val="_Nbinh7"/>
      <sheetName val="_QVinh7"/>
      <sheetName val="_TW17"/>
      <sheetName val="T_so_thay_doi7"/>
      <sheetName val="b_THchitietDZCT7"/>
      <sheetName val="b_THchitietTBA7"/>
      <sheetName val="Khao_sat7"/>
      <sheetName val="TT_khao_sat7"/>
      <sheetName val="Kluong_phu7"/>
      <sheetName val="Lan_can7"/>
      <sheetName val="Ho_lan7"/>
      <sheetName val="Coc_tieu7"/>
      <sheetName val="Bien_bao7"/>
      <sheetName val="Op_mai_2747"/>
      <sheetName val="Op_mai_2757"/>
      <sheetName val="Op_mai_2767"/>
      <sheetName val="Op_mai_2777"/>
      <sheetName val="Op_mai_2787"/>
      <sheetName val="Op_mai_2797"/>
      <sheetName val="Op_mai_2807"/>
      <sheetName val="Op_mai_2817"/>
      <sheetName val="Op_mai_2827"/>
      <sheetName val="Op_mai_2837"/>
      <sheetName val="Op_mai_2847"/>
      <sheetName val="Op_mai7"/>
      <sheetName val="Km274_-_Km2757"/>
      <sheetName val="Km275_-_Km2767"/>
      <sheetName val="Km276_-_Km2777"/>
      <sheetName val="Km277_-_Km278_7"/>
      <sheetName val="Km278_-_Km2797"/>
      <sheetName val="Km279_-_Km2807"/>
      <sheetName val="Km280_-_Km2817"/>
      <sheetName val="Km281_-_Km2827"/>
      <sheetName val="Km282_-_Km2837"/>
      <sheetName val="Km283_-_Km2847"/>
      <sheetName val="Km284_-_Km2857"/>
      <sheetName val="Tong_hop_Matduong7"/>
      <sheetName val="Cong_D757"/>
      <sheetName val="Cong_D1007"/>
      <sheetName val="Cong_D1507"/>
      <sheetName val="Cong_2D1507"/>
      <sheetName val="Cong_ban_0,7x0,77"/>
      <sheetName val="Cong_ban_0,8x0,87"/>
      <sheetName val="Cong_ban_1x17"/>
      <sheetName val="Cong_ban_1x1,27"/>
      <sheetName val="Cong_ban_1,5x1,57"/>
      <sheetName val="Cong_ban_2x1,57"/>
      <sheetName val="Cong_ban_2x27"/>
      <sheetName val="Tong_hop7"/>
      <sheetName val="Tong_hop_(2)7"/>
      <sheetName val="Cong_cu7"/>
      <sheetName val="Cot_thep7"/>
      <sheetName val="Cong_tron_D757"/>
      <sheetName val="Cong_tron_D1007"/>
      <sheetName val="Cong_tron_D1507"/>
      <sheetName val="Cong_tron_2D1507"/>
      <sheetName val="Cong_ban_1,0x1,07"/>
      <sheetName val="Cong_ban_1,0x1,27"/>
      <sheetName val="Cong_hop_1,5x1,57"/>
      <sheetName val="Cong_hop_2,0x1,57"/>
      <sheetName val="Cong_hop_2,0x2,07"/>
      <sheetName val="CDSL_(2)7"/>
      <sheetName val="TK_1127"/>
      <sheetName val="TK_1317"/>
      <sheetName val="TK_1417"/>
      <sheetName val="TK_1537"/>
      <sheetName val="TK_2117"/>
      <sheetName val="TK_2427"/>
      <sheetName val="TK_3347"/>
      <sheetName val="TK_5117"/>
      <sheetName val="TK_5157"/>
      <sheetName val="TK_9117"/>
      <sheetName val="VtuHaTheSauTBABenThuy1_(2)7"/>
      <sheetName val="Song_trai7"/>
      <sheetName val="Dinh+ha_nha7"/>
      <sheetName val="NG_k7"/>
      <sheetName val="Trich_Ngang7"/>
      <sheetName val="Danh_sach_Rieng7"/>
      <sheetName val="Dia_Diem_Thuc_Tap7"/>
      <sheetName val="De_Tai_Thuc_Tap7"/>
      <sheetName val="thkl_(2)7"/>
      <sheetName val="long_tec7"/>
      <sheetName val="KQKD02-2_(2)7"/>
      <sheetName val="KQKD-2_(2)7"/>
      <sheetName val="KQKD_thu20047"/>
      <sheetName val="T_K_H_T_T57"/>
      <sheetName val="T_K_T77"/>
      <sheetName val="TK_T67"/>
      <sheetName val="T_K_T57"/>
      <sheetName val="Bang_thong_ke_hang_ton7"/>
      <sheetName val="thong_ke_7"/>
      <sheetName val="T_KT047"/>
      <sheetName val="Coc_67"/>
      <sheetName val="Deo_nai7"/>
      <sheetName val="CKD_than7"/>
      <sheetName val="CTT_Thong_nhat7"/>
      <sheetName val="CTT_Nui_beo7"/>
      <sheetName val="CTT_cao_son7"/>
      <sheetName val="CTT_Khe_cham7"/>
      <sheetName val="XNxlva_sxthanKCII7"/>
      <sheetName val="Cam_Y_ut_KC7"/>
      <sheetName val="CTxay_lap_mo_CP7"/>
      <sheetName val="CTdo_luong_GDSP7"/>
      <sheetName val="Dong_bac7"/>
      <sheetName val="Cac_cang_UT_mua_than_Dong_bac7"/>
      <sheetName val="cua_hang_vtu7"/>
      <sheetName val="Khach_hang_le_7"/>
      <sheetName val="nhat_ky_57"/>
      <sheetName val="cac_cong_ty_van_tai7"/>
      <sheetName val="K249_K987"/>
      <sheetName val="K249_K98_(2)7"/>
      <sheetName val="K251_K987"/>
      <sheetName val="K251_SBase7"/>
      <sheetName val="K251_AC7"/>
      <sheetName val="K252_K987"/>
      <sheetName val="K252_SBase7"/>
      <sheetName val="K252_AC7"/>
      <sheetName val="K253_K987"/>
      <sheetName val="K253_Subbase7"/>
      <sheetName val="K253_Base_7"/>
      <sheetName val="K253_SBase7"/>
      <sheetName val="K253_AC7"/>
      <sheetName val="K255_SBase7"/>
      <sheetName val="K259_K987"/>
      <sheetName val="K259_Subbase7"/>
      <sheetName val="K259_Base_7"/>
      <sheetName val="K259_AC7"/>
      <sheetName val="K260_K987"/>
      <sheetName val="K260_Subbase7"/>
      <sheetName val="K260_Base7"/>
      <sheetName val="K260_AC7"/>
      <sheetName val="K261_K987"/>
      <sheetName val="K261_Base7"/>
      <sheetName val="K261_AC7"/>
      <sheetName val="F_ThanhTri7"/>
      <sheetName val="F_Gialam7"/>
      <sheetName val="TH_dam7"/>
      <sheetName val="SX_dam7"/>
      <sheetName val="LD_dam7"/>
      <sheetName val="Bang_gia_VL7"/>
      <sheetName val="Gia_NC7"/>
      <sheetName val="Gia_may7"/>
      <sheetName val="phan_tich_DG7"/>
      <sheetName val="gia_vat_lieu7"/>
      <sheetName val="gia_xe_may7"/>
      <sheetName val="gia_nhan_cong7"/>
      <sheetName val="SCT_Cong_trinh7"/>
      <sheetName val="06-2003_(2)7"/>
      <sheetName val="CDPS_6tc7"/>
      <sheetName val="SCT_Nha_thau7"/>
      <sheetName val="socai2003_(6tc)dp7"/>
      <sheetName val="socai2003_(6tc)7"/>
      <sheetName val="CDPS_6tc_(2)7"/>
      <sheetName val="Dancau-Q_Ninh7"/>
      <sheetName val="BaTrieu-L_son7"/>
      <sheetName val="Don_gia_CPM7"/>
      <sheetName val="Tong_Thieu_HD_cac_CT-20017"/>
      <sheetName val="VL_thieu_HD_-_20017"/>
      <sheetName val="Tong_thieu_HD_cac_CT_-_20027"/>
      <sheetName val="Lan_trai7"/>
      <sheetName val="Van_chuyen7"/>
      <sheetName val="HDong_VC7"/>
      <sheetName val="ThieuHD_nam_20017"/>
      <sheetName val="Bang_TH7"/>
      <sheetName val="Tong_Chinh7"/>
      <sheetName val="Xaylap_7"/>
      <sheetName val="Nhan_cong7"/>
      <sheetName val="giai_thich7"/>
      <sheetName val="DT_-_Ro7"/>
      <sheetName val="TH_-_Ro_7"/>
      <sheetName val="GDT_-_Ro7"/>
      <sheetName val="DT_-_TB7"/>
      <sheetName val="TH_-_TB7"/>
      <sheetName val="GDT_-_TB7"/>
      <sheetName val="DT_-_NT7"/>
      <sheetName val="TH_-_NT7"/>
      <sheetName val="GDT_-_NT7"/>
      <sheetName val="CV_di_trong__dong7"/>
      <sheetName val="Nhap_lieu7"/>
      <sheetName val="Tien_dien6"/>
      <sheetName val="Thue_GTGT6"/>
      <sheetName val="BC_TH_CK_(2)7"/>
      <sheetName val="BC_TH_CK7"/>
      <sheetName val="BC6tT19_food7"/>
      <sheetName val="BC6tT18_-_Food7"/>
      <sheetName val="BCCK_47"/>
      <sheetName val="BCFood-_T167"/>
      <sheetName val="BCFood-_T157"/>
      <sheetName val="BCFood-_T147"/>
      <sheetName val="BCFood-_T137"/>
      <sheetName val="TH_CK27"/>
      <sheetName val="BC6tT52_(3)7"/>
      <sheetName val="BC6tT52_(2)7"/>
      <sheetName val="TCK_127"/>
      <sheetName val="Tong_CK7"/>
      <sheetName val="DOANH_SO7"/>
      <sheetName val="BD-SINH_VIEN7"/>
      <sheetName val="T03_-_037"/>
      <sheetName val="THL_T037"/>
      <sheetName val="TTBC_T037"/>
      <sheetName val="Luong_noi_Bo_-_T37"/>
      <sheetName val="Tong_hop_-_T37"/>
      <sheetName val="Thuong_Quy_37"/>
      <sheetName val="Phu_cap_trach_nhiem7"/>
      <sheetName val="Tay_ninh7"/>
      <sheetName val="A_Duc7"/>
      <sheetName val="[IBASE2_XLSѝTNHNoi7"/>
      <sheetName val="So_sanh7"/>
      <sheetName val="HHVt_7"/>
      <sheetName val="bcth_05-046"/>
      <sheetName val="baocao_05-046"/>
      <sheetName val="ql_(2)6"/>
      <sheetName val="TH_du_toan_7"/>
      <sheetName val="Du_toan_7"/>
      <sheetName val="C_Tinh7"/>
      <sheetName val="Co~g_hop_1,5x1,57"/>
      <sheetName val="_KQTH_quy_hoach_1356"/>
      <sheetName val="Bao_cao_KQTH_quy_hoach_1356"/>
      <sheetName val="Co_quan_TCT7"/>
      <sheetName val="BOT_(PA_chon)7"/>
      <sheetName val="Yaly_&amp;_Ri_Ninh7"/>
      <sheetName val="Thuy_dien_Na_Loi7"/>
      <sheetName val="bang_so_sanh_tong_hop7"/>
      <sheetName val="bang_so_sanh_tong_hop_(ty_le)7"/>
      <sheetName val="thu_nhap_binh_quan_(2)7"/>
      <sheetName val="dang_huong7"/>
      <sheetName val="phuong_an_17"/>
      <sheetName val="phuong_an_1_(2)7"/>
      <sheetName val="phuong_an27"/>
      <sheetName val="tong_hop_BQ7"/>
      <sheetName val="tong_hop_BQ-17"/>
      <sheetName val="phuong_an_chon7"/>
      <sheetName val="tô_rôiDY6"/>
      <sheetName val="Heso_3-2004_(3)6"/>
      <sheetName val="Luong_(2)6"/>
      <sheetName val="heso_T36"/>
      <sheetName val="heso_T46"/>
      <sheetName val="heso_T56"/>
      <sheetName val="Heso_T66"/>
      <sheetName val="Heso_T76"/>
      <sheetName val="Heso_T86"/>
      <sheetName val="Heso_T96"/>
      <sheetName val="Heso_2-20046"/>
      <sheetName val="Heso_3-20046"/>
      <sheetName val="Heso_3-2004_(2)6"/>
      <sheetName val="nhan_su6"/>
      <sheetName val="luong_cty6"/>
      <sheetName val="Thang_46"/>
      <sheetName val="Luu_goc6"/>
      <sheetName val="km22+93_86-km22+121_866"/>
      <sheetName val="km22+177_14-km22+205_646"/>
      <sheetName val="Bang_20-256"/>
      <sheetName val="km22+267_96-km22+283_966"/>
      <sheetName val="km22+304_31-km22+344_316"/>
      <sheetName val="km22+460_92-km22+614_576"/>
      <sheetName val="km22+671_78-km22+713_326"/>
      <sheetName val="_tuanM6"/>
      <sheetName val="CT_036"/>
      <sheetName val="TH_036"/>
      <sheetName val="bang_so_sanh_tong_hop_(_PA_cho6"/>
      <sheetName val="dang_ap_dung6"/>
      <sheetName val="bang_tong_hop_(dang_huong)6"/>
      <sheetName val="Dinh_ha_nha6"/>
      <sheetName val="[IBASE2_XLS}BHXH6"/>
      <sheetName val="[IBASE2_XLS䁝BC6tT176"/>
      <sheetName val="THT_nam_046"/>
      <sheetName val="HD_CTrinh16"/>
      <sheetName val="HD_benA6"/>
      <sheetName val="Theodoi_HD6"/>
      <sheetName val="Theodoi_HD_(2)6"/>
      <sheetName val="_GT_CPhi_tung_dot6"/>
      <sheetName val="chuong_phu6"/>
      <sheetName val="[IBASE2_XLS_Tong_hop_Matduong6"/>
      <sheetName val="THU_T126"/>
      <sheetName val="CHI_T126"/>
      <sheetName val="THU_T116"/>
      <sheetName val="CHI_T116"/>
      <sheetName val="THU_T106"/>
      <sheetName val="CHI_T106"/>
      <sheetName val="THU_T96"/>
      <sheetName val="CHI_T96"/>
      <sheetName val="THU_T86"/>
      <sheetName val="CHI_T86"/>
      <sheetName val="chi_phi_cap_tien6"/>
      <sheetName val="BC§_20016"/>
      <sheetName val="BBC§_20026"/>
      <sheetName val="TSC§_20016"/>
      <sheetName val="TSc®_20026"/>
      <sheetName val="BaTrieu-L_con6"/>
      <sheetName val="EDT_-_Ro6"/>
      <sheetName val="KHVô_XL6"/>
      <sheetName val="TD_khao_sat6"/>
      <sheetName val="THANG7_6"/>
      <sheetName val="THANG_116"/>
      <sheetName val="THANG_126"/>
      <sheetName val="phuong_aL_16"/>
      <sheetName val="Khac_DP6"/>
      <sheetName val="Khoi_than_6"/>
      <sheetName val="TK__TK6"/>
      <sheetName val="Bang_can_doi_6"/>
      <sheetName val="De_Tai_Vhuc_Tap6"/>
      <sheetName val="02_16"/>
      <sheetName val="2_16"/>
      <sheetName val="2_36"/>
      <sheetName val="02_36"/>
      <sheetName val="B_016"/>
      <sheetName val="B_036"/>
      <sheetName val="D_136"/>
      <sheetName val="[IBASE2_XLS?TNHNoi6"/>
      <sheetName val="Tinh_hinh_cat_lang6"/>
      <sheetName val="Tinh_hinh_SX_phu6"/>
      <sheetName val="Tinh_hinh_do_xop6"/>
      <sheetName val="Cong_hop_2,0ࡸ2,05"/>
      <sheetName val="Sat_tron5"/>
      <sheetName val="(9_30)_IP5"/>
      <sheetName val="Cong_tron_D7'5"/>
      <sheetName val="2_745"/>
      <sheetName val="CN-QV_FG5"/>
      <sheetName val="CN-QV_RM5"/>
      <sheetName val="PHAV_R_M5"/>
      <sheetName val="PHAV_F_G5"/>
      <sheetName val="TOA_R_M5"/>
      <sheetName val="TOA_F_G5"/>
      <sheetName val="CVN_R_M5"/>
      <sheetName val="CVN_F_G5"/>
      <sheetName val="DENSO_R_M5"/>
      <sheetName val="DENSO_F_G5"/>
      <sheetName val="SATO_RM5"/>
      <sheetName val="SATO_F_G5"/>
      <sheetName val="Up_to_20023"/>
      <sheetName val="det_VP4"/>
      <sheetName val="det_hn4"/>
      <sheetName val="chi_Hieu4"/>
      <sheetName val="c_thoa4"/>
      <sheetName val="A_thanh_-_DL4"/>
      <sheetName val="A_Tuyen4"/>
      <sheetName val="A_Tien_-laphu4"/>
      <sheetName val="A_Thang-_laphu4"/>
      <sheetName val="A_Dong4"/>
      <sheetName val="27-7_NB4"/>
      <sheetName val="xn_54"/>
      <sheetName val="PKD_X204"/>
      <sheetName val="da_giay_SG4"/>
      <sheetName val="dagiay_XK4"/>
      <sheetName val="DK_Dong_xuan4"/>
      <sheetName val="chu_Ton4"/>
      <sheetName val="minh_tri4"/>
      <sheetName val="viet_huy4"/>
      <sheetName val="thanh_ha4"/>
      <sheetName val="O_Su4"/>
      <sheetName val="A_Ha-DL4"/>
      <sheetName val="Vinh_oanh4"/>
      <sheetName val="chi_Thuy4"/>
      <sheetName val="chu_Hong4"/>
      <sheetName val="thuy-_may4"/>
      <sheetName val="vu_yen4"/>
      <sheetName val="OPERATING_HEAD4"/>
      <sheetName val="31_12_014"/>
      <sheetName val="Tong_hop_xuat_kho_nvl4"/>
      <sheetName val="Xuat_kho4"/>
      <sheetName val="Tong_hop_so_lieu_tai_nhap_kho4"/>
      <sheetName val="tai_nhap_kho4"/>
      <sheetName val="Nhap_kho4"/>
      <sheetName val="Tong_ket_nhap_kho4"/>
      <sheetName val="Tong_ket4"/>
      <sheetName val="cac_ma_can_huy4"/>
      <sheetName val="Hang_hong4"/>
      <sheetName val="Tham_khao4"/>
      <sheetName val="hang_khong_co_packing4"/>
      <sheetName val="VtuHaTheSauTBABenThuy1_Ш2)4"/>
      <sheetName val="K252_K9и4"/>
      <sheetName val="nphuocb_44"/>
      <sheetName val="bcth_05-04"/>
      <sheetName val="ESTI_5"/>
      <sheetName val="THU_T74"/>
      <sheetName val="CHI_T74"/>
      <sheetName val="THU_T64"/>
      <sheetName val="CHI_T64"/>
      <sheetName val="THU_T54"/>
      <sheetName val="CHI_T54"/>
      <sheetName val="THU_T44"/>
      <sheetName val="CHI_T44"/>
      <sheetName val="THU_T34"/>
      <sheetName val="CHI_T34"/>
      <sheetName val="THU_T24"/>
      <sheetName val="CHI_T24"/>
      <sheetName val="THU_T16"/>
      <sheetName val="CHI_T16"/>
      <sheetName val="TB_Grouping4"/>
      <sheetName val="Balance_Sheet4"/>
      <sheetName val="CHITIET_VL-NC4"/>
      <sheetName val="DON_GIA4"/>
      <sheetName val="So_lieu4"/>
      <sheetName val="tt_chu_dong4"/>
      <sheetName val="Tinh_j+cvi4"/>
      <sheetName val="Tinh_MoP4"/>
      <sheetName val="giai_he_24"/>
      <sheetName val="ct_luong_4"/>
      <sheetName val="Nhap_6T4"/>
      <sheetName val="Ranking_data4"/>
      <sheetName val="GDMN_14"/>
      <sheetName val="May_khau4"/>
      <sheetName val="PXKT6Via_114"/>
      <sheetName val="PXKTLo_Thien_V_14A4"/>
      <sheetName val="V14_phu4"/>
      <sheetName val="Via_16_Lthien4"/>
      <sheetName val="mc_2006_&amp;_093"/>
      <sheetName val="mc_2006_&amp;_57_&amp;_093"/>
      <sheetName val="dongia_(2)3"/>
      <sheetName val="THPDMoi__(2)3"/>
      <sheetName val="t-h_HA_THE3"/>
      <sheetName val="CHITIET_VL-NC-TT_-1p3"/>
      <sheetName val="TONG_HOP_VL-NC_TT3"/>
      <sheetName val="TH_XL3"/>
      <sheetName val="TONGKE3p_3"/>
      <sheetName val="CHITIET_VL-NC-TT-3p3"/>
      <sheetName val="KPVC-BD_3"/>
      <sheetName val="Master_schedule3"/>
      <sheetName val="GDMN_23"/>
      <sheetName val="GDMN_33"/>
      <sheetName val="GDMN_43"/>
      <sheetName val="GDMN_53"/>
      <sheetName val="GDTH_13"/>
      <sheetName val="GDTH_23"/>
      <sheetName val="GDTH_33"/>
      <sheetName val="GDTH_43"/>
      <sheetName val="GDTH_53"/>
      <sheetName val="THCS_13"/>
      <sheetName val="THCS_23"/>
      <sheetName val="THCS_33"/>
      <sheetName val="THCS_43"/>
      <sheetName val="THCS_53"/>
      <sheetName val="THCS_63"/>
      <sheetName val="THPT_13"/>
      <sheetName val="THPT_23"/>
      <sheetName val="THPT_33"/>
      <sheetName val="THPT_43"/>
      <sheetName val="THPT_53"/>
      <sheetName val="THPT_63"/>
      <sheetName val="DH,CD,THCN_13"/>
      <sheetName val="DH,CD,THCN_23"/>
      <sheetName val="DH,CD,THCN_33"/>
      <sheetName val="GDKCQ_13"/>
      <sheetName val="GDKCQ_23"/>
      <sheetName val="_IBASE2_XLSѝTNHNoi4"/>
      <sheetName val="_IBASE2_XLS䁝BC6tT173"/>
      <sheetName val="_IBASE2_XLS}BHXH3"/>
      <sheetName val="_IBASE2_XLS_Tong_hop_Matduong3"/>
      <sheetName val="BTHDT_TBA_3"/>
      <sheetName val="DS_tong3"/>
      <sheetName val="CDSM_(2)3"/>
      <sheetName val="Cost_Center_3"/>
      <sheetName val="Part_data3"/>
      <sheetName val="Vender_Data3"/>
      <sheetName val="lapdap_TB_3"/>
      <sheetName val="Tonf_hop3"/>
      <sheetName val="Ｍss_４Ｒ要員3"/>
      <sheetName val="Du_lieu4"/>
      <sheetName val="IMP_TAX3"/>
      <sheetName val="Dinh_muc_chuan3"/>
      <sheetName val="TH_du_toanð3"/>
      <sheetName val="TH_du_toan 3"/>
      <sheetName val="DS_Protecter3"/>
      <sheetName val="Klukng_phu3"/>
      <sheetName val="lapdap_TB_2"/>
      <sheetName val="Tonf_hop2"/>
      <sheetName val="Ｍss_４Ｒ要員2"/>
      <sheetName val="Du_lieu3"/>
      <sheetName val="IMP_TAX2"/>
      <sheetName val="Dinh_muc_chuan2"/>
      <sheetName val="TH_du_toanð2"/>
      <sheetName val="TH_du_toan 2"/>
      <sheetName val="DS_Protecter2"/>
      <sheetName val="Klukng_phu2"/>
      <sheetName val="lapdap_TB_1"/>
      <sheetName val="Tonf_hop1"/>
      <sheetName val="Ｍss_４Ｒ要員1"/>
      <sheetName val="Du_lieu2"/>
      <sheetName val="IMP_TAX1"/>
      <sheetName val="Dinh_muc_chuan1"/>
      <sheetName val="TH_du_toanð1"/>
      <sheetName val="TH_du_toan 1"/>
      <sheetName val="DS_Protecter1"/>
      <sheetName val="Klukng_phu1"/>
      <sheetName val="CVden_ngoai_TCT_(1)8"/>
      <sheetName val="CV_den_ngoai_TCT_(2)8"/>
      <sheetName val="CV_den_ngoai_TCT_(3)8"/>
      <sheetName val="QDcua_TGD8"/>
      <sheetName val="QD_cua_HDQT8"/>
      <sheetName val="QD_cua_HDQT_(2)8"/>
      <sheetName val="CV_di_ngoai_tong8"/>
      <sheetName val="CV_di_ngoai_tong_(2)8"/>
      <sheetName val="To_trinh8"/>
      <sheetName val="Giao_nhiem_vu8"/>
      <sheetName val="QDcua_TGD_(2)8"/>
      <sheetName val="Thong_tu8"/>
      <sheetName val="CV_di_trong__tong8"/>
      <sheetName val="nghi_dinh-CP8"/>
      <sheetName val="CV_den_trong_tong8"/>
      <sheetName val="GIA_NUOC8"/>
      <sheetName val="GIA_DIEN_THOAI8"/>
      <sheetName val="GIA_DIEN8"/>
      <sheetName val="chiet_tinh_XD8"/>
      <sheetName val="Triet_T8"/>
      <sheetName val="Phan_tich_gia8"/>
      <sheetName val="pHAN_CONG8"/>
      <sheetName val="GIA_XD8"/>
      <sheetName val="lapdat_TB_8"/>
      <sheetName val="TNghiªm_TB_8"/>
      <sheetName val="VËt_liÖu8"/>
      <sheetName val="Lap_®at_®iÖn8"/>
      <sheetName val="TNghiÖm_VL8"/>
      <sheetName val="th_8"/>
      <sheetName val="tien_luong8"/>
      <sheetName val="KHVt_8"/>
      <sheetName val="KHVt_XL8"/>
      <sheetName val="KHVt_XLT48"/>
      <sheetName val="Thep_be8"/>
      <sheetName val="Thep_than8"/>
      <sheetName val="Thep_xa_mu8"/>
      <sheetName val="142201-T1_8"/>
      <sheetName val="142201-T2-th_8"/>
      <sheetName val="142201-T3-th_8"/>
      <sheetName val="142201-T4-th__8"/>
      <sheetName val="_t58"/>
      <sheetName val="t_48"/>
      <sheetName val="_t3_8"/>
      <sheetName val="_TH3318"/>
      <sheetName val="_Minh_ha8"/>
      <sheetName val="_Ha_Tay8"/>
      <sheetName val="_Vinhphuc8"/>
      <sheetName val="_Nbinh8"/>
      <sheetName val="_QVinh8"/>
      <sheetName val="_TW18"/>
      <sheetName val="T_so_thay_doi8"/>
      <sheetName val="b_THchitietDZCT8"/>
      <sheetName val="b_THchitietTBA8"/>
      <sheetName val="Khao_sat8"/>
      <sheetName val="TT_khao_sat8"/>
      <sheetName val="Kluong_phu8"/>
      <sheetName val="Lan_can8"/>
      <sheetName val="Ho_lan8"/>
      <sheetName val="Coc_tieu8"/>
      <sheetName val="Bien_bao8"/>
      <sheetName val="Op_mai_2748"/>
      <sheetName val="Op_mai_2758"/>
      <sheetName val="Op_mai_2768"/>
      <sheetName val="Op_mai_2778"/>
      <sheetName val="Op_mai_2788"/>
      <sheetName val="Op_mai_2798"/>
      <sheetName val="Op_mai_2808"/>
      <sheetName val="Op_mai_2818"/>
      <sheetName val="Op_mai_2828"/>
      <sheetName val="Op_mai_2838"/>
      <sheetName val="Op_mai_2848"/>
      <sheetName val="Op_mai8"/>
      <sheetName val="Km274_-_Km2758"/>
      <sheetName val="Km275_-_Km2768"/>
      <sheetName val="Km276_-_Km2778"/>
      <sheetName val="Km277_-_Km278_8"/>
      <sheetName val="Km278_-_Km2798"/>
      <sheetName val="Km279_-_Km2808"/>
      <sheetName val="Km280_-_Km2818"/>
      <sheetName val="Km281_-_Km2828"/>
      <sheetName val="Km282_-_Km2838"/>
      <sheetName val="Km283_-_Km2848"/>
      <sheetName val="Km284_-_Km2858"/>
      <sheetName val="Tong_hop_Matduong8"/>
      <sheetName val="Cong_D758"/>
      <sheetName val="Cong_D1008"/>
      <sheetName val="Cong_D1508"/>
      <sheetName val="Cong_2D1508"/>
      <sheetName val="Cong_ban_0,7x0,78"/>
      <sheetName val="Cong_ban_0,8x0,88"/>
      <sheetName val="Cong_ban_1x18"/>
      <sheetName val="Cong_ban_1x1,28"/>
      <sheetName val="Cong_ban_1,5x1,58"/>
      <sheetName val="Cong_ban_2x1,58"/>
      <sheetName val="Cong_ban_2x28"/>
      <sheetName val="Tong_hop8"/>
      <sheetName val="Tong_hop_(2)8"/>
      <sheetName val="Cong_cu8"/>
      <sheetName val="Cot_thep8"/>
      <sheetName val="Cong_tron_D758"/>
      <sheetName val="Cong_tron_D1008"/>
      <sheetName val="Cong_tron_D1508"/>
      <sheetName val="Cong_tron_2D1508"/>
      <sheetName val="Cong_ban_1,0x1,08"/>
      <sheetName val="Cong_ban_1,0x1,28"/>
      <sheetName val="Cong_hop_1,5x1,58"/>
      <sheetName val="Cong_hop_2,0x1,58"/>
      <sheetName val="Cong_hop_2,0x2,08"/>
      <sheetName val="CDSL_(2)8"/>
      <sheetName val="TK_1128"/>
      <sheetName val="TK_1318"/>
      <sheetName val="TK_1418"/>
      <sheetName val="TK_1538"/>
      <sheetName val="TK_2118"/>
      <sheetName val="TK_2428"/>
      <sheetName val="TK_3348"/>
      <sheetName val="TK_5118"/>
      <sheetName val="TK_5158"/>
      <sheetName val="TK_9118"/>
      <sheetName val="VtuHaTheSauTBABenThuy1_(2)8"/>
      <sheetName val="Song_trai8"/>
      <sheetName val="Dinh+ha_nha8"/>
      <sheetName val="NG_k8"/>
      <sheetName val="Trich_Ngang8"/>
      <sheetName val="Danh_sach_Rieng8"/>
      <sheetName val="Dia_Diem_Thuc_Tap8"/>
      <sheetName val="De_Tai_Thuc_Tap8"/>
      <sheetName val="thkl_(2)8"/>
      <sheetName val="long_tec8"/>
      <sheetName val="KQKD02-2_(2)8"/>
      <sheetName val="KQKD-2_(2)8"/>
      <sheetName val="KQKD_thu20048"/>
      <sheetName val="T_K_H_T_T58"/>
      <sheetName val="T_K_T78"/>
      <sheetName val="TK_T68"/>
      <sheetName val="T_K_T58"/>
      <sheetName val="Bang_thong_ke_hang_ton8"/>
      <sheetName val="thong_ke_8"/>
      <sheetName val="T_KT048"/>
      <sheetName val="Coc_68"/>
      <sheetName val="Deo_nai8"/>
      <sheetName val="CKD_than8"/>
      <sheetName val="CTT_Thong_nhat8"/>
      <sheetName val="CTT_Nui_beo8"/>
      <sheetName val="CTT_cao_son8"/>
      <sheetName val="CTT_Khe_cham8"/>
      <sheetName val="XNxlva_sxthanKCII8"/>
      <sheetName val="Cam_Y_ut_KC8"/>
      <sheetName val="CTxay_lap_mo_CP8"/>
      <sheetName val="CTdo_luong_GDSP8"/>
      <sheetName val="Dong_bac8"/>
      <sheetName val="Cac_cang_UT_mua_than_Dong_bac8"/>
      <sheetName val="cua_hang_vtu8"/>
      <sheetName val="Khach_hang_le_8"/>
      <sheetName val="nhat_ky_58"/>
      <sheetName val="cac_cong_ty_van_tai8"/>
      <sheetName val="K249_K988"/>
      <sheetName val="K249_K98_(2)8"/>
      <sheetName val="K251_K988"/>
      <sheetName val="K251_SBase8"/>
      <sheetName val="K251_AC8"/>
      <sheetName val="K252_K988"/>
      <sheetName val="K252_SBase8"/>
      <sheetName val="K252_AC8"/>
      <sheetName val="K253_K988"/>
      <sheetName val="K253_Subbase8"/>
      <sheetName val="K253_Base_8"/>
      <sheetName val="K253_SBase8"/>
      <sheetName val="K253_AC8"/>
      <sheetName val="K255_SBase8"/>
      <sheetName val="K259_K988"/>
      <sheetName val="K259_Subbase8"/>
      <sheetName val="K259_Base_8"/>
      <sheetName val="K259_AC8"/>
      <sheetName val="K260_K988"/>
      <sheetName val="K260_Subbase8"/>
      <sheetName val="K260_Base8"/>
      <sheetName val="K260_AC8"/>
      <sheetName val="K261_K988"/>
      <sheetName val="K261_Base8"/>
      <sheetName val="K261_AC8"/>
      <sheetName val="F_ThanhTri8"/>
      <sheetName val="F_Gialam8"/>
      <sheetName val="TH_dam8"/>
      <sheetName val="SX_dam8"/>
      <sheetName val="LD_dam8"/>
      <sheetName val="Bang_gia_VL8"/>
      <sheetName val="Gia_NC8"/>
      <sheetName val="Gia_may8"/>
      <sheetName val="phan_tich_DG8"/>
      <sheetName val="gia_vat_lieu8"/>
      <sheetName val="gia_xe_may8"/>
      <sheetName val="gia_nhan_cong8"/>
      <sheetName val="SCT_Cong_trinh8"/>
      <sheetName val="06-2003_(2)8"/>
      <sheetName val="CDPS_6tc8"/>
      <sheetName val="SCT_Nha_thau8"/>
      <sheetName val="socai2003_(6tc)dp8"/>
      <sheetName val="socai2003_(6tc)8"/>
      <sheetName val="CDPS_6tc_(2)8"/>
      <sheetName val="Dancau-Q_Ninh8"/>
      <sheetName val="BaTrieu-L_son8"/>
      <sheetName val="Don_gia_CPM8"/>
      <sheetName val="Tong_Thieu_HD_cac_CT-20018"/>
      <sheetName val="VL_thieu_HD_-_20018"/>
      <sheetName val="Tong_thieu_HD_cac_CT_-_20028"/>
      <sheetName val="Lan_trai8"/>
      <sheetName val="Van_chuyen8"/>
      <sheetName val="HDong_VC8"/>
      <sheetName val="ThieuHD_nam_20018"/>
      <sheetName val="Bang_TH8"/>
      <sheetName val="Tong_Chinh8"/>
      <sheetName val="Xaylap_8"/>
      <sheetName val="Nhan_cong8"/>
      <sheetName val="giai_thich8"/>
      <sheetName val="DT_-_Ro8"/>
      <sheetName val="TH_-_Ro_8"/>
      <sheetName val="GDT_-_Ro8"/>
      <sheetName val="DT_-_TB8"/>
      <sheetName val="TH_-_TB8"/>
      <sheetName val="GDT_-_TB8"/>
      <sheetName val="DT_-_NT8"/>
      <sheetName val="TH_-_NT8"/>
      <sheetName val="GDT_-_NT8"/>
      <sheetName val="CV_di_trong__dong8"/>
      <sheetName val="Nhap_lieu8"/>
      <sheetName val="Tien_dien7"/>
      <sheetName val="Thue_GTGT7"/>
      <sheetName val="BC_TH_CK_(2)8"/>
      <sheetName val="BC_TH_CK8"/>
      <sheetName val="BC6tT19_food8"/>
      <sheetName val="BC6tT18_-_Food8"/>
      <sheetName val="BCCK_48"/>
      <sheetName val="BCFood-_T168"/>
      <sheetName val="BCFood-_T158"/>
      <sheetName val="BCFood-_T148"/>
      <sheetName val="BCFood-_T138"/>
      <sheetName val="TH_CK28"/>
      <sheetName val="BC6tT52_(3)8"/>
      <sheetName val="BC6tT52_(2)8"/>
      <sheetName val="TCK_128"/>
      <sheetName val="Tong_CK8"/>
      <sheetName val="DOANH_SO8"/>
      <sheetName val="BD-SINH_VIEN8"/>
      <sheetName val="T03_-_038"/>
      <sheetName val="THL_T038"/>
      <sheetName val="TTBC_T038"/>
      <sheetName val="Luong_noi_Bo_-_T38"/>
      <sheetName val="Tong_hop_-_T38"/>
      <sheetName val="Thuong_Quy_38"/>
      <sheetName val="Phu_cap_trach_nhiem8"/>
      <sheetName val="Tay_ninh8"/>
      <sheetName val="A_Duc8"/>
      <sheetName val="[IBASE2_XLSѝTNHNoi8"/>
      <sheetName val="So_sanh8"/>
      <sheetName val="HHVt_8"/>
      <sheetName val="bcth_05-047"/>
      <sheetName val="baocao_05-047"/>
      <sheetName val="ql_(2)7"/>
      <sheetName val="TH_du_toan_8"/>
      <sheetName val="Du_toan_8"/>
      <sheetName val="C_Tinh8"/>
      <sheetName val="Co~g_hop_1,5x1,58"/>
      <sheetName val="_KQTH_quy_hoach_1357"/>
      <sheetName val="Bao_cao_KQTH_quy_hoach_1357"/>
      <sheetName val="Co_quan_TCT8"/>
      <sheetName val="BOT_(PA_chon)8"/>
      <sheetName val="Yaly_&amp;_Ri_Ninh8"/>
      <sheetName val="Thuy_dien_Na_Loi8"/>
      <sheetName val="bang_so_sanh_tong_hop8"/>
      <sheetName val="bang_so_sanh_tong_hop_(ty_le)8"/>
      <sheetName val="thu_nhap_binh_quan_(2)8"/>
      <sheetName val="dang_huong8"/>
      <sheetName val="phuong_an_18"/>
      <sheetName val="phuong_an_1_(2)8"/>
      <sheetName val="phuong_an28"/>
      <sheetName val="tong_hop_BQ8"/>
      <sheetName val="tong_hop_BQ-18"/>
      <sheetName val="phuong_an_chon8"/>
      <sheetName val="tô_rôiDY7"/>
      <sheetName val="Heso_3-2004_(3)7"/>
      <sheetName val="Luong_(2)7"/>
      <sheetName val="heso_T37"/>
      <sheetName val="heso_T47"/>
      <sheetName val="heso_T57"/>
      <sheetName val="Heso_T67"/>
      <sheetName val="Heso_T77"/>
      <sheetName val="Heso_T87"/>
      <sheetName val="Heso_T97"/>
      <sheetName val="Heso_2-20047"/>
      <sheetName val="Heso_3-20047"/>
      <sheetName val="Heso_3-2004_(2)7"/>
      <sheetName val="nhan_su7"/>
      <sheetName val="luong_cty7"/>
      <sheetName val="Thang_47"/>
      <sheetName val="Luu_goc7"/>
      <sheetName val="km22+93_86-km22+121_867"/>
      <sheetName val="km22+177_14-km22+205_647"/>
      <sheetName val="Bang_20-257"/>
      <sheetName val="km22+267_96-km22+283_967"/>
      <sheetName val="km22+304_31-km22+344_317"/>
      <sheetName val="km22+460_92-km22+614_577"/>
      <sheetName val="km22+671_78-km22+713_327"/>
      <sheetName val="_tuanM7"/>
      <sheetName val="CT_037"/>
      <sheetName val="TH_037"/>
      <sheetName val="bang_so_sanh_tong_hop_(_PA_cho7"/>
      <sheetName val="dang_ap_dung7"/>
      <sheetName val="bang_tong_hop_(dang_huong)7"/>
      <sheetName val="Dinh_ha_nha7"/>
      <sheetName val="[IBASE2_XLS}BHXH7"/>
      <sheetName val="[IBASE2_XLS䁝BC6tT177"/>
      <sheetName val="THT_nam_047"/>
      <sheetName val="HD_CTrinh17"/>
      <sheetName val="HD_benA7"/>
      <sheetName val="Theodoi_HD7"/>
      <sheetName val="Theodoi_HD_(2)7"/>
      <sheetName val="_GT_CPhi_tung_dot7"/>
      <sheetName val="chuong_phu7"/>
      <sheetName val="[IBASE2_XLS_Tong_hop_Matduong7"/>
      <sheetName val="THU_T127"/>
      <sheetName val="CHI_T127"/>
      <sheetName val="THU_T117"/>
      <sheetName val="CHI_T117"/>
      <sheetName val="THU_T107"/>
      <sheetName val="CHI_T107"/>
      <sheetName val="THU_T97"/>
      <sheetName val="CHI_T97"/>
      <sheetName val="THU_T87"/>
      <sheetName val="CHI_T87"/>
      <sheetName val="chi_phi_cap_tien7"/>
      <sheetName val="BC§_20017"/>
      <sheetName val="BBC§_20027"/>
      <sheetName val="TSC§_20017"/>
      <sheetName val="TSc®_20027"/>
      <sheetName val="BaTrieu-L_con7"/>
      <sheetName val="EDT_-_Ro7"/>
      <sheetName val="KHVô_XL7"/>
      <sheetName val="TD_khao_sat7"/>
      <sheetName val="THANG7_7"/>
      <sheetName val="THANG_117"/>
      <sheetName val="THANG_127"/>
      <sheetName val="phuong_aL_17"/>
      <sheetName val="Khac_DP7"/>
      <sheetName val="Khoi_than_7"/>
      <sheetName val="TK__TK7"/>
      <sheetName val="Bang_can_doi_7"/>
      <sheetName val="De_Tai_Vhuc_Tap7"/>
      <sheetName val="02_17"/>
      <sheetName val="2_17"/>
      <sheetName val="2_37"/>
      <sheetName val="02_37"/>
      <sheetName val="B_017"/>
      <sheetName val="B_037"/>
      <sheetName val="D_137"/>
      <sheetName val="[IBASE2_XLS?TNHNoi7"/>
      <sheetName val="Tinh_hinh_cat_lang7"/>
      <sheetName val="Tinh_hinh_SX_phu7"/>
      <sheetName val="Tinh_hinh_do_xop7"/>
      <sheetName val="Cong_hop_2,0ࡸ2,06"/>
      <sheetName val="Sat_tron6"/>
      <sheetName val="(9_30)_IP6"/>
      <sheetName val="Cong_tron_D7'6"/>
      <sheetName val="2_746"/>
      <sheetName val="CN-QV_FG6"/>
      <sheetName val="CN-QV_RM6"/>
      <sheetName val="PHAV_R_M6"/>
      <sheetName val="PHAV_F_G6"/>
      <sheetName val="TOA_R_M6"/>
      <sheetName val="TOA_F_G6"/>
      <sheetName val="CVN_R_M6"/>
      <sheetName val="CVN_F_G6"/>
      <sheetName val="DENSO_R_M6"/>
      <sheetName val="DENSO_F_G6"/>
      <sheetName val="SATO_RM6"/>
      <sheetName val="SATO_F_G6"/>
      <sheetName val="Up_to_20024"/>
      <sheetName val="det_VP5"/>
      <sheetName val="det_hn5"/>
      <sheetName val="chi_Hieu5"/>
      <sheetName val="c_thoa5"/>
      <sheetName val="A_thanh_-_DL5"/>
      <sheetName val="A_Tuyen5"/>
      <sheetName val="A_Tien_-laphu5"/>
      <sheetName val="A_Thang-_laphu5"/>
      <sheetName val="A_Dong5"/>
      <sheetName val="27-7_NB5"/>
      <sheetName val="xn_55"/>
      <sheetName val="PKD_X205"/>
      <sheetName val="da_giay_SG5"/>
      <sheetName val="dagiay_XK5"/>
      <sheetName val="DK_Dong_xuan5"/>
      <sheetName val="chu_Ton5"/>
      <sheetName val="minh_tri5"/>
      <sheetName val="viet_huy5"/>
      <sheetName val="thanh_ha5"/>
      <sheetName val="O_Su5"/>
      <sheetName val="A_Ha-DL5"/>
      <sheetName val="Vinh_oanh5"/>
      <sheetName val="chi_Thuy5"/>
      <sheetName val="chu_Hong5"/>
      <sheetName val="thuy-_may5"/>
      <sheetName val="vu_yen5"/>
      <sheetName val="OPERATING_HEAD5"/>
      <sheetName val="31_12_015"/>
      <sheetName val="Tong_hop_xuat_kho_nvl5"/>
      <sheetName val="Xuat_kho5"/>
      <sheetName val="Tong_hop_so_lieu_tai_nhap_kho5"/>
      <sheetName val="tai_nhap_kho5"/>
      <sheetName val="Nhap_kho5"/>
      <sheetName val="Tong_ket_nhap_kho5"/>
      <sheetName val="Tong_ket5"/>
      <sheetName val="cac_ma_can_huy5"/>
      <sheetName val="Hang_hong5"/>
      <sheetName val="Tham_khao5"/>
      <sheetName val="hang_khong_co_packing5"/>
      <sheetName val="VtuHaTheSauTBABenThuy1_Ш2)5"/>
      <sheetName val="K252_K9и5"/>
      <sheetName val="nphuocb_45"/>
      <sheetName val="bcth_05-05"/>
      <sheetName val="ESTI_6"/>
      <sheetName val="THU_T75"/>
      <sheetName val="CHI_T75"/>
      <sheetName val="THU_T65"/>
      <sheetName val="CHI_T65"/>
      <sheetName val="THU_T55"/>
      <sheetName val="CHI_T55"/>
      <sheetName val="THU_T45"/>
      <sheetName val="CHI_T45"/>
      <sheetName val="THU_T35"/>
      <sheetName val="CHI_T35"/>
      <sheetName val="THU_T25"/>
      <sheetName val="CHI_T25"/>
      <sheetName val="THU_T17"/>
      <sheetName val="CHI_T17"/>
      <sheetName val="TB_Grouping5"/>
      <sheetName val="Balance_Sheet5"/>
      <sheetName val="CHITIET_VL-NC5"/>
      <sheetName val="DON_GIA5"/>
      <sheetName val="So_lieu5"/>
      <sheetName val="tt_chu_dong5"/>
      <sheetName val="Tinh_j+cvi5"/>
      <sheetName val="Tinh_MoP5"/>
      <sheetName val="giai_he_25"/>
      <sheetName val="ct_luong_5"/>
      <sheetName val="Nhap_6T5"/>
      <sheetName val="Ranking_data5"/>
      <sheetName val="GDMN_15"/>
      <sheetName val="May_khau5"/>
      <sheetName val="PXKT6Via_115"/>
      <sheetName val="PXKTLo_Thien_V_14A5"/>
      <sheetName val="V14_phu5"/>
      <sheetName val="Via_16_Lthien5"/>
      <sheetName val="mc_2006_&amp;_094"/>
      <sheetName val="mc_2006_&amp;_57_&amp;_094"/>
      <sheetName val="dongia_(2)4"/>
      <sheetName val="THPDMoi__(2)4"/>
      <sheetName val="t-h_HA_THE4"/>
      <sheetName val="CHITIET_VL-NC-TT_-1p4"/>
      <sheetName val="TONG_HOP_VL-NC_TT4"/>
      <sheetName val="TH_XL4"/>
      <sheetName val="TONGKE3p_4"/>
      <sheetName val="CHITIET_VL-NC-TT-3p4"/>
      <sheetName val="KPVC-BD_4"/>
      <sheetName val="Master_schedule4"/>
      <sheetName val="GDMN_24"/>
      <sheetName val="GDMN_34"/>
      <sheetName val="GDMN_44"/>
      <sheetName val="GDMN_54"/>
      <sheetName val="GDTH_14"/>
      <sheetName val="GDTH_24"/>
      <sheetName val="GDTH_34"/>
      <sheetName val="GDTH_44"/>
      <sheetName val="GDTH_54"/>
      <sheetName val="THCS_14"/>
      <sheetName val="THCS_24"/>
      <sheetName val="THCS_34"/>
      <sheetName val="THCS_44"/>
      <sheetName val="THCS_54"/>
      <sheetName val="THCS_64"/>
      <sheetName val="THPT_14"/>
      <sheetName val="THPT_24"/>
      <sheetName val="THPT_34"/>
      <sheetName val="THPT_44"/>
      <sheetName val="THPT_54"/>
      <sheetName val="THPT_64"/>
      <sheetName val="DH,CD,THCN_14"/>
      <sheetName val="DH,CD,THCN_24"/>
      <sheetName val="DH,CD,THCN_34"/>
      <sheetName val="GDKCQ_14"/>
      <sheetName val="GDKCQ_24"/>
      <sheetName val="_IBASE2_XLSѝTNHNoi5"/>
      <sheetName val="_IBASE2_XLS䁝BC6tT174"/>
      <sheetName val="_IBASE2_XLS}BHXH4"/>
      <sheetName val="_IBASE2_XLS_Tong_hop_Matduong4"/>
      <sheetName val="BTHDT_TBA_4"/>
      <sheetName val="DS_tong4"/>
      <sheetName val="CDSM_(2)4"/>
      <sheetName val="Cost_Center_4"/>
      <sheetName val="Part_data4"/>
      <sheetName val="Vender_Data4"/>
      <sheetName val="lapdap_TB_4"/>
      <sheetName val="Tonf_hop4"/>
      <sheetName val="Ｍss_４Ｒ要員4"/>
      <sheetName val="Du_lieu5"/>
      <sheetName val="IMP_TAX4"/>
      <sheetName val="Dinh_muc_chuan4"/>
      <sheetName val="TH_du_toanð4"/>
      <sheetName val="TH_du_toan 4"/>
      <sheetName val="DS_Protecter4"/>
      <sheetName val="Klukng_phu4"/>
      <sheetName val="CVden_ngoai_TCT_(1)9"/>
      <sheetName val="CV_den_ngoai_TCT_(2)9"/>
      <sheetName val="CV_den_ngoai_TCT_(3)9"/>
      <sheetName val="QDcua_TGD9"/>
      <sheetName val="QD_cua_HDQT9"/>
      <sheetName val="QD_cua_HDQT_(2)9"/>
      <sheetName val="CV_di_ngoai_tong9"/>
      <sheetName val="CV_di_ngoai_tong_(2)9"/>
      <sheetName val="To_trinh9"/>
      <sheetName val="Giao_nhiem_vu9"/>
      <sheetName val="QDcua_TGD_(2)9"/>
      <sheetName val="Thong_tu9"/>
      <sheetName val="CV_di_trong__tong9"/>
      <sheetName val="nghi_dinh-CP9"/>
      <sheetName val="CV_den_trong_tong9"/>
      <sheetName val="GIA_NUOC9"/>
      <sheetName val="GIA_DIEN_THOAI9"/>
      <sheetName val="GIA_DIEN9"/>
      <sheetName val="chiet_tinh_XD9"/>
      <sheetName val="Triet_T9"/>
      <sheetName val="Phan_tich_gia9"/>
      <sheetName val="pHAN_CONG9"/>
      <sheetName val="GIA_XD9"/>
      <sheetName val="lapdat_TB_9"/>
      <sheetName val="TNghiªm_TB_9"/>
      <sheetName val="VËt_liÖu9"/>
      <sheetName val="Lap_®at_®iÖn9"/>
      <sheetName val="TNghiÖm_VL9"/>
      <sheetName val="th_9"/>
      <sheetName val="tien_luong9"/>
      <sheetName val="KHVt_9"/>
      <sheetName val="KHVt_XL9"/>
      <sheetName val="KHVt_XLT49"/>
      <sheetName val="Thep_be9"/>
      <sheetName val="Thep_than9"/>
      <sheetName val="Thep_xa_mu9"/>
      <sheetName val="142201-T1_9"/>
      <sheetName val="142201-T2-th_9"/>
      <sheetName val="142201-T3-th_9"/>
      <sheetName val="142201-T4-th__9"/>
      <sheetName val="_t59"/>
      <sheetName val="t_49"/>
      <sheetName val="_t3_9"/>
      <sheetName val="_TH3319"/>
      <sheetName val="_Minh_ha9"/>
      <sheetName val="_Ha_Tay9"/>
      <sheetName val="_Vinhphuc9"/>
      <sheetName val="_Nbinh9"/>
      <sheetName val="_QVinh9"/>
      <sheetName val="_TW19"/>
      <sheetName val="T_so_thay_doi9"/>
      <sheetName val="b_THchitietDZCT9"/>
      <sheetName val="b_THchitietTBA9"/>
      <sheetName val="Khao_sat9"/>
      <sheetName val="TT_khao_sat9"/>
      <sheetName val="Kluong_phu9"/>
      <sheetName val="Lan_can9"/>
      <sheetName val="Ho_lan9"/>
      <sheetName val="Coc_tieu9"/>
      <sheetName val="Bien_bao9"/>
      <sheetName val="Op_mai_2749"/>
      <sheetName val="Op_mai_2759"/>
      <sheetName val="Op_mai_2769"/>
      <sheetName val="Op_mai_2779"/>
      <sheetName val="Op_mai_2789"/>
      <sheetName val="Op_mai_2799"/>
      <sheetName val="Op_mai_2809"/>
      <sheetName val="Op_mai_2819"/>
      <sheetName val="Op_mai_2829"/>
      <sheetName val="Op_mai_2839"/>
      <sheetName val="Op_mai_2849"/>
      <sheetName val="Op_mai9"/>
      <sheetName val="Km274_-_Km2759"/>
      <sheetName val="Km275_-_Km2769"/>
      <sheetName val="Km276_-_Km2779"/>
      <sheetName val="Km277_-_Km278_9"/>
      <sheetName val="Km278_-_Km2799"/>
      <sheetName val="Km279_-_Km2809"/>
      <sheetName val="Km280_-_Km2819"/>
      <sheetName val="Km281_-_Km2829"/>
      <sheetName val="Km282_-_Km2839"/>
      <sheetName val="Km283_-_Km2849"/>
      <sheetName val="Km284_-_Km2859"/>
      <sheetName val="Tong_hop_Matduong9"/>
      <sheetName val="Cong_D759"/>
      <sheetName val="Cong_D1009"/>
      <sheetName val="Cong_D1509"/>
      <sheetName val="Cong_2D1509"/>
      <sheetName val="Cong_ban_0,7x0,79"/>
      <sheetName val="Cong_ban_0,8x0,89"/>
      <sheetName val="Cong_ban_1x19"/>
      <sheetName val="Cong_ban_1x1,29"/>
      <sheetName val="Cong_ban_1,5x1,59"/>
      <sheetName val="Cong_ban_2x1,59"/>
      <sheetName val="Cong_ban_2x29"/>
      <sheetName val="Tong_hop9"/>
      <sheetName val="Tong_hop_(2)9"/>
      <sheetName val="Cong_cu9"/>
      <sheetName val="Cot_thep9"/>
      <sheetName val="Cong_tron_D759"/>
      <sheetName val="Cong_tron_D1009"/>
      <sheetName val="Cong_tron_D1509"/>
      <sheetName val="Cong_tron_2D1509"/>
      <sheetName val="Cong_ban_1,0x1,09"/>
      <sheetName val="Cong_ban_1,0x1,29"/>
      <sheetName val="Cong_hop_1,5x1,59"/>
      <sheetName val="Cong_hop_2,0x1,59"/>
      <sheetName val="Cong_hop_2,0x2,09"/>
      <sheetName val="CDSL_(2)9"/>
      <sheetName val="TK_1129"/>
      <sheetName val="TK_1319"/>
      <sheetName val="TK_1419"/>
      <sheetName val="TK_1539"/>
      <sheetName val="TK_2119"/>
      <sheetName val="TK_2429"/>
      <sheetName val="TK_3349"/>
      <sheetName val="TK_5119"/>
      <sheetName val="TK_5159"/>
      <sheetName val="TK_9119"/>
      <sheetName val="VtuHaTheSauTBABenThuy1_(2)9"/>
      <sheetName val="Song_trai9"/>
      <sheetName val="Dinh+ha_nha9"/>
      <sheetName val="NG_k9"/>
      <sheetName val="Trich_Ngang9"/>
      <sheetName val="Danh_sach_Rieng9"/>
      <sheetName val="Dia_Diem_Thuc_Tap9"/>
      <sheetName val="De_Tai_Thuc_Tap9"/>
      <sheetName val="thkl_(2)9"/>
      <sheetName val="long_tec9"/>
      <sheetName val="KQKD02-2_(2)9"/>
      <sheetName val="KQKD-2_(2)9"/>
      <sheetName val="KQKD_thu20049"/>
      <sheetName val="T_K_H_T_T59"/>
      <sheetName val="T_K_T79"/>
      <sheetName val="TK_T69"/>
      <sheetName val="T_K_T59"/>
      <sheetName val="Bang_thong_ke_hang_ton9"/>
      <sheetName val="thong_ke_9"/>
      <sheetName val="T_KT049"/>
      <sheetName val="Coc_69"/>
      <sheetName val="Deo_nai9"/>
      <sheetName val="CKD_than9"/>
      <sheetName val="CTT_Thong_nhat9"/>
      <sheetName val="CTT_Nui_beo9"/>
      <sheetName val="CTT_cao_son9"/>
      <sheetName val="CTT_Khe_cham9"/>
      <sheetName val="XNxlva_sxthanKCII9"/>
      <sheetName val="Cam_Y_ut_KC9"/>
      <sheetName val="CTxay_lap_mo_CP9"/>
      <sheetName val="CTdo_luong_GDSP9"/>
      <sheetName val="Dong_bac9"/>
      <sheetName val="Cac_cang_UT_mua_than_Dong_bac9"/>
      <sheetName val="cua_hang_vtu9"/>
      <sheetName val="Khach_hang_le_9"/>
      <sheetName val="nhat_ky_59"/>
      <sheetName val="cac_cong_ty_van_tai9"/>
      <sheetName val="K249_K989"/>
      <sheetName val="K249_K98_(2)9"/>
      <sheetName val="K251_K989"/>
      <sheetName val="K251_SBase9"/>
      <sheetName val="K251_AC9"/>
      <sheetName val="K252_K989"/>
      <sheetName val="K252_SBase9"/>
      <sheetName val="K252_AC9"/>
      <sheetName val="K253_K989"/>
      <sheetName val="K253_Subbase9"/>
      <sheetName val="K253_Base_9"/>
      <sheetName val="K253_SBase9"/>
      <sheetName val="K253_AC9"/>
      <sheetName val="K255_SBase9"/>
      <sheetName val="K259_K989"/>
      <sheetName val="K259_Subbase9"/>
      <sheetName val="K259_Base_9"/>
      <sheetName val="K259_AC9"/>
      <sheetName val="K260_K989"/>
      <sheetName val="K260_Subbase9"/>
      <sheetName val="K260_Base9"/>
      <sheetName val="K260_AC9"/>
      <sheetName val="K261_K989"/>
      <sheetName val="K261_Base9"/>
      <sheetName val="K261_AC9"/>
      <sheetName val="F_ThanhTri9"/>
      <sheetName val="F_Gialam9"/>
      <sheetName val="TH_dam9"/>
      <sheetName val="SX_dam9"/>
      <sheetName val="LD_dam9"/>
      <sheetName val="Bang_gia_VL9"/>
      <sheetName val="Gia_NC9"/>
      <sheetName val="Gia_may9"/>
      <sheetName val="phan_tich_DG9"/>
      <sheetName val="gia_vat_lieu9"/>
      <sheetName val="gia_xe_may9"/>
      <sheetName val="gia_nhan_cong9"/>
      <sheetName val="SCT_Cong_trinh9"/>
      <sheetName val="06-2003_(2)9"/>
      <sheetName val="CDPS_6tc9"/>
      <sheetName val="SCT_Nha_thau9"/>
      <sheetName val="socai2003_(6tc)dp9"/>
      <sheetName val="socai2003_(6tc)9"/>
      <sheetName val="CDPS_6tc_(2)9"/>
      <sheetName val="Dancau-Q_Ninh9"/>
      <sheetName val="BaTrieu-L_son9"/>
      <sheetName val="Don_gia_CPM9"/>
      <sheetName val="Tong_Thieu_HD_cac_CT-20019"/>
      <sheetName val="VL_thieu_HD_-_20019"/>
      <sheetName val="Tong_thieu_HD_cac_CT_-_20029"/>
      <sheetName val="Lan_trai9"/>
      <sheetName val="Van_chuyen9"/>
      <sheetName val="HDong_VC9"/>
      <sheetName val="ThieuHD_nam_20019"/>
      <sheetName val="Bang_TH9"/>
      <sheetName val="Tong_Chinh9"/>
      <sheetName val="Xaylap_9"/>
      <sheetName val="Nhan_cong9"/>
      <sheetName val="giai_thich9"/>
      <sheetName val="DT_-_Ro9"/>
      <sheetName val="TH_-_Ro_9"/>
      <sheetName val="GDT_-_Ro9"/>
      <sheetName val="DT_-_TB9"/>
      <sheetName val="TH_-_TB9"/>
      <sheetName val="GDT_-_TB9"/>
      <sheetName val="DT_-_NT9"/>
      <sheetName val="TH_-_NT9"/>
      <sheetName val="GDT_-_NT9"/>
      <sheetName val="CV_di_trong__dong9"/>
      <sheetName val="Nhap_lieu9"/>
      <sheetName val="Tien_dien8"/>
      <sheetName val="Thue_GTGT8"/>
      <sheetName val="BC_TH_CK_(2)9"/>
      <sheetName val="BC_TH_CK9"/>
      <sheetName val="BC6tT19_food9"/>
      <sheetName val="BC6tT18_-_Food9"/>
      <sheetName val="BCCK_49"/>
      <sheetName val="BCFood-_T169"/>
      <sheetName val="BCFood-_T159"/>
      <sheetName val="BCFood-_T149"/>
      <sheetName val="BCFood-_T139"/>
      <sheetName val="TH_CK29"/>
      <sheetName val="BC6tT52_(3)9"/>
      <sheetName val="BC6tT52_(2)9"/>
      <sheetName val="TCK_129"/>
      <sheetName val="Tong_CK9"/>
      <sheetName val="DOANH_SO9"/>
      <sheetName val="BD-SINH_VIEN9"/>
      <sheetName val="T03_-_039"/>
      <sheetName val="THL_T039"/>
      <sheetName val="TTBC_T039"/>
      <sheetName val="Luong_noi_Bo_-_T39"/>
      <sheetName val="Tong_hop_-_T39"/>
      <sheetName val="Thuong_Quy_39"/>
      <sheetName val="Phu_cap_trach_nhiem9"/>
      <sheetName val="Tay_ninh9"/>
      <sheetName val="A_Duc9"/>
      <sheetName val="[IBASE2_XLSѝTNHNoi9"/>
      <sheetName val="So_sanh9"/>
      <sheetName val="HHVt_9"/>
      <sheetName val="bcth_05-048"/>
      <sheetName val="baocao_05-048"/>
      <sheetName val="ql_(2)8"/>
      <sheetName val="TH_du_toan_9"/>
      <sheetName val="Du_toan_9"/>
      <sheetName val="C_Tinh9"/>
      <sheetName val="Co~g_hop_1,5x1,59"/>
      <sheetName val="_KQTH_quy_hoach_1358"/>
      <sheetName val="Bao_cao_KQTH_quy_hoach_1358"/>
      <sheetName val="Co_quan_TCT9"/>
      <sheetName val="BOT_(PA_chon)9"/>
      <sheetName val="Yaly_&amp;_Ri_Ninh9"/>
      <sheetName val="Thuy_dien_Na_Loi9"/>
      <sheetName val="bang_so_sanh_tong_hop9"/>
      <sheetName val="bang_so_sanh_tong_hop_(ty_le)9"/>
      <sheetName val="thu_nhap_binh_quan_(2)9"/>
      <sheetName val="dang_huong9"/>
      <sheetName val="phuong_an_19"/>
      <sheetName val="phuong_an_1_(2)9"/>
      <sheetName val="phuong_an29"/>
      <sheetName val="tong_hop_BQ9"/>
      <sheetName val="tong_hop_BQ-19"/>
      <sheetName val="phuong_an_chon9"/>
      <sheetName val="tô_rôiDY8"/>
      <sheetName val="Heso_3-2004_(3)8"/>
      <sheetName val="Luong_(2)8"/>
      <sheetName val="heso_T38"/>
      <sheetName val="heso_T48"/>
      <sheetName val="heso_T58"/>
      <sheetName val="Heso_T68"/>
      <sheetName val="Heso_T78"/>
      <sheetName val="Heso_T88"/>
      <sheetName val="Heso_T98"/>
      <sheetName val="Heso_2-20048"/>
      <sheetName val="Heso_3-20048"/>
      <sheetName val="Heso_3-2004_(2)8"/>
      <sheetName val="nhan_su8"/>
      <sheetName val="luong_cty8"/>
      <sheetName val="Thang_48"/>
      <sheetName val="Luu_goc8"/>
      <sheetName val="km22+93_86-km22+121_868"/>
      <sheetName val="km22+177_14-km22+205_648"/>
      <sheetName val="Bang_20-258"/>
      <sheetName val="km22+267_96-km22+283_968"/>
      <sheetName val="km22+304_31-km22+344_318"/>
      <sheetName val="km22+460_92-km22+614_578"/>
      <sheetName val="km22+671_78-km22+713_328"/>
      <sheetName val="_tuanM8"/>
      <sheetName val="CT_038"/>
      <sheetName val="TH_038"/>
      <sheetName val="bang_so_sanh_tong_hop_(_PA_cho8"/>
      <sheetName val="dang_ap_dung8"/>
      <sheetName val="bang_tong_hop_(dang_huong)8"/>
      <sheetName val="Dinh_ha_nha8"/>
      <sheetName val="[IBASE2_XLS}BHXH8"/>
      <sheetName val="[IBASE2_XLS䁝BC6tT178"/>
      <sheetName val="THT_nam_048"/>
      <sheetName val="HD_CTrinh18"/>
      <sheetName val="HD_benA8"/>
      <sheetName val="Theodoi_HD8"/>
      <sheetName val="Theodoi_HD_(2)8"/>
      <sheetName val="_GT_CPhi_tung_dot8"/>
      <sheetName val="chuong_phu8"/>
      <sheetName val="[IBASE2_XLS_Tong_hop_Matduong8"/>
      <sheetName val="THU_T128"/>
      <sheetName val="CHI_T128"/>
      <sheetName val="THU_T118"/>
      <sheetName val="CHI_T118"/>
      <sheetName val="THU_T108"/>
      <sheetName val="CHI_T108"/>
      <sheetName val="THU_T98"/>
      <sheetName val="CHI_T98"/>
      <sheetName val="THU_T88"/>
      <sheetName val="CHI_T88"/>
      <sheetName val="chi_phi_cap_tien8"/>
      <sheetName val="BC§_20018"/>
      <sheetName val="BBC§_20028"/>
      <sheetName val="TSC§_20018"/>
      <sheetName val="TSc®_20028"/>
      <sheetName val="BaTrieu-L_con8"/>
      <sheetName val="EDT_-_Ro8"/>
      <sheetName val="KHVô_XL8"/>
      <sheetName val="TD_khao_sat8"/>
      <sheetName val="THANG7_8"/>
      <sheetName val="THANG_118"/>
      <sheetName val="THANG_128"/>
      <sheetName val="phuong_aL_18"/>
      <sheetName val="Khac_DP8"/>
      <sheetName val="Khoi_than_8"/>
      <sheetName val="TK__TK8"/>
      <sheetName val="Bang_can_doi_8"/>
      <sheetName val="De_Tai_Vhuc_Tap8"/>
      <sheetName val="02_18"/>
      <sheetName val="2_18"/>
      <sheetName val="2_38"/>
      <sheetName val="02_38"/>
      <sheetName val="B_018"/>
      <sheetName val="B_038"/>
      <sheetName val="D_138"/>
      <sheetName val="[IBASE2_XLS?TNHNoi8"/>
      <sheetName val="Tinh_hinh_cat_lang8"/>
      <sheetName val="Tinh_hinh_SX_phu8"/>
      <sheetName val="Tinh_hinh_do_xop8"/>
      <sheetName val="Cong_hop_2,0ࡸ2,07"/>
      <sheetName val="Sat_tron7"/>
      <sheetName val="(9_30)_IP7"/>
      <sheetName val="Cong_tron_D7'7"/>
      <sheetName val="2_747"/>
      <sheetName val="CN-QV_FG7"/>
      <sheetName val="CN-QV_RM7"/>
      <sheetName val="PHAV_R_M7"/>
      <sheetName val="PHAV_F_G7"/>
      <sheetName val="TOA_R_M7"/>
      <sheetName val="TOA_F_G7"/>
      <sheetName val="CVN_R_M7"/>
      <sheetName val="CVN_F_G7"/>
      <sheetName val="DENSO_R_M7"/>
      <sheetName val="DENSO_F_G7"/>
      <sheetName val="SATO_RM7"/>
      <sheetName val="SATO_F_G7"/>
      <sheetName val="Up_to_20025"/>
      <sheetName val="det_VP6"/>
      <sheetName val="det_hn6"/>
      <sheetName val="chi_Hieu6"/>
      <sheetName val="c_thoa6"/>
      <sheetName val="A_thanh_-_DL6"/>
      <sheetName val="A_Tuyen6"/>
      <sheetName val="A_Tien_-laphu6"/>
      <sheetName val="A_Thang-_laphu6"/>
      <sheetName val="A_Dong6"/>
      <sheetName val="27-7_NB6"/>
      <sheetName val="xn_56"/>
      <sheetName val="PKD_X206"/>
      <sheetName val="da_giay_SG6"/>
      <sheetName val="dagiay_XK6"/>
      <sheetName val="DK_Dong_xuan6"/>
      <sheetName val="chu_Ton6"/>
      <sheetName val="minh_tri6"/>
      <sheetName val="viet_huy6"/>
      <sheetName val="thanh_ha6"/>
      <sheetName val="O_Su6"/>
      <sheetName val="A_Ha-DL6"/>
      <sheetName val="Vinh_oanh6"/>
      <sheetName val="chi_Thuy6"/>
      <sheetName val="chu_Hong6"/>
      <sheetName val="thuy-_may6"/>
      <sheetName val="vu_yen6"/>
      <sheetName val="OPERATING_HEAD6"/>
      <sheetName val="31_12_016"/>
      <sheetName val="Tong_hop_xuat_kho_nvl6"/>
      <sheetName val="Xuat_kho6"/>
      <sheetName val="Tong_hop_so_lieu_tai_nhap_kho6"/>
      <sheetName val="tai_nhap_kho6"/>
      <sheetName val="Nhap_kho6"/>
      <sheetName val="Tong_ket_nhap_kho6"/>
      <sheetName val="Tong_ket6"/>
      <sheetName val="cac_ma_can_huy6"/>
      <sheetName val="Hang_hong6"/>
      <sheetName val="Tham_khao6"/>
      <sheetName val="hang_khong_co_packing6"/>
      <sheetName val="VtuHaTheSauTBABenThuy1_Ш2)6"/>
      <sheetName val="K252_K9и6"/>
      <sheetName val="nphuocb_46"/>
      <sheetName val="bcth_05-06"/>
      <sheetName val="ESTI_7"/>
      <sheetName val="THU_T76"/>
      <sheetName val="CHI_T76"/>
      <sheetName val="THU_T66"/>
      <sheetName val="CHI_T66"/>
      <sheetName val="THU_T56"/>
      <sheetName val="CHI_T56"/>
      <sheetName val="THU_T46"/>
      <sheetName val="CHI_T46"/>
      <sheetName val="THU_T36"/>
      <sheetName val="CHI_T36"/>
      <sheetName val="THU_T26"/>
      <sheetName val="CHI_T26"/>
      <sheetName val="THU_T18"/>
      <sheetName val="CHI_T18"/>
      <sheetName val="TB_Grouping6"/>
      <sheetName val="Balance_Sheet6"/>
      <sheetName val="CHITIET_VL-NC6"/>
      <sheetName val="DON_GIA6"/>
      <sheetName val="So_lieu6"/>
      <sheetName val="tt_chu_dong6"/>
      <sheetName val="Tinh_j+cvi6"/>
      <sheetName val="Tinh_MoP6"/>
      <sheetName val="giai_he_26"/>
      <sheetName val="ct_luong_6"/>
      <sheetName val="Nhap_6T6"/>
      <sheetName val="Ranking_data6"/>
      <sheetName val="GDMN_16"/>
      <sheetName val="May_khau6"/>
      <sheetName val="PXKT6Via_116"/>
      <sheetName val="PXKTLo_Thien_V_14A6"/>
      <sheetName val="V14_phu6"/>
      <sheetName val="Via_16_Lthien6"/>
      <sheetName val="mc_2006_&amp;_095"/>
      <sheetName val="mc_2006_&amp;_57_&amp;_095"/>
      <sheetName val="dongia_(2)5"/>
      <sheetName val="THPDMoi__(2)5"/>
      <sheetName val="t-h_HA_THE5"/>
      <sheetName val="CHITIET_VL-NC-TT_-1p5"/>
      <sheetName val="TONG_HOP_VL-NC_TT5"/>
      <sheetName val="TH_XL5"/>
      <sheetName val="TONGKE3p_5"/>
      <sheetName val="CHITIET_VL-NC-TT-3p5"/>
      <sheetName val="KPVC-BD_5"/>
      <sheetName val="Master_schedule5"/>
      <sheetName val="GDMN_25"/>
      <sheetName val="GDMN_35"/>
      <sheetName val="GDMN_45"/>
      <sheetName val="GDMN_55"/>
      <sheetName val="GDTH_15"/>
      <sheetName val="GDTH_25"/>
      <sheetName val="GDTH_35"/>
      <sheetName val="GDTH_45"/>
      <sheetName val="GDTH_55"/>
      <sheetName val="THCS_15"/>
      <sheetName val="THCS_25"/>
      <sheetName val="THCS_35"/>
      <sheetName val="THCS_45"/>
      <sheetName val="THCS_55"/>
      <sheetName val="THCS_65"/>
      <sheetName val="THPT_15"/>
      <sheetName val="THPT_25"/>
      <sheetName val="THPT_35"/>
      <sheetName val="THPT_45"/>
      <sheetName val="THPT_55"/>
      <sheetName val="THPT_65"/>
      <sheetName val="DH,CD,THCN_15"/>
      <sheetName val="DH,CD,THCN_25"/>
      <sheetName val="DH,CD,THCN_35"/>
      <sheetName val="GDKCQ_15"/>
      <sheetName val="GDKCQ_25"/>
      <sheetName val="_IBASE2_XLSѝTNHNoi6"/>
      <sheetName val="_IBASE2_XLS䁝BC6tT175"/>
      <sheetName val="_IBASE2_XLS}BHXH5"/>
      <sheetName val="_IBASE2_XLS_Tong_hop_Matduong5"/>
      <sheetName val="BTHDT_TBA_5"/>
      <sheetName val="DS_tong5"/>
      <sheetName val="CDSM_(2)5"/>
      <sheetName val="Cost_Center_5"/>
      <sheetName val="Part_data5"/>
      <sheetName val="Vender_Data5"/>
      <sheetName val="lapdap_TB_5"/>
      <sheetName val="Tonf_hop5"/>
      <sheetName val="Ｍss_４Ｒ要員5"/>
      <sheetName val="Du_lieu6"/>
      <sheetName val="IMP_TAX5"/>
      <sheetName val="Dinh_muc_chuan5"/>
      <sheetName val="TH_du_toanð5"/>
      <sheetName val="TH_du_toan 5"/>
      <sheetName val="DS_Protecter5"/>
      <sheetName val="Klukng_phu5"/>
      <sheetName val="CVden_ngoai_TCT_(1)10"/>
      <sheetName val="CV_den_ngoai_TCT_(2)10"/>
      <sheetName val="CV_den_ngoai_TCT_(3)10"/>
      <sheetName val="QDcua_TGD10"/>
      <sheetName val="QD_cua_HDQT10"/>
      <sheetName val="QD_cua_HDQT_(2)10"/>
      <sheetName val="CV_di_ngoai_tong10"/>
      <sheetName val="CV_di_ngoai_tong_(2)10"/>
      <sheetName val="To_trinh10"/>
      <sheetName val="Giao_nhiem_vu10"/>
      <sheetName val="QDcua_TGD_(2)10"/>
      <sheetName val="Thong_tu10"/>
      <sheetName val="CV_di_trong__tong10"/>
      <sheetName val="nghi_dinh-CP10"/>
      <sheetName val="CV_den_trong_tong10"/>
      <sheetName val="GIA_NUOC10"/>
      <sheetName val="GIA_DIEN_THOAI10"/>
      <sheetName val="GIA_DIEN10"/>
      <sheetName val="chiet_tinh_XD10"/>
      <sheetName val="Triet_T10"/>
      <sheetName val="Phan_tich_gia10"/>
      <sheetName val="pHAN_CONG10"/>
      <sheetName val="GIA_XD10"/>
      <sheetName val="lapdat_TB_10"/>
      <sheetName val="TNghiªm_TB_10"/>
      <sheetName val="VËt_liÖu10"/>
      <sheetName val="Lap_®at_®iÖn10"/>
      <sheetName val="TNghiÖm_VL10"/>
      <sheetName val="th_10"/>
      <sheetName val="tien_luong10"/>
      <sheetName val="KHVt_10"/>
      <sheetName val="KHVt_XL10"/>
      <sheetName val="KHVt_XLT410"/>
      <sheetName val="Thep_be10"/>
      <sheetName val="Thep_than10"/>
      <sheetName val="Thep_xa_mu10"/>
      <sheetName val="142201-T1_10"/>
      <sheetName val="142201-T2-th_10"/>
      <sheetName val="142201-T3-th_10"/>
      <sheetName val="142201-T4-th__10"/>
      <sheetName val="_t510"/>
      <sheetName val="t_410"/>
      <sheetName val="_t3_10"/>
      <sheetName val="_TH33110"/>
      <sheetName val="_Minh_ha10"/>
      <sheetName val="_Ha_Tay10"/>
      <sheetName val="_Vinhphuc10"/>
      <sheetName val="_Nbinh10"/>
      <sheetName val="_QVinh10"/>
      <sheetName val="_TW110"/>
      <sheetName val="T_so_thay_doi10"/>
      <sheetName val="b_THchitietDZCT10"/>
      <sheetName val="b_THchitietTBA10"/>
      <sheetName val="Khao_sat10"/>
      <sheetName val="TT_khao_sat10"/>
      <sheetName val="Kluong_phu10"/>
      <sheetName val="Lan_can10"/>
      <sheetName val="Ho_lan10"/>
      <sheetName val="Coc_tieu10"/>
      <sheetName val="Bien_bao10"/>
      <sheetName val="Op_mai_27410"/>
      <sheetName val="Op_mai_27510"/>
      <sheetName val="Op_mai_27610"/>
      <sheetName val="Op_mai_27710"/>
      <sheetName val="Op_mai_27810"/>
      <sheetName val="Op_mai_27910"/>
      <sheetName val="Op_mai_28010"/>
      <sheetName val="Op_mai_28110"/>
      <sheetName val="Op_mai_28210"/>
      <sheetName val="Op_mai_28310"/>
      <sheetName val="Op_mai_28410"/>
      <sheetName val="Op_mai10"/>
      <sheetName val="Km274_-_Km27510"/>
      <sheetName val="Km275_-_Km27610"/>
      <sheetName val="Km276_-_Km27710"/>
      <sheetName val="Km277_-_Km278_10"/>
      <sheetName val="Km278_-_Km27910"/>
      <sheetName val="Km279_-_Km28010"/>
      <sheetName val="Km280_-_Km28110"/>
      <sheetName val="Km281_-_Km28210"/>
      <sheetName val="Km282_-_Km28310"/>
      <sheetName val="Km283_-_Km28410"/>
      <sheetName val="Km284_-_Km28510"/>
      <sheetName val="Tong_hop_Matduong10"/>
      <sheetName val="Cong_D7510"/>
      <sheetName val="Cong_D10010"/>
      <sheetName val="Cong_D15010"/>
      <sheetName val="Cong_2D15010"/>
      <sheetName val="Cong_ban_0,7x0,710"/>
      <sheetName val="Cong_ban_0,8x0,810"/>
      <sheetName val="Cong_ban_1x110"/>
      <sheetName val="Cong_ban_1x1,210"/>
      <sheetName val="Cong_ban_1,5x1,510"/>
      <sheetName val="Cong_ban_2x1,510"/>
      <sheetName val="Cong_ban_2x210"/>
      <sheetName val="Tong_hop10"/>
      <sheetName val="Tong_hop_(2)10"/>
      <sheetName val="Cong_cu10"/>
      <sheetName val="Cot_thep10"/>
      <sheetName val="Cong_tron_D7510"/>
      <sheetName val="Cong_tron_D10010"/>
      <sheetName val="Cong_tron_D15010"/>
      <sheetName val="Cong_tron_2D15010"/>
      <sheetName val="Cong_ban_1,0x1,010"/>
      <sheetName val="Cong_ban_1,0x1,210"/>
      <sheetName val="Cong_hop_1,5x1,510"/>
      <sheetName val="Cong_hop_2,0x1,510"/>
      <sheetName val="Cong_hop_2,0x2,010"/>
      <sheetName val="CDSL_(2)10"/>
      <sheetName val="TK_11210"/>
      <sheetName val="TK_13110"/>
      <sheetName val="TK_14110"/>
      <sheetName val="TK_15310"/>
      <sheetName val="TK_21110"/>
      <sheetName val="TK_24210"/>
      <sheetName val="TK_33410"/>
      <sheetName val="TK_51110"/>
      <sheetName val="TK_51510"/>
      <sheetName val="TK_91110"/>
      <sheetName val="VtuHaTheSauTBABenThuy1_(2)10"/>
      <sheetName val="Song_trai10"/>
      <sheetName val="Dinh+ha_nha10"/>
      <sheetName val="NG_k10"/>
      <sheetName val="Trich_Ngang10"/>
      <sheetName val="Danh_sach_Rieng10"/>
      <sheetName val="Dia_Diem_Thuc_Tap10"/>
      <sheetName val="De_Tai_Thuc_Tap10"/>
      <sheetName val="thkl_(2)10"/>
      <sheetName val="long_tec10"/>
      <sheetName val="KQKD02-2_(2)10"/>
      <sheetName val="KQKD-2_(2)10"/>
      <sheetName val="KQKD_thu200410"/>
      <sheetName val="T_K_H_T_T510"/>
      <sheetName val="T_K_T710"/>
      <sheetName val="TK_T610"/>
      <sheetName val="T_K_T510"/>
      <sheetName val="Bang_thong_ke_hang_ton10"/>
      <sheetName val="thong_ke_10"/>
      <sheetName val="T_KT0410"/>
      <sheetName val="Coc_610"/>
      <sheetName val="Deo_nai10"/>
      <sheetName val="CKD_than10"/>
      <sheetName val="CTT_Thong_nhat10"/>
      <sheetName val="CTT_Nui_beo10"/>
      <sheetName val="CTT_cao_son10"/>
      <sheetName val="CTT_Khe_cham10"/>
      <sheetName val="XNxlva_sxthanKCII10"/>
      <sheetName val="Cam_Y_ut_KC10"/>
      <sheetName val="CTxay_lap_mo_CP10"/>
      <sheetName val="CTdo_luong_GDSP10"/>
      <sheetName val="Dong_bac10"/>
      <sheetName val="Cac_cang_UT_mua_than_Dong_bac10"/>
      <sheetName val="cua_hang_vtu10"/>
      <sheetName val="Khach_hang_le_10"/>
      <sheetName val="nhat_ky_510"/>
      <sheetName val="cac_cong_ty_van_tai10"/>
      <sheetName val="K249_K9810"/>
      <sheetName val="K249_K98_(2)10"/>
      <sheetName val="K251_K9810"/>
      <sheetName val="K251_SBase10"/>
      <sheetName val="K251_AC10"/>
      <sheetName val="K252_K9810"/>
      <sheetName val="K252_SBase10"/>
      <sheetName val="K252_AC10"/>
      <sheetName val="K253_K9810"/>
      <sheetName val="K253_Subbase10"/>
      <sheetName val="K253_Base_10"/>
      <sheetName val="K253_SBase10"/>
      <sheetName val="K253_AC10"/>
      <sheetName val="K255_SBase10"/>
      <sheetName val="K259_K9810"/>
      <sheetName val="K259_Subbase10"/>
      <sheetName val="K259_Base_10"/>
      <sheetName val="K259_AC10"/>
      <sheetName val="K260_K9810"/>
      <sheetName val="K260_Subbase10"/>
      <sheetName val="K260_Base10"/>
      <sheetName val="K260_AC10"/>
      <sheetName val="K261_K9810"/>
      <sheetName val="K261_Base10"/>
      <sheetName val="K261_AC10"/>
      <sheetName val="F_ThanhTri10"/>
      <sheetName val="F_Gialam10"/>
      <sheetName val="TH_dam10"/>
      <sheetName val="SX_dam10"/>
      <sheetName val="LD_dam10"/>
      <sheetName val="Bang_gia_VL10"/>
      <sheetName val="Gia_NC10"/>
      <sheetName val="Gia_may10"/>
      <sheetName val="phan_tich_DG10"/>
      <sheetName val="gia_vat_lieu10"/>
      <sheetName val="gia_xe_may10"/>
      <sheetName val="gia_nhan_cong10"/>
      <sheetName val="SCT_Cong_trinh10"/>
      <sheetName val="06-2003_(2)10"/>
      <sheetName val="CDPS_6tc10"/>
      <sheetName val="SCT_Nha_thau10"/>
      <sheetName val="socai2003_(6tc)dp10"/>
      <sheetName val="socai2003_(6tc)10"/>
      <sheetName val="CDPS_6tc_(2)10"/>
      <sheetName val="Dancau-Q_Ninh10"/>
      <sheetName val="BaTrieu-L_son10"/>
      <sheetName val="Don_gia_CPM10"/>
      <sheetName val="Tong_Thieu_HD_cac_CT-200110"/>
      <sheetName val="VL_thieu_HD_-_200110"/>
      <sheetName val="Tong_thieu_HD_cac_CT_-_200210"/>
      <sheetName val="Lan_trai10"/>
      <sheetName val="Van_chuyen10"/>
      <sheetName val="HDong_VC10"/>
      <sheetName val="ThieuHD_nam_200110"/>
      <sheetName val="Bang_TH10"/>
      <sheetName val="Tong_Chinh10"/>
      <sheetName val="Xaylap_10"/>
      <sheetName val="Nhan_cong10"/>
      <sheetName val="giai_thich10"/>
      <sheetName val="DT_-_Ro10"/>
      <sheetName val="TH_-_Ro_10"/>
      <sheetName val="GDT_-_Ro10"/>
      <sheetName val="DT_-_TB10"/>
      <sheetName val="TH_-_TB10"/>
      <sheetName val="GDT_-_TB10"/>
      <sheetName val="DT_-_NT10"/>
      <sheetName val="TH_-_NT10"/>
      <sheetName val="GDT_-_NT10"/>
      <sheetName val="CV_di_trong__dong10"/>
      <sheetName val="Nhap_lieu10"/>
      <sheetName val="Tien_dien9"/>
      <sheetName val="Thue_GTGT9"/>
      <sheetName val="BC_TH_CK_(2)10"/>
      <sheetName val="BC_TH_CK10"/>
      <sheetName val="BC6tT19_food10"/>
      <sheetName val="BC6tT18_-_Food10"/>
      <sheetName val="BCCK_410"/>
      <sheetName val="BCFood-_T1610"/>
      <sheetName val="BCFood-_T1510"/>
      <sheetName val="BCFood-_T1410"/>
      <sheetName val="BCFood-_T1310"/>
      <sheetName val="TH_CK210"/>
      <sheetName val="BC6tT52_(3)10"/>
      <sheetName val="BC6tT52_(2)10"/>
      <sheetName val="TCK_1210"/>
      <sheetName val="Tong_CK10"/>
      <sheetName val="DOANH_SO10"/>
      <sheetName val="BD-SINH_VIEN10"/>
      <sheetName val="T03_-_0310"/>
      <sheetName val="THL_T0310"/>
      <sheetName val="TTBC_T0310"/>
      <sheetName val="Luong_noi_Bo_-_T310"/>
      <sheetName val="Tong_hop_-_T310"/>
      <sheetName val="Thuong_Quy_310"/>
      <sheetName val="Phu_cap_trach_nhiem10"/>
      <sheetName val="Tay_ninh10"/>
      <sheetName val="A_Duc10"/>
      <sheetName val="[IBASE2_XLSѝTNHNoi10"/>
      <sheetName val="So_sanh10"/>
      <sheetName val="HHVt_10"/>
      <sheetName val="bcth_05-049"/>
      <sheetName val="baocao_05-049"/>
      <sheetName val="ql_(2)9"/>
      <sheetName val="TH_du_toan_10"/>
      <sheetName val="Du_toan_10"/>
      <sheetName val="C_Tinh10"/>
      <sheetName val="Co~g_hop_1,5x1,510"/>
      <sheetName val="_KQTH_quy_hoach_1359"/>
      <sheetName val="Bao_cao_KQTH_quy_hoach_1359"/>
      <sheetName val="Co_quan_TCT10"/>
      <sheetName val="BOT_(PA_chon)10"/>
      <sheetName val="Yaly_&amp;_Ri_Ninh10"/>
      <sheetName val="Thuy_dien_Na_Loi10"/>
      <sheetName val="bang_so_sanh_tong_hop10"/>
      <sheetName val="bang_so_sanh_tong_hop_(ty_le)10"/>
      <sheetName val="thu_nhap_binh_quan_(2)10"/>
      <sheetName val="dang_huong10"/>
      <sheetName val="phuong_an_110"/>
      <sheetName val="phuong_an_1_(2)10"/>
      <sheetName val="phuong_an210"/>
      <sheetName val="tong_hop_BQ10"/>
      <sheetName val="tong_hop_BQ-110"/>
      <sheetName val="phuong_an_chon10"/>
      <sheetName val="tô_rôiDY9"/>
      <sheetName val="Heso_3-2004_(3)9"/>
      <sheetName val="Luong_(2)9"/>
      <sheetName val="heso_T39"/>
      <sheetName val="heso_T49"/>
      <sheetName val="heso_T59"/>
      <sheetName val="Heso_T69"/>
      <sheetName val="Heso_T79"/>
      <sheetName val="Heso_T89"/>
      <sheetName val="Heso_T99"/>
      <sheetName val="Heso_2-20049"/>
      <sheetName val="Heso_3-20049"/>
      <sheetName val="Heso_3-2004_(2)9"/>
      <sheetName val="nhan_su9"/>
      <sheetName val="luong_cty9"/>
      <sheetName val="Thang_49"/>
      <sheetName val="Luu_goc9"/>
      <sheetName val="km22+93_86-km22+121_869"/>
      <sheetName val="km22+177_14-km22+205_649"/>
      <sheetName val="Bang_20-259"/>
      <sheetName val="km22+267_96-km22+283_969"/>
      <sheetName val="km22+304_31-km22+344_319"/>
      <sheetName val="km22+460_92-km22+614_579"/>
      <sheetName val="km22+671_78-km22+713_329"/>
      <sheetName val="_tuanM9"/>
      <sheetName val="CT_039"/>
      <sheetName val="TH_039"/>
      <sheetName val="bang_so_sanh_tong_hop_(_PA_cho9"/>
      <sheetName val="dang_ap_dung9"/>
      <sheetName val="bang_tong_hop_(dang_huong)9"/>
      <sheetName val="Dinh_ha_nha9"/>
      <sheetName val="[IBASE2_XLS}BHXH9"/>
      <sheetName val="[IBASE2_XLS䁝BC6tT179"/>
      <sheetName val="THT_nam_049"/>
      <sheetName val="HD_CTrinh19"/>
      <sheetName val="HD_benA9"/>
      <sheetName val="Theodoi_HD9"/>
      <sheetName val="Theodoi_HD_(2)9"/>
      <sheetName val="_GT_CPhi_tung_dot9"/>
      <sheetName val="chuong_phu9"/>
      <sheetName val="[IBASE2_XLS_Tong_hop_Matduong9"/>
      <sheetName val="THU_T129"/>
      <sheetName val="CHI_T129"/>
      <sheetName val="THU_T119"/>
      <sheetName val="CHI_T119"/>
      <sheetName val="THU_T109"/>
      <sheetName val="CHI_T109"/>
      <sheetName val="THU_T99"/>
      <sheetName val="CHI_T99"/>
      <sheetName val="THU_T89"/>
      <sheetName val="CHI_T89"/>
      <sheetName val="chi_phi_cap_tien9"/>
      <sheetName val="BC§_20019"/>
      <sheetName val="BBC§_20029"/>
      <sheetName val="TSC§_20019"/>
      <sheetName val="TSc®_20029"/>
      <sheetName val="BaTrieu-L_con9"/>
      <sheetName val="EDT_-_Ro9"/>
      <sheetName val="KHVô_XL9"/>
      <sheetName val="TD_khao_sat9"/>
      <sheetName val="THANG7_9"/>
      <sheetName val="THANG_119"/>
      <sheetName val="THANG_129"/>
      <sheetName val="phuong_aL_19"/>
      <sheetName val="Khac_DP9"/>
      <sheetName val="Khoi_than_9"/>
      <sheetName val="TK__TK9"/>
      <sheetName val="Bang_can_doi_9"/>
      <sheetName val="De_Tai_Vhuc_Tap9"/>
      <sheetName val="02_19"/>
      <sheetName val="2_19"/>
      <sheetName val="2_39"/>
      <sheetName val="02_39"/>
      <sheetName val="B_019"/>
      <sheetName val="B_039"/>
      <sheetName val="D_139"/>
      <sheetName val="[IBASE2_XLS?TNHNoi9"/>
      <sheetName val="Tinh_hinh_cat_lang9"/>
      <sheetName val="Tinh_hinh_SX_phu9"/>
      <sheetName val="Tinh_hinh_do_xop9"/>
      <sheetName val="Cong_hop_2,0ࡸ2,08"/>
      <sheetName val="Sat_tron8"/>
      <sheetName val="(9_30)_IP8"/>
      <sheetName val="Cong_tron_D7'8"/>
      <sheetName val="2_748"/>
      <sheetName val="CN-QV_FG8"/>
      <sheetName val="CN-QV_RM8"/>
      <sheetName val="PHAV_R_M8"/>
      <sheetName val="PHAV_F_G8"/>
      <sheetName val="TOA_R_M8"/>
      <sheetName val="TOA_F_G8"/>
      <sheetName val="CVN_R_M8"/>
      <sheetName val="CVN_F_G8"/>
      <sheetName val="DENSO_R_M8"/>
      <sheetName val="DENSO_F_G8"/>
      <sheetName val="SATO_RM8"/>
      <sheetName val="SATO_F_G8"/>
      <sheetName val="Up_to_20026"/>
      <sheetName val="det_VP7"/>
      <sheetName val="det_hn7"/>
      <sheetName val="chi_Hieu7"/>
      <sheetName val="c_thoa7"/>
      <sheetName val="A_thanh_-_DL7"/>
      <sheetName val="A_Tuyen7"/>
      <sheetName val="A_Tien_-laphu7"/>
      <sheetName val="A_Thang-_laphu7"/>
      <sheetName val="A_Dong7"/>
      <sheetName val="27-7_NB7"/>
      <sheetName val="xn_57"/>
      <sheetName val="PKD_X207"/>
      <sheetName val="da_giay_SG7"/>
      <sheetName val="dagiay_XK7"/>
      <sheetName val="DK_Dong_xuan7"/>
      <sheetName val="chu_Ton7"/>
      <sheetName val="minh_tri7"/>
      <sheetName val="viet_huy7"/>
      <sheetName val="thanh_ha7"/>
      <sheetName val="O_Su7"/>
      <sheetName val="A_Ha-DL7"/>
      <sheetName val="Vinh_oanh7"/>
      <sheetName val="chi_Thuy7"/>
      <sheetName val="chu_Hong7"/>
      <sheetName val="thuy-_may7"/>
      <sheetName val="vu_yen7"/>
      <sheetName val="OPERATING_HEAD7"/>
      <sheetName val="31_12_017"/>
      <sheetName val="Tong_hop_xuat_kho_nvl7"/>
      <sheetName val="Xuat_kho7"/>
      <sheetName val="Tong_hop_so_lieu_tai_nhap_kho7"/>
      <sheetName val="tai_nhap_kho7"/>
      <sheetName val="Nhap_kho7"/>
      <sheetName val="Tong_ket_nhap_kho7"/>
      <sheetName val="Tong_ket7"/>
      <sheetName val="cac_ma_can_huy7"/>
      <sheetName val="Hang_hong7"/>
      <sheetName val="Tham_khao7"/>
      <sheetName val="hang_khong_co_packing7"/>
      <sheetName val="VtuHaTheSauTBABenThuy1_Ш2)7"/>
      <sheetName val="K252_K9и7"/>
      <sheetName val="nphuocb_47"/>
      <sheetName val="bcth_05-07"/>
      <sheetName val="ESTI_8"/>
      <sheetName val="THU_T77"/>
      <sheetName val="CHI_T77"/>
      <sheetName val="THU_T67"/>
      <sheetName val="CHI_T67"/>
      <sheetName val="THU_T57"/>
      <sheetName val="CHI_T57"/>
      <sheetName val="THU_T47"/>
      <sheetName val="CHI_T47"/>
      <sheetName val="THU_T37"/>
      <sheetName val="CHI_T37"/>
      <sheetName val="THU_T27"/>
      <sheetName val="CHI_T27"/>
      <sheetName val="THU_T19"/>
      <sheetName val="CHI_T19"/>
      <sheetName val="TB_Grouping7"/>
      <sheetName val="Balance_Sheet7"/>
      <sheetName val="CHITIET_VL-NC7"/>
      <sheetName val="DON_GIA7"/>
      <sheetName val="So_lieu7"/>
      <sheetName val="tt_chu_dong7"/>
      <sheetName val="Tinh_j+cvi7"/>
      <sheetName val="Tinh_MoP7"/>
      <sheetName val="giai_he_27"/>
      <sheetName val="ct_luong_7"/>
      <sheetName val="Nhap_6T7"/>
      <sheetName val="Ranking_data7"/>
      <sheetName val="GDMN_17"/>
      <sheetName val="May_khau7"/>
      <sheetName val="PXKT6Via_117"/>
      <sheetName val="PXKTLo_Thien_V_14A7"/>
      <sheetName val="V14_phu7"/>
      <sheetName val="Via_16_Lthien7"/>
      <sheetName val="mc_2006_&amp;_096"/>
      <sheetName val="mc_2006_&amp;_57_&amp;_096"/>
      <sheetName val="dongia_(2)6"/>
      <sheetName val="THPDMoi__(2)6"/>
      <sheetName val="t-h_HA_THE6"/>
      <sheetName val="CHITIET_VL-NC-TT_-1p6"/>
      <sheetName val="TONG_HOP_VL-NC_TT6"/>
      <sheetName val="TH_XL6"/>
      <sheetName val="TONGKE3p_6"/>
      <sheetName val="CHITIET_VL-NC-TT-3p6"/>
      <sheetName val="KPVC-BD_6"/>
      <sheetName val="Master_schedule6"/>
      <sheetName val="GDMN_26"/>
      <sheetName val="GDMN_36"/>
      <sheetName val="GDMN_46"/>
      <sheetName val="GDMN_56"/>
      <sheetName val="GDTH_16"/>
      <sheetName val="GDTH_26"/>
      <sheetName val="GDTH_36"/>
      <sheetName val="GDTH_46"/>
      <sheetName val="GDTH_56"/>
      <sheetName val="THCS_16"/>
      <sheetName val="THCS_26"/>
      <sheetName val="THCS_36"/>
      <sheetName val="THCS_46"/>
      <sheetName val="THCS_56"/>
      <sheetName val="THCS_66"/>
      <sheetName val="THPT_16"/>
      <sheetName val="THPT_26"/>
      <sheetName val="THPT_36"/>
      <sheetName val="THPT_46"/>
      <sheetName val="THPT_56"/>
      <sheetName val="THPT_66"/>
      <sheetName val="DH,CD,THCN_16"/>
      <sheetName val="DH,CD,THCN_26"/>
      <sheetName val="DH,CD,THCN_36"/>
      <sheetName val="GDKCQ_16"/>
      <sheetName val="GDKCQ_26"/>
      <sheetName val="_IBASE2_XLSѝTNHNoi7"/>
      <sheetName val="_IBASE2_XLS䁝BC6tT176"/>
      <sheetName val="_IBASE2_XLS}BHXH6"/>
      <sheetName val="_IBASE2_XLS_Tong_hop_Matduong6"/>
      <sheetName val="BTHDT_TBA_6"/>
      <sheetName val="DS_tong6"/>
      <sheetName val="CDSM_(2)6"/>
      <sheetName val="Cost_Center_6"/>
      <sheetName val="Part_data6"/>
      <sheetName val="Vender_Data6"/>
      <sheetName val="lapdap_TB_6"/>
      <sheetName val="Tonf_hop6"/>
      <sheetName val="Ｍss_４Ｒ要員6"/>
      <sheetName val="Du_lieu7"/>
      <sheetName val="IMP_TAX6"/>
      <sheetName val="Dinh_muc_chuan6"/>
      <sheetName val="TH_du_toanð6"/>
      <sheetName val="TH_du_toan 6"/>
      <sheetName val="DS_Protecter6"/>
      <sheetName val="Klukng_phu6"/>
      <sheetName val="CVden_ngoai_TCT_(1)11"/>
      <sheetName val="CV_den_ngoai_TCT_(2)11"/>
      <sheetName val="CV_den_ngoai_TCT_(3)11"/>
      <sheetName val="QDcua_TGD11"/>
      <sheetName val="QD_cua_HDQT11"/>
      <sheetName val="QD_cua_HDQT_(2)11"/>
      <sheetName val="CV_di_ngoai_tong11"/>
      <sheetName val="CV_di_ngoai_tong_(2)11"/>
      <sheetName val="To_trinh11"/>
      <sheetName val="Giao_nhiem_vu11"/>
      <sheetName val="QDcua_TGD_(2)11"/>
      <sheetName val="Thong_tu11"/>
      <sheetName val="CV_di_trong__tong11"/>
      <sheetName val="nghi_dinh-CP11"/>
      <sheetName val="CV_den_trong_tong11"/>
      <sheetName val="GIA_NUOC11"/>
      <sheetName val="GIA_DIEN_THOAI11"/>
      <sheetName val="GIA_DIEN11"/>
      <sheetName val="chiet_tinh_XD11"/>
      <sheetName val="Triet_T11"/>
      <sheetName val="Phan_tich_gia11"/>
      <sheetName val="pHAN_CONG11"/>
      <sheetName val="GIA_XD11"/>
      <sheetName val="lapdat_TB_11"/>
      <sheetName val="TNghiªm_TB_11"/>
      <sheetName val="VËt_liÖu11"/>
      <sheetName val="Lap_®at_®iÖn11"/>
      <sheetName val="TNghiÖm_VL11"/>
      <sheetName val="th_11"/>
      <sheetName val="tien_luong11"/>
      <sheetName val="KHVt_11"/>
      <sheetName val="KHVt_XL11"/>
      <sheetName val="KHVt_XLT411"/>
      <sheetName val="Thep_be11"/>
      <sheetName val="Thep_than11"/>
      <sheetName val="Thep_xa_mu11"/>
      <sheetName val="142201-T1_11"/>
      <sheetName val="142201-T2-th_11"/>
      <sheetName val="142201-T3-th_11"/>
      <sheetName val="142201-T4-th__11"/>
      <sheetName val="_t511"/>
      <sheetName val="t_411"/>
      <sheetName val="_t3_11"/>
      <sheetName val="_TH33111"/>
      <sheetName val="_Minh_ha11"/>
      <sheetName val="_Ha_Tay11"/>
      <sheetName val="_Vinhphuc11"/>
      <sheetName val="_Nbinh11"/>
      <sheetName val="_QVinh11"/>
      <sheetName val="_TW111"/>
      <sheetName val="T_so_thay_doi11"/>
      <sheetName val="b_THchitietDZCT11"/>
      <sheetName val="b_THchitietTBA11"/>
      <sheetName val="Khao_sat11"/>
      <sheetName val="TT_khao_sat11"/>
      <sheetName val="Kluong_phu11"/>
      <sheetName val="Lan_can11"/>
      <sheetName val="Ho_lan11"/>
      <sheetName val="Coc_tieu11"/>
      <sheetName val="Bien_bao11"/>
      <sheetName val="Op_mai_27411"/>
      <sheetName val="Op_mai_27511"/>
      <sheetName val="Op_mai_27611"/>
      <sheetName val="Op_mai_27711"/>
      <sheetName val="Op_mai_27811"/>
      <sheetName val="Op_mai_27911"/>
      <sheetName val="Op_mai_28011"/>
      <sheetName val="Op_mai_28111"/>
      <sheetName val="Op_mai_28211"/>
      <sheetName val="Op_mai_28311"/>
      <sheetName val="Op_mai_28411"/>
      <sheetName val="Op_mai11"/>
      <sheetName val="Km274_-_Km27511"/>
      <sheetName val="Km275_-_Km27611"/>
      <sheetName val="Km276_-_Km27711"/>
      <sheetName val="Km277_-_Km278_11"/>
      <sheetName val="Km278_-_Km27911"/>
      <sheetName val="Km279_-_Km28011"/>
      <sheetName val="Km280_-_Km28111"/>
      <sheetName val="Km281_-_Km28211"/>
      <sheetName val="Km282_-_Km28311"/>
      <sheetName val="Km283_-_Km28411"/>
      <sheetName val="Km284_-_Km28511"/>
      <sheetName val="Tong_hop_Matduong11"/>
      <sheetName val="Cong_D7511"/>
      <sheetName val="Cong_D10011"/>
      <sheetName val="Cong_D15011"/>
      <sheetName val="Cong_2D15011"/>
      <sheetName val="Cong_ban_0,7x0,711"/>
      <sheetName val="Cong_ban_0,8x0,811"/>
      <sheetName val="Cong_ban_1x111"/>
      <sheetName val="Cong_ban_1x1,211"/>
      <sheetName val="Cong_ban_1,5x1,511"/>
      <sheetName val="Cong_ban_2x1,511"/>
      <sheetName val="Cong_ban_2x211"/>
      <sheetName val="Tong_hop11"/>
      <sheetName val="Tong_hop_(2)11"/>
      <sheetName val="Cong_cu11"/>
      <sheetName val="Cot_thep11"/>
      <sheetName val="Cong_tron_D7511"/>
      <sheetName val="Cong_tron_D10011"/>
      <sheetName val="Cong_tron_D15011"/>
      <sheetName val="Cong_tron_2D15011"/>
      <sheetName val="Cong_ban_1,0x1,011"/>
      <sheetName val="Cong_ban_1,0x1,211"/>
      <sheetName val="Cong_hop_1,5x1,511"/>
      <sheetName val="Cong_hop_2,0x1,511"/>
      <sheetName val="Cong_hop_2,0x2,011"/>
      <sheetName val="CDSL_(2)11"/>
      <sheetName val="TK_11211"/>
      <sheetName val="TK_13111"/>
      <sheetName val="TK_14111"/>
      <sheetName val="TK_15311"/>
      <sheetName val="TK_21111"/>
      <sheetName val="TK_24211"/>
      <sheetName val="TK_33411"/>
      <sheetName val="TK_51111"/>
      <sheetName val="TK_51511"/>
      <sheetName val="TK_91111"/>
      <sheetName val="VtuHaTheSauTBABenThuy1_(2)11"/>
      <sheetName val="Song_trai11"/>
      <sheetName val="Dinh+ha_nha11"/>
      <sheetName val="NG_k11"/>
      <sheetName val="Trich_Ngang11"/>
      <sheetName val="Danh_sach_Rieng11"/>
      <sheetName val="Dia_Diem_Thuc_Tap11"/>
      <sheetName val="De_Tai_Thuc_Tap11"/>
      <sheetName val="thkl_(2)11"/>
      <sheetName val="long_tec11"/>
      <sheetName val="KQKD02-2_(2)11"/>
      <sheetName val="KQKD-2_(2)11"/>
      <sheetName val="KQKD_thu200411"/>
      <sheetName val="T_K_H_T_T511"/>
      <sheetName val="T_K_T711"/>
      <sheetName val="TK_T611"/>
      <sheetName val="T_K_T511"/>
      <sheetName val="Bang_thong_ke_hang_ton11"/>
      <sheetName val="thong_ke_11"/>
      <sheetName val="T_KT0411"/>
      <sheetName val="Coc_611"/>
      <sheetName val="Deo_nai11"/>
      <sheetName val="CKD_than11"/>
      <sheetName val="CTT_Thong_nhat11"/>
      <sheetName val="CTT_Nui_beo11"/>
      <sheetName val="CTT_cao_son11"/>
      <sheetName val="CTT_Khe_cham11"/>
      <sheetName val="XNxlva_sxthanKCII11"/>
      <sheetName val="Cam_Y_ut_KC11"/>
      <sheetName val="CTxay_lap_mo_CP11"/>
      <sheetName val="CTdo_luong_GDSP11"/>
      <sheetName val="Dong_bac11"/>
      <sheetName val="Cac_cang_UT_mua_than_Dong_bac11"/>
      <sheetName val="cua_hang_vtu11"/>
      <sheetName val="Khach_hang_le_11"/>
      <sheetName val="nhat_ky_511"/>
      <sheetName val="cac_cong_ty_van_tai11"/>
      <sheetName val="K249_K9811"/>
      <sheetName val="K249_K98_(2)11"/>
      <sheetName val="K251_K9811"/>
      <sheetName val="K251_SBase11"/>
      <sheetName val="K251_AC11"/>
      <sheetName val="K252_K9811"/>
      <sheetName val="K252_SBase11"/>
      <sheetName val="K252_AC11"/>
      <sheetName val="K253_K9811"/>
      <sheetName val="K253_Subbase11"/>
      <sheetName val="K253_Base_11"/>
      <sheetName val="K253_SBase11"/>
      <sheetName val="K253_AC11"/>
      <sheetName val="K255_SBase11"/>
      <sheetName val="K259_K9811"/>
      <sheetName val="K259_Subbase11"/>
      <sheetName val="K259_Base_11"/>
      <sheetName val="K259_AC11"/>
      <sheetName val="K260_K9811"/>
      <sheetName val="K260_Subbase11"/>
      <sheetName val="K260_Base11"/>
      <sheetName val="K260_AC11"/>
      <sheetName val="K261_K9811"/>
      <sheetName val="K261_Base11"/>
      <sheetName val="K261_AC11"/>
      <sheetName val="F_ThanhTri11"/>
      <sheetName val="F_Gialam11"/>
      <sheetName val="TH_dam11"/>
      <sheetName val="SX_dam11"/>
      <sheetName val="LD_dam11"/>
      <sheetName val="Bang_gia_VL11"/>
      <sheetName val="Gia_NC11"/>
      <sheetName val="Gia_may11"/>
      <sheetName val="phan_tich_DG11"/>
      <sheetName val="gia_vat_lieu11"/>
      <sheetName val="gia_xe_may11"/>
      <sheetName val="gia_nhan_cong11"/>
      <sheetName val="SCT_Cong_trinh11"/>
      <sheetName val="06-2003_(2)11"/>
      <sheetName val="CDPS_6tc11"/>
      <sheetName val="SCT_Nha_thau11"/>
      <sheetName val="socai2003_(6tc)dp11"/>
      <sheetName val="socai2003_(6tc)11"/>
      <sheetName val="CDPS_6tc_(2)11"/>
      <sheetName val="Dancau-Q_Ninh11"/>
      <sheetName val="BaTrieu-L_son11"/>
      <sheetName val="Don_gia_CPM11"/>
      <sheetName val="Tong_Thieu_HD_cac_CT-200111"/>
      <sheetName val="VL_thieu_HD_-_200111"/>
      <sheetName val="Tong_thieu_HD_cac_CT_-_200211"/>
      <sheetName val="Lan_trai11"/>
      <sheetName val="Van_chuyen11"/>
      <sheetName val="HDong_VC11"/>
      <sheetName val="ThieuHD_nam_200111"/>
      <sheetName val="Bang_TH11"/>
      <sheetName val="Tong_Chinh11"/>
      <sheetName val="Xaylap_11"/>
      <sheetName val="Nhan_cong11"/>
      <sheetName val="giai_thich11"/>
      <sheetName val="DT_-_Ro11"/>
      <sheetName val="TH_-_Ro_11"/>
      <sheetName val="GDT_-_Ro11"/>
      <sheetName val="DT_-_TB11"/>
      <sheetName val="TH_-_TB11"/>
      <sheetName val="GDT_-_TB11"/>
      <sheetName val="DT_-_NT11"/>
      <sheetName val="TH_-_NT11"/>
      <sheetName val="GDT_-_NT11"/>
      <sheetName val="CV_di_trong__dong11"/>
      <sheetName val="Nhap_lieu11"/>
      <sheetName val="Tien_dien10"/>
      <sheetName val="Thue_GTGT10"/>
      <sheetName val="BC_TH_CK_(2)11"/>
      <sheetName val="BC_TH_CK11"/>
      <sheetName val="BC6tT19_food11"/>
      <sheetName val="BC6tT18_-_Food11"/>
      <sheetName val="BCCK_411"/>
      <sheetName val="BCFood-_T1611"/>
      <sheetName val="BCFood-_T1511"/>
      <sheetName val="BCFood-_T1411"/>
      <sheetName val="BCFood-_T1311"/>
      <sheetName val="TH_CK211"/>
      <sheetName val="BC6tT52_(3)11"/>
      <sheetName val="BC6tT52_(2)11"/>
      <sheetName val="TCK_1211"/>
      <sheetName val="Tong_CK11"/>
      <sheetName val="DOANH_SO11"/>
      <sheetName val="BD-SINH_VIEN11"/>
      <sheetName val="T03_-_0311"/>
      <sheetName val="THL_T0311"/>
      <sheetName val="TTBC_T0311"/>
      <sheetName val="Luong_noi_Bo_-_T311"/>
      <sheetName val="Tong_hop_-_T311"/>
      <sheetName val="Thuong_Quy_311"/>
      <sheetName val="Phu_cap_trach_nhiem11"/>
      <sheetName val="Tay_ninh11"/>
      <sheetName val="A_Duc11"/>
      <sheetName val="[IBASE2_XLSѝTNHNoi11"/>
      <sheetName val="So_sanh11"/>
      <sheetName val="HHVt_11"/>
      <sheetName val="bcth_05-0410"/>
      <sheetName val="baocao_05-0410"/>
      <sheetName val="ql_(2)10"/>
      <sheetName val="TH_du_toan_11"/>
      <sheetName val="Du_toan_11"/>
      <sheetName val="C_Tinh11"/>
      <sheetName val="Co~g_hop_1,5x1,511"/>
      <sheetName val="_KQTH_quy_hoach_13510"/>
      <sheetName val="Bao_cao_KQTH_quy_hoach_13510"/>
      <sheetName val="Co_quan_TCT11"/>
      <sheetName val="BOT_(PA_chon)11"/>
      <sheetName val="Yaly_&amp;_Ri_Ninh11"/>
      <sheetName val="Thuy_dien_Na_Loi11"/>
      <sheetName val="bang_so_sanh_tong_hop11"/>
      <sheetName val="bang_so_sanh_tong_hop_(ty_le)11"/>
      <sheetName val="thu_nhap_binh_quan_(2)11"/>
      <sheetName val="dang_huong11"/>
      <sheetName val="phuong_an_111"/>
      <sheetName val="phuong_an_1_(2)11"/>
      <sheetName val="phuong_an211"/>
      <sheetName val="tong_hop_BQ11"/>
      <sheetName val="tong_hop_BQ-111"/>
      <sheetName val="phuong_an_chon11"/>
      <sheetName val="tô_rôiDY10"/>
      <sheetName val="Heso_3-2004_(3)10"/>
      <sheetName val="Luong_(2)10"/>
      <sheetName val="heso_T310"/>
      <sheetName val="heso_T410"/>
      <sheetName val="heso_T510"/>
      <sheetName val="Heso_T610"/>
      <sheetName val="Heso_T710"/>
      <sheetName val="Heso_T810"/>
      <sheetName val="Heso_T910"/>
      <sheetName val="Heso_2-200410"/>
      <sheetName val="Heso_3-200410"/>
      <sheetName val="Heso_3-2004_(2)10"/>
      <sheetName val="nhan_su10"/>
      <sheetName val="luong_cty10"/>
      <sheetName val="Thang_410"/>
      <sheetName val="Luu_goc10"/>
      <sheetName val="km22+93_86-km22+121_8610"/>
      <sheetName val="km22+177_14-km22+205_6410"/>
      <sheetName val="Bang_20-2510"/>
      <sheetName val="km22+267_96-km22+283_9610"/>
      <sheetName val="km22+304_31-km22+344_3110"/>
      <sheetName val="km22+460_92-km22+614_5710"/>
      <sheetName val="km22+671_78-km22+713_3210"/>
      <sheetName val="_tuanM10"/>
      <sheetName val="CT_0310"/>
      <sheetName val="TH_0310"/>
      <sheetName val="bang_so_sanh_tong_hop_(_PA_ch10"/>
      <sheetName val="dang_ap_dung10"/>
      <sheetName val="bang_tong_hop_(dang_huong)10"/>
      <sheetName val="Dinh_ha_nha10"/>
      <sheetName val="[IBASE2_XLS}BHXH10"/>
      <sheetName val="[IBASE2_XLS䁝BC6tT1710"/>
      <sheetName val="THT_nam_0410"/>
      <sheetName val="HD_CTrinh110"/>
      <sheetName val="HD_benA10"/>
      <sheetName val="Theodoi_HD10"/>
      <sheetName val="Theodoi_HD_(2)10"/>
      <sheetName val="_GT_CPhi_tung_dot10"/>
      <sheetName val="chuong_phu10"/>
      <sheetName val="[IBASE2_XLS_Tong_hop_Matduong10"/>
      <sheetName val="THU_T1210"/>
      <sheetName val="CHI_T1210"/>
      <sheetName val="THU_T1110"/>
      <sheetName val="CHI_T1110"/>
      <sheetName val="THU_T1010"/>
      <sheetName val="CHI_T1010"/>
      <sheetName val="THU_T910"/>
      <sheetName val="CHI_T910"/>
      <sheetName val="THU_T810"/>
      <sheetName val="CHI_T810"/>
      <sheetName val="chi_phi_cap_tien10"/>
      <sheetName val="BC§_200110"/>
      <sheetName val="BBC§_200210"/>
      <sheetName val="TSC§_200110"/>
      <sheetName val="TSc®_200210"/>
      <sheetName val="BaTrieu-L_con10"/>
      <sheetName val="EDT_-_Ro10"/>
      <sheetName val="KHVô_XL10"/>
      <sheetName val="TD_khao_sat10"/>
      <sheetName val="THANG7_10"/>
      <sheetName val="THANG_1110"/>
      <sheetName val="THANG_1210"/>
      <sheetName val="phuong_aL_110"/>
      <sheetName val="Khac_DP10"/>
      <sheetName val="Khoi_than_10"/>
      <sheetName val="TK__TK10"/>
      <sheetName val="Bang_can_doi_10"/>
      <sheetName val="De_Tai_Vhuc_Tap10"/>
      <sheetName val="02_110"/>
      <sheetName val="2_110"/>
      <sheetName val="2_310"/>
      <sheetName val="02_310"/>
      <sheetName val="B_0110"/>
      <sheetName val="B_0310"/>
      <sheetName val="D_1310"/>
      <sheetName val="[IBASE2_XLS?TNHNoi10"/>
      <sheetName val="Tinh_hinh_cat_lang10"/>
      <sheetName val="Tinh_hinh_SX_phu10"/>
      <sheetName val="Tinh_hinh_do_xop10"/>
      <sheetName val="Cong_hop_2,0ࡸ2,09"/>
      <sheetName val="Sat_tron9"/>
      <sheetName val="(9_30)_IP9"/>
      <sheetName val="Cong_tron_D7'9"/>
      <sheetName val="2_749"/>
      <sheetName val="CN-QV_FG9"/>
      <sheetName val="CN-QV_RM9"/>
      <sheetName val="PHAV_R_M9"/>
      <sheetName val="PHAV_F_G9"/>
      <sheetName val="TOA_R_M9"/>
      <sheetName val="TOA_F_G9"/>
      <sheetName val="CVN_R_M9"/>
      <sheetName val="CVN_F_G9"/>
      <sheetName val="DENSO_R_M9"/>
      <sheetName val="DENSO_F_G9"/>
      <sheetName val="SATO_RM9"/>
      <sheetName val="SATO_F_G9"/>
      <sheetName val="Up_to_20027"/>
      <sheetName val="det_VP8"/>
      <sheetName val="det_hn8"/>
      <sheetName val="chi_Hieu8"/>
      <sheetName val="c_thoa8"/>
      <sheetName val="A_thanh_-_DL8"/>
      <sheetName val="A_Tuyen8"/>
      <sheetName val="A_Tien_-laphu8"/>
      <sheetName val="A_Thang-_laphu8"/>
      <sheetName val="A_Dong8"/>
      <sheetName val="27-7_NB8"/>
      <sheetName val="xn_58"/>
      <sheetName val="PKD_X208"/>
      <sheetName val="da_giay_SG8"/>
      <sheetName val="dagiay_XK8"/>
      <sheetName val="DK_Dong_xuan8"/>
      <sheetName val="chu_Ton8"/>
      <sheetName val="minh_tri8"/>
      <sheetName val="viet_huy8"/>
      <sheetName val="thanh_ha8"/>
      <sheetName val="O_Su8"/>
      <sheetName val="A_Ha-DL8"/>
      <sheetName val="Vinh_oanh8"/>
      <sheetName val="chi_Thuy8"/>
      <sheetName val="chu_Hong8"/>
      <sheetName val="thuy-_may8"/>
      <sheetName val="vu_yen8"/>
      <sheetName val="OPERATING_HEAD8"/>
      <sheetName val="31_12_018"/>
      <sheetName val="Tong_hop_xuat_kho_nvl8"/>
      <sheetName val="Xuat_kho8"/>
      <sheetName val="Tong_hop_so_lieu_tai_nhap_kho8"/>
      <sheetName val="tai_nhap_kho8"/>
      <sheetName val="Nhap_kho8"/>
      <sheetName val="Tong_ket_nhap_kho8"/>
      <sheetName val="Tong_ket8"/>
      <sheetName val="cac_ma_can_huy8"/>
      <sheetName val="Hang_hong8"/>
      <sheetName val="Tham_khao8"/>
      <sheetName val="hang_khong_co_packing8"/>
      <sheetName val="VtuHaTheSauTBABenThuy1_Ш2)8"/>
      <sheetName val="K252_K9и8"/>
      <sheetName val="nphuocb_48"/>
      <sheetName val="bcth_05-08"/>
      <sheetName val="ESTI_9"/>
      <sheetName val="THU_T78"/>
      <sheetName val="CHI_T78"/>
      <sheetName val="THU_T68"/>
      <sheetName val="CHI_T68"/>
      <sheetName val="THU_T58"/>
      <sheetName val="CHI_T58"/>
      <sheetName val="THU_T48"/>
      <sheetName val="CHI_T48"/>
      <sheetName val="THU_T38"/>
      <sheetName val="CHI_T38"/>
      <sheetName val="THU_T28"/>
      <sheetName val="CHI_T28"/>
      <sheetName val="THU_T110"/>
      <sheetName val="CHI_T110"/>
      <sheetName val="TB_Grouping8"/>
      <sheetName val="Balance_Sheet8"/>
      <sheetName val="CHITIET_VL-NC8"/>
      <sheetName val="DON_GIA8"/>
      <sheetName val="So_lieu8"/>
      <sheetName val="tt_chu_dong8"/>
      <sheetName val="Tinh_j+cvi8"/>
      <sheetName val="Tinh_MoP8"/>
      <sheetName val="giai_he_28"/>
      <sheetName val="ct_luong_8"/>
      <sheetName val="Nhap_6T8"/>
      <sheetName val="Ranking_data8"/>
      <sheetName val="GDMN_18"/>
      <sheetName val="May_khau8"/>
      <sheetName val="PXKT6Via_118"/>
      <sheetName val="PXKTLo_Thien_V_14A8"/>
      <sheetName val="V14_phu8"/>
      <sheetName val="Via_16_Lthien8"/>
      <sheetName val="mc_2006_&amp;_097"/>
      <sheetName val="mc_2006_&amp;_57_&amp;_097"/>
      <sheetName val="dongia_(2)7"/>
      <sheetName val="THPDMoi__(2)7"/>
      <sheetName val="t-h_HA_THE7"/>
      <sheetName val="CHITIET_VL-NC-TT_-1p7"/>
      <sheetName val="TONG_HOP_VL-NC_TT7"/>
      <sheetName val="TH_XL7"/>
      <sheetName val="TONGKE3p_7"/>
      <sheetName val="CHITIET_VL-NC-TT-3p7"/>
      <sheetName val="KPVC-BD_7"/>
      <sheetName val="Master_schedule7"/>
      <sheetName val="GDMN_27"/>
      <sheetName val="GDMN_37"/>
      <sheetName val="GDMN_47"/>
      <sheetName val="GDMN_57"/>
      <sheetName val="GDTH_17"/>
      <sheetName val="GDTH_27"/>
      <sheetName val="GDTH_37"/>
      <sheetName val="GDTH_47"/>
      <sheetName val="GDTH_57"/>
      <sheetName val="THCS_17"/>
      <sheetName val="THCS_27"/>
      <sheetName val="THCS_37"/>
      <sheetName val="THCS_47"/>
      <sheetName val="THCS_57"/>
      <sheetName val="THCS_67"/>
      <sheetName val="THPT_17"/>
      <sheetName val="THPT_27"/>
      <sheetName val="THPT_37"/>
      <sheetName val="THPT_47"/>
      <sheetName val="THPT_57"/>
      <sheetName val="THPT_67"/>
      <sheetName val="DH,CD,THCN_17"/>
      <sheetName val="DH,CD,THCN_27"/>
      <sheetName val="DH,CD,THCN_37"/>
      <sheetName val="GDKCQ_17"/>
      <sheetName val="GDKCQ_27"/>
      <sheetName val="_IBASE2_XLSѝTNHNoi8"/>
      <sheetName val="_IBASE2_XLS䁝BC6tT177"/>
      <sheetName val="_IBASE2_XLS}BHXH7"/>
      <sheetName val="_IBASE2_XLS_Tong_hop_Matduong7"/>
      <sheetName val="BTHDT_TBA_7"/>
      <sheetName val="DS_tong7"/>
      <sheetName val="CDSM_(2)7"/>
      <sheetName val="Cost_Center_7"/>
      <sheetName val="Part_data7"/>
      <sheetName val="Vender_Data7"/>
      <sheetName val="lapdap_TB_7"/>
      <sheetName val="Tonf_hop7"/>
      <sheetName val="Ｍss_４Ｒ要員7"/>
      <sheetName val="Du_lieu8"/>
      <sheetName val="IMP_TAX7"/>
      <sheetName val="Dinh_muc_chuan7"/>
      <sheetName val="TH_du_toanð7"/>
      <sheetName val="TH_du_toan 7"/>
      <sheetName val="DS_Protecter7"/>
      <sheetName val="Klukng_phu7"/>
      <sheetName val="CVden_ngoai_TCT_(1)12"/>
      <sheetName val="CV_den_ngoai_TCT_(2)12"/>
      <sheetName val="CV_den_ngoai_TCT_(3)12"/>
      <sheetName val="QDcua_TGD12"/>
      <sheetName val="QD_cua_HDQT12"/>
      <sheetName val="QD_cua_HDQT_(2)12"/>
      <sheetName val="CV_di_ngoai_tong12"/>
      <sheetName val="CV_di_ngoai_tong_(2)12"/>
      <sheetName val="To_trinh12"/>
      <sheetName val="Giao_nhiem_vu12"/>
      <sheetName val="QDcua_TGD_(2)12"/>
      <sheetName val="Thong_tu12"/>
      <sheetName val="CV_di_trong__tong12"/>
      <sheetName val="nghi_dinh-CP12"/>
      <sheetName val="CV_den_trong_tong12"/>
      <sheetName val="GIA_NUOC12"/>
      <sheetName val="GIA_DIEN_THOAI12"/>
      <sheetName val="GIA_DIEN12"/>
      <sheetName val="chiet_tinh_XD12"/>
      <sheetName val="Triet_T12"/>
      <sheetName val="Phan_tich_gia12"/>
      <sheetName val="pHAN_CONG12"/>
      <sheetName val="GIA_XD12"/>
      <sheetName val="lapdat_TB_12"/>
      <sheetName val="TNghiªm_TB_12"/>
      <sheetName val="VËt_liÖu12"/>
      <sheetName val="Lap_®at_®iÖn12"/>
      <sheetName val="TNghiÖm_VL12"/>
      <sheetName val="th_12"/>
      <sheetName val="tien_luong12"/>
      <sheetName val="KHVt_12"/>
      <sheetName val="KHVt_XL12"/>
      <sheetName val="KHVt_XLT412"/>
      <sheetName val="Thep_be12"/>
      <sheetName val="Thep_than12"/>
      <sheetName val="Thep_xa_mu12"/>
      <sheetName val="142201-T1_12"/>
      <sheetName val="142201-T2-th_12"/>
      <sheetName val="142201-T3-th_12"/>
      <sheetName val="142201-T4-th__12"/>
      <sheetName val="_t512"/>
      <sheetName val="t_412"/>
      <sheetName val="_t3_12"/>
      <sheetName val="_TH33112"/>
      <sheetName val="_Minh_ha12"/>
      <sheetName val="_Ha_Tay12"/>
      <sheetName val="_Vinhphuc12"/>
      <sheetName val="_Nbinh12"/>
      <sheetName val="_QVinh12"/>
      <sheetName val="_TW112"/>
      <sheetName val="T_so_thay_doi12"/>
      <sheetName val="b_THchitietDZCT12"/>
      <sheetName val="b_THchitietTBA12"/>
      <sheetName val="Khao_sat12"/>
      <sheetName val="TT_khao_sat12"/>
      <sheetName val="Kluong_phu12"/>
      <sheetName val="Lan_can12"/>
      <sheetName val="Ho_lan12"/>
      <sheetName val="Coc_tieu12"/>
      <sheetName val="Bien_bao12"/>
      <sheetName val="Op_mai_27412"/>
      <sheetName val="Op_mai_27512"/>
      <sheetName val="Op_mai_27612"/>
      <sheetName val="Op_mai_27712"/>
      <sheetName val="Op_mai_27812"/>
      <sheetName val="Op_mai_27912"/>
      <sheetName val="Op_mai_28012"/>
      <sheetName val="Op_mai_28112"/>
      <sheetName val="Op_mai_28212"/>
      <sheetName val="Op_mai_28312"/>
      <sheetName val="Op_mai_28412"/>
      <sheetName val="Op_mai12"/>
      <sheetName val="Km274_-_Km27512"/>
      <sheetName val="Km275_-_Km27612"/>
      <sheetName val="Km276_-_Km27712"/>
      <sheetName val="Km277_-_Km278_12"/>
      <sheetName val="Km278_-_Km27912"/>
      <sheetName val="Km279_-_Km28012"/>
      <sheetName val="Km280_-_Km28112"/>
      <sheetName val="Km281_-_Km28212"/>
      <sheetName val="Km282_-_Km28312"/>
      <sheetName val="Km283_-_Km28412"/>
      <sheetName val="Km284_-_Km28512"/>
      <sheetName val="Tong_hop_Matduong12"/>
      <sheetName val="Cong_D7512"/>
      <sheetName val="Cong_D10012"/>
      <sheetName val="Cong_D15012"/>
      <sheetName val="Cong_2D15012"/>
      <sheetName val="Cong_ban_0,7x0,712"/>
      <sheetName val="Cong_ban_0,8x0,812"/>
      <sheetName val="Cong_ban_1x112"/>
      <sheetName val="Cong_ban_1x1,212"/>
      <sheetName val="Cong_ban_1,5x1,512"/>
      <sheetName val="Cong_ban_2x1,512"/>
      <sheetName val="Cong_ban_2x212"/>
      <sheetName val="Tong_hop12"/>
      <sheetName val="Tong_hop_(2)12"/>
      <sheetName val="Cong_cu12"/>
      <sheetName val="Cot_thep12"/>
      <sheetName val="Cong_tron_D7512"/>
      <sheetName val="Cong_tron_D10012"/>
      <sheetName val="Cong_tron_D15012"/>
      <sheetName val="Cong_tron_2D15012"/>
      <sheetName val="Cong_ban_1,0x1,012"/>
      <sheetName val="Cong_ban_1,0x1,212"/>
      <sheetName val="Cong_hop_1,5x1,512"/>
      <sheetName val="Cong_hop_2,0x1,512"/>
      <sheetName val="Cong_hop_2,0x2,012"/>
      <sheetName val="CDSL_(2)12"/>
      <sheetName val="TK_11212"/>
      <sheetName val="TK_13112"/>
      <sheetName val="TK_14112"/>
      <sheetName val="TK_15312"/>
      <sheetName val="TK_21112"/>
      <sheetName val="TK_24212"/>
      <sheetName val="TK_33412"/>
      <sheetName val="TK_51112"/>
      <sheetName val="TK_51512"/>
      <sheetName val="TK_91112"/>
      <sheetName val="VtuHaTheSauTBABenThuy1_(2)12"/>
      <sheetName val="Song_trai12"/>
      <sheetName val="Dinh+ha_nha12"/>
      <sheetName val="NG_k12"/>
      <sheetName val="Trich_Ngang12"/>
      <sheetName val="Danh_sach_Rieng12"/>
      <sheetName val="Dia_Diem_Thuc_Tap12"/>
      <sheetName val="De_Tai_Thuc_Tap12"/>
      <sheetName val="thkl_(2)12"/>
      <sheetName val="long_tec12"/>
      <sheetName val="KQKD02-2_(2)12"/>
      <sheetName val="KQKD-2_(2)12"/>
      <sheetName val="KQKD_thu200412"/>
      <sheetName val="T_K_H_T_T512"/>
      <sheetName val="T_K_T712"/>
      <sheetName val="TK_T612"/>
      <sheetName val="T_K_T512"/>
      <sheetName val="Bang_thong_ke_hang_ton12"/>
      <sheetName val="thong_ke_12"/>
      <sheetName val="T_KT0412"/>
      <sheetName val="Coc_612"/>
      <sheetName val="Deo_nai12"/>
      <sheetName val="CKD_than12"/>
      <sheetName val="CTT_Thong_nhat12"/>
      <sheetName val="CTT_Nui_beo12"/>
      <sheetName val="CTT_cao_son12"/>
      <sheetName val="CTT_Khe_cham12"/>
      <sheetName val="XNxlva_sxthanKCII12"/>
      <sheetName val="Cam_Y_ut_KC12"/>
      <sheetName val="CTxay_lap_mo_CP12"/>
      <sheetName val="CTdo_luong_GDSP12"/>
      <sheetName val="Dong_bac12"/>
      <sheetName val="Cac_cang_UT_mua_than_Dong_bac12"/>
      <sheetName val="cua_hang_vtu12"/>
      <sheetName val="Khach_hang_le_12"/>
      <sheetName val="nhat_ky_512"/>
      <sheetName val="cac_cong_ty_van_tai12"/>
      <sheetName val="K249_K9812"/>
      <sheetName val="K249_K98_(2)12"/>
      <sheetName val="K251_K9812"/>
      <sheetName val="K251_SBase12"/>
      <sheetName val="K251_AC12"/>
      <sheetName val="K252_K9812"/>
      <sheetName val="K252_SBase12"/>
      <sheetName val="K252_AC12"/>
      <sheetName val="K253_K9812"/>
      <sheetName val="K253_Subbase12"/>
      <sheetName val="K253_Base_12"/>
      <sheetName val="K253_SBase12"/>
      <sheetName val="K253_AC12"/>
      <sheetName val="K255_SBase12"/>
      <sheetName val="K259_K9812"/>
      <sheetName val="K259_Subbase12"/>
      <sheetName val="K259_Base_12"/>
      <sheetName val="K259_AC12"/>
      <sheetName val="K260_K9812"/>
      <sheetName val="K260_Subbase12"/>
      <sheetName val="K260_Base12"/>
      <sheetName val="K260_AC12"/>
      <sheetName val="K261_K9812"/>
      <sheetName val="K261_Base12"/>
      <sheetName val="K261_AC12"/>
      <sheetName val="F_ThanhTri12"/>
      <sheetName val="F_Gialam12"/>
      <sheetName val="TH_dam12"/>
      <sheetName val="SX_dam12"/>
      <sheetName val="LD_dam12"/>
      <sheetName val="Bang_gia_VL12"/>
      <sheetName val="Gia_NC12"/>
      <sheetName val="Gia_may12"/>
      <sheetName val="phan_tich_DG12"/>
      <sheetName val="gia_vat_lieu12"/>
      <sheetName val="gia_xe_may12"/>
      <sheetName val="gia_nhan_cong12"/>
      <sheetName val="SCT_Cong_trinh12"/>
      <sheetName val="06-2003_(2)12"/>
      <sheetName val="CDPS_6tc12"/>
      <sheetName val="SCT_Nha_thau12"/>
      <sheetName val="socai2003_(6tc)dp12"/>
      <sheetName val="socai2003_(6tc)12"/>
      <sheetName val="CDPS_6tc_(2)12"/>
      <sheetName val="Dancau-Q_Ninh12"/>
      <sheetName val="BaTrieu-L_son12"/>
      <sheetName val="Don_gia_CPM12"/>
      <sheetName val="Tong_Thieu_HD_cac_CT-200112"/>
      <sheetName val="VL_thieu_HD_-_200112"/>
      <sheetName val="Tong_thieu_HD_cac_CT_-_200212"/>
      <sheetName val="Lan_trai12"/>
      <sheetName val="Van_chuyen12"/>
      <sheetName val="HDong_VC12"/>
      <sheetName val="ThieuHD_nam_200112"/>
      <sheetName val="Bang_TH12"/>
      <sheetName val="Tong_Chinh12"/>
      <sheetName val="Xaylap_12"/>
      <sheetName val="Nhan_cong12"/>
      <sheetName val="giai_thich12"/>
      <sheetName val="DT_-_Ro12"/>
      <sheetName val="TH_-_Ro_12"/>
      <sheetName val="GDT_-_Ro12"/>
      <sheetName val="DT_-_TB12"/>
      <sheetName val="TH_-_TB12"/>
      <sheetName val="GDT_-_TB12"/>
      <sheetName val="DT_-_NT12"/>
      <sheetName val="TH_-_NT12"/>
      <sheetName val="GDT_-_NT12"/>
      <sheetName val="CV_di_trong__dong12"/>
      <sheetName val="Nhap_lieu12"/>
      <sheetName val="Tien_dien11"/>
      <sheetName val="Thue_GTGT11"/>
      <sheetName val="BC_TH_CK_(2)12"/>
      <sheetName val="BC_TH_CK12"/>
      <sheetName val="BC6tT19_food12"/>
      <sheetName val="BC6tT18_-_Food12"/>
      <sheetName val="BCCK_412"/>
      <sheetName val="BCFood-_T1612"/>
      <sheetName val="BCFood-_T1512"/>
      <sheetName val="BCFood-_T1412"/>
      <sheetName val="BCFood-_T1312"/>
      <sheetName val="TH_CK212"/>
      <sheetName val="BC6tT52_(3)12"/>
      <sheetName val="BC6tT52_(2)12"/>
      <sheetName val="TCK_1212"/>
      <sheetName val="Tong_CK12"/>
      <sheetName val="DOANH_SO12"/>
      <sheetName val="BD-SINH_VIEN12"/>
      <sheetName val="T03_-_0312"/>
      <sheetName val="THL_T0312"/>
      <sheetName val="TTBC_T0312"/>
      <sheetName val="Luong_noi_Bo_-_T312"/>
      <sheetName val="Tong_hop_-_T312"/>
      <sheetName val="Thuong_Quy_312"/>
      <sheetName val="Phu_cap_trach_nhiem12"/>
      <sheetName val="Tay_ninh12"/>
      <sheetName val="A_Duc12"/>
      <sheetName val="[IBASE2_XLSѝTNHNoi12"/>
      <sheetName val="So_sanh12"/>
      <sheetName val="HHVt_12"/>
      <sheetName val="bcth_05-0411"/>
      <sheetName val="baocao_05-0411"/>
      <sheetName val="ql_(2)11"/>
      <sheetName val="TH_du_toan_12"/>
      <sheetName val="Du_toan_12"/>
      <sheetName val="C_Tinh12"/>
      <sheetName val="Co~g_hop_1,5x1,512"/>
      <sheetName val="_KQTH_quy_hoach_13511"/>
      <sheetName val="Bao_cao_KQTH_quy_hoach_13511"/>
      <sheetName val="Co_quan_TCT12"/>
      <sheetName val="BOT_(PA_chon)12"/>
      <sheetName val="Yaly_&amp;_Ri_Ninh12"/>
      <sheetName val="Thuy_dien_Na_Loi12"/>
      <sheetName val="bang_so_sanh_tong_hop12"/>
      <sheetName val="bang_so_sanh_tong_hop_(ty_le)12"/>
      <sheetName val="thu_nhap_binh_quan_(2)12"/>
      <sheetName val="dang_huong12"/>
      <sheetName val="phuong_an_112"/>
      <sheetName val="phuong_an_1_(2)12"/>
      <sheetName val="phuong_an212"/>
      <sheetName val="tong_hop_BQ12"/>
      <sheetName val="tong_hop_BQ-112"/>
      <sheetName val="phuong_an_chon12"/>
      <sheetName val="tô_rôiDY11"/>
      <sheetName val="Heso_3-2004_(3)11"/>
      <sheetName val="Luong_(2)11"/>
      <sheetName val="heso_T311"/>
      <sheetName val="heso_T411"/>
      <sheetName val="heso_T511"/>
      <sheetName val="Heso_T611"/>
      <sheetName val="Heso_T711"/>
      <sheetName val="Heso_T811"/>
      <sheetName val="Heso_T911"/>
      <sheetName val="Heso_2-200411"/>
      <sheetName val="Heso_3-200411"/>
      <sheetName val="Heso_3-2004_(2)11"/>
      <sheetName val="nhan_su11"/>
      <sheetName val="luong_cty11"/>
      <sheetName val="Thang_411"/>
      <sheetName val="Luu_goc11"/>
      <sheetName val="km22+93_86-km22+121_8611"/>
      <sheetName val="km22+177_14-km22+205_6411"/>
      <sheetName val="Bang_20-2511"/>
      <sheetName val="km22+267_96-km22+283_9611"/>
      <sheetName val="km22+304_31-km22+344_3111"/>
      <sheetName val="km22+460_92-km22+614_5711"/>
      <sheetName val="km22+671_78-km22+713_3211"/>
      <sheetName val="_tuanM11"/>
      <sheetName val="CT_0311"/>
      <sheetName val="TH_0311"/>
      <sheetName val="bang_so_sanh_tong_hop_(_PA_ch11"/>
      <sheetName val="dang_ap_dung11"/>
      <sheetName val="bang_tong_hop_(dang_huong)11"/>
      <sheetName val="Dinh_ha_nha11"/>
      <sheetName val="[IBASE2_XLS}BHXH11"/>
      <sheetName val="[IBASE2_XLS䁝BC6tT1711"/>
      <sheetName val="THT_nam_0411"/>
      <sheetName val="HD_CTrinh111"/>
      <sheetName val="HD_benA11"/>
      <sheetName val="Theodoi_HD11"/>
      <sheetName val="Theodoi_HD_(2)11"/>
      <sheetName val="_GT_CPhi_tung_dot11"/>
      <sheetName val="chuong_phu11"/>
      <sheetName val="[IBASE2_XLS_Tong_hop_Matduong11"/>
      <sheetName val="THU_T1211"/>
      <sheetName val="CHI_T1211"/>
      <sheetName val="THU_T1111"/>
      <sheetName val="CHI_T1111"/>
      <sheetName val="THU_T1011"/>
      <sheetName val="CHI_T1011"/>
      <sheetName val="THU_T911"/>
      <sheetName val="CHI_T911"/>
      <sheetName val="THU_T811"/>
      <sheetName val="CHI_T811"/>
      <sheetName val="chi_phi_cap_tien11"/>
      <sheetName val="BC§_200111"/>
      <sheetName val="BBC§_200211"/>
      <sheetName val="TSC§_200111"/>
      <sheetName val="TSc®_200211"/>
      <sheetName val="BaTrieu-L_con11"/>
      <sheetName val="EDT_-_Ro11"/>
      <sheetName val="KHVô_XL11"/>
      <sheetName val="TD_khao_sat11"/>
      <sheetName val="THANG7_11"/>
      <sheetName val="THANG_1111"/>
      <sheetName val="THANG_1211"/>
      <sheetName val="phuong_aL_111"/>
      <sheetName val="Khac_DP11"/>
      <sheetName val="Khoi_than_11"/>
      <sheetName val="TK__TK11"/>
      <sheetName val="Bang_can_doi_11"/>
      <sheetName val="De_Tai_Vhuc_Tap11"/>
      <sheetName val="02_111"/>
      <sheetName val="2_111"/>
      <sheetName val="2_311"/>
      <sheetName val="02_311"/>
      <sheetName val="B_0111"/>
      <sheetName val="B_0311"/>
      <sheetName val="D_1311"/>
      <sheetName val="[IBASE2_XLS?TNHNoi11"/>
      <sheetName val="Tinh_hinh_cat_lang11"/>
      <sheetName val="Tinh_hinh_SX_phu11"/>
      <sheetName val="Tinh_hinh_do_xop11"/>
      <sheetName val="Cong_hop_2,0ࡸ2,010"/>
      <sheetName val="Sat_tron10"/>
      <sheetName val="(9_30)_IP10"/>
      <sheetName val="Cong_tron_D7'10"/>
      <sheetName val="2_7410"/>
      <sheetName val="CN-QV_FG10"/>
      <sheetName val="CN-QV_RM10"/>
      <sheetName val="PHAV_R_M10"/>
      <sheetName val="PHAV_F_G10"/>
      <sheetName val="TOA_R_M10"/>
      <sheetName val="TOA_F_G10"/>
      <sheetName val="CVN_R_M10"/>
      <sheetName val="CVN_F_G10"/>
      <sheetName val="DENSO_R_M10"/>
      <sheetName val="DENSO_F_G10"/>
      <sheetName val="SATO_RM10"/>
      <sheetName val="SATO_F_G10"/>
      <sheetName val="Up_to_20028"/>
      <sheetName val="det_VP9"/>
      <sheetName val="det_hn9"/>
      <sheetName val="chi_Hieu9"/>
      <sheetName val="c_thoa9"/>
      <sheetName val="A_thanh_-_DL9"/>
      <sheetName val="A_Tuyen9"/>
      <sheetName val="A_Tien_-laphu9"/>
      <sheetName val="A_Thang-_laphu9"/>
      <sheetName val="A_Dong9"/>
      <sheetName val="27-7_NB9"/>
      <sheetName val="xn_59"/>
      <sheetName val="PKD_X209"/>
      <sheetName val="da_giay_SG9"/>
      <sheetName val="dagiay_XK9"/>
      <sheetName val="DK_Dong_xuan9"/>
      <sheetName val="chu_Ton9"/>
      <sheetName val="minh_tri9"/>
      <sheetName val="viet_huy9"/>
      <sheetName val="thanh_ha9"/>
      <sheetName val="O_Su9"/>
      <sheetName val="A_Ha-DL9"/>
      <sheetName val="Vinh_oanh9"/>
      <sheetName val="chi_Thuy9"/>
      <sheetName val="chu_Hong9"/>
      <sheetName val="thuy-_may9"/>
      <sheetName val="vu_yen9"/>
      <sheetName val="OPERATING_HEAD9"/>
      <sheetName val="31_12_019"/>
      <sheetName val="Tong_hop_xuat_kho_nvl9"/>
      <sheetName val="Xuat_kho9"/>
      <sheetName val="Tong_hop_so_lieu_tai_nhap_kho9"/>
      <sheetName val="tai_nhap_kho9"/>
      <sheetName val="Nhap_kho9"/>
      <sheetName val="Tong_ket_nhap_kho9"/>
      <sheetName val="Tong_ket9"/>
      <sheetName val="cac_ma_can_huy9"/>
      <sheetName val="Hang_hong9"/>
      <sheetName val="Tham_khao9"/>
      <sheetName val="hang_khong_co_packing9"/>
      <sheetName val="VtuHaTheSauTBABenThuy1_Ш2)9"/>
      <sheetName val="K252_K9и9"/>
      <sheetName val="nphuocb_49"/>
      <sheetName val="bcth_05-09"/>
      <sheetName val="ESTI_10"/>
      <sheetName val="THU_T79"/>
      <sheetName val="CHI_T79"/>
      <sheetName val="THU_T69"/>
      <sheetName val="CHI_T69"/>
      <sheetName val="THU_T59"/>
      <sheetName val="CHI_T59"/>
      <sheetName val="THU_T49"/>
      <sheetName val="CHI_T49"/>
      <sheetName val="THU_T39"/>
      <sheetName val="CHI_T39"/>
      <sheetName val="THU_T29"/>
      <sheetName val="CHI_T29"/>
      <sheetName val="THU_T120"/>
      <sheetName val="CHI_T120"/>
      <sheetName val="TB_Grouping9"/>
      <sheetName val="Balance_Sheet9"/>
      <sheetName val="CHITIET_VL-NC9"/>
      <sheetName val="DON_GIA9"/>
      <sheetName val="So_lieu9"/>
      <sheetName val="tt_chu_dong9"/>
      <sheetName val="Tinh_j+cvi9"/>
      <sheetName val="Tinh_MoP9"/>
      <sheetName val="giai_he_29"/>
      <sheetName val="ct_luong_9"/>
      <sheetName val="Nhap_6T9"/>
      <sheetName val="Ranking_data9"/>
      <sheetName val="GDMN_19"/>
      <sheetName val="May_khau9"/>
      <sheetName val="PXKT6Via_119"/>
      <sheetName val="PXKTLo_Thien_V_14A9"/>
      <sheetName val="V14_phu9"/>
      <sheetName val="Via_16_Lthien9"/>
      <sheetName val="mc_2006_&amp;_098"/>
      <sheetName val="mc_2006_&amp;_57_&amp;_098"/>
      <sheetName val="dongia_(2)8"/>
      <sheetName val="THPDMoi__(2)8"/>
      <sheetName val="t-h_HA_THE8"/>
      <sheetName val="CHITIET_VL-NC-TT_-1p8"/>
      <sheetName val="TONG_HOP_VL-NC_TT8"/>
      <sheetName val="TH_XL8"/>
      <sheetName val="TONGKE3p_8"/>
      <sheetName val="CHITIET_VL-NC-TT-3p8"/>
      <sheetName val="KPVC-BD_8"/>
      <sheetName val="Master_schedule8"/>
      <sheetName val="GDMN_28"/>
      <sheetName val="GDMN_38"/>
      <sheetName val="GDMN_48"/>
      <sheetName val="GDMN_58"/>
      <sheetName val="GDTH_18"/>
      <sheetName val="GDTH_28"/>
      <sheetName val="GDTH_38"/>
      <sheetName val="GDTH_48"/>
      <sheetName val="GDTH_58"/>
      <sheetName val="THCS_18"/>
      <sheetName val="THCS_28"/>
      <sheetName val="THCS_38"/>
      <sheetName val="THCS_48"/>
      <sheetName val="THCS_58"/>
      <sheetName val="THCS_68"/>
      <sheetName val="THPT_18"/>
      <sheetName val="THPT_28"/>
      <sheetName val="THPT_38"/>
      <sheetName val="THPT_48"/>
      <sheetName val="THPT_58"/>
      <sheetName val="THPT_68"/>
      <sheetName val="DH,CD,THCN_18"/>
      <sheetName val="DH,CD,THCN_28"/>
      <sheetName val="DH,CD,THCN_38"/>
      <sheetName val="GDKCQ_18"/>
      <sheetName val="GDKCQ_28"/>
      <sheetName val="_IBASE2_XLSѝTNHNoi9"/>
      <sheetName val="_IBASE2_XLS䁝BC6tT178"/>
      <sheetName val="_IBASE2_XLS}BHXH8"/>
      <sheetName val="_IBASE2_XLS_Tong_hop_Matduong8"/>
      <sheetName val="BTHDT_TBA_8"/>
      <sheetName val="DS_tong8"/>
      <sheetName val="CDSM_(2)8"/>
      <sheetName val="Cost_Center_8"/>
      <sheetName val="Part_data8"/>
      <sheetName val="Vender_Data8"/>
      <sheetName val="lapdap_TB_8"/>
      <sheetName val="Tonf_hop8"/>
      <sheetName val="Ｍss_４Ｒ要員8"/>
      <sheetName val="Du_lieu9"/>
      <sheetName val="IMP_TAX8"/>
      <sheetName val="Dinh_muc_chuan8"/>
      <sheetName val="TH_du_toanð8"/>
      <sheetName val="TH_du_toan 8"/>
      <sheetName val="DS_Protecter8"/>
      <sheetName val="Klukng_phu8"/>
      <sheetName val="CVden_ngoai_TCT_(1)13"/>
      <sheetName val="CV_den_ngoai_TCT_(2)13"/>
      <sheetName val="CV_den_ngoai_TCT_(3)13"/>
      <sheetName val="QDcua_TGD13"/>
      <sheetName val="QD_cua_HDQT13"/>
      <sheetName val="QD_cua_HDQT_(2)13"/>
      <sheetName val="CV_di_ngoai_tong13"/>
      <sheetName val="CV_di_ngoai_tong_(2)13"/>
      <sheetName val="To_trinh13"/>
      <sheetName val="Giao_nhiem_vu13"/>
      <sheetName val="QDcua_TGD_(2)13"/>
      <sheetName val="Thong_tu13"/>
      <sheetName val="CV_di_trong__tong13"/>
      <sheetName val="nghi_dinh-CP13"/>
      <sheetName val="CV_den_trong_tong13"/>
      <sheetName val="GIA_NUOC13"/>
      <sheetName val="GIA_DIEN_THOAI13"/>
      <sheetName val="GIA_DIEN13"/>
      <sheetName val="chiet_tinh_XD13"/>
      <sheetName val="Triet_T13"/>
      <sheetName val="Phan_tich_gia13"/>
      <sheetName val="pHAN_CONG13"/>
      <sheetName val="GIA_XD13"/>
      <sheetName val="lapdat_TB_13"/>
      <sheetName val="TNghiªm_TB_13"/>
      <sheetName val="VËt_liÖu13"/>
      <sheetName val="Lap_®at_®iÖn13"/>
      <sheetName val="TNghiÖm_VL13"/>
      <sheetName val="th_13"/>
      <sheetName val="tien_luong13"/>
      <sheetName val="KHVt_13"/>
      <sheetName val="KHVt_XL13"/>
      <sheetName val="KHVt_XLT413"/>
      <sheetName val="Thep_be13"/>
      <sheetName val="Thep_than13"/>
      <sheetName val="Thep_xa_mu13"/>
      <sheetName val="142201-T1_13"/>
      <sheetName val="142201-T2-th_13"/>
      <sheetName val="142201-T3-th_13"/>
      <sheetName val="142201-T4-th__13"/>
      <sheetName val="_t513"/>
      <sheetName val="t_413"/>
      <sheetName val="_t3_13"/>
      <sheetName val="_TH33113"/>
      <sheetName val="_Minh_ha13"/>
      <sheetName val="_Ha_Tay13"/>
      <sheetName val="_Vinhphuc13"/>
      <sheetName val="_Nbinh13"/>
      <sheetName val="_QVinh13"/>
      <sheetName val="_TW113"/>
      <sheetName val="T_so_thay_doi13"/>
      <sheetName val="b_THchitietDZCT13"/>
      <sheetName val="b_THchitietTBA13"/>
      <sheetName val="Khao_sat13"/>
      <sheetName val="TT_khao_sat13"/>
      <sheetName val="Kluong_phu13"/>
      <sheetName val="Lan_can13"/>
      <sheetName val="Ho_lan13"/>
      <sheetName val="Coc_tieu13"/>
      <sheetName val="Bien_bao13"/>
      <sheetName val="Op_mai_27413"/>
      <sheetName val="Op_mai_27513"/>
      <sheetName val="Op_mai_27613"/>
      <sheetName val="Op_mai_27713"/>
      <sheetName val="Op_mai_27813"/>
      <sheetName val="Op_mai_27913"/>
      <sheetName val="Op_mai_28013"/>
      <sheetName val="Op_mai_28113"/>
      <sheetName val="Op_mai_28213"/>
      <sheetName val="Op_mai_28313"/>
      <sheetName val="Op_mai_28413"/>
      <sheetName val="Op_mai13"/>
      <sheetName val="Km274_-_Km27513"/>
      <sheetName val="Km275_-_Km27613"/>
      <sheetName val="Km276_-_Km27713"/>
      <sheetName val="Km277_-_Km278_13"/>
      <sheetName val="Km278_-_Km27913"/>
      <sheetName val="Km279_-_Km28013"/>
      <sheetName val="Km280_-_Km28113"/>
      <sheetName val="Km281_-_Km28213"/>
      <sheetName val="Km282_-_Km28313"/>
      <sheetName val="Km283_-_Km28413"/>
      <sheetName val="Km284_-_Km28513"/>
      <sheetName val="Tong_hop_Matduong13"/>
      <sheetName val="Cong_D7513"/>
      <sheetName val="Cong_D10013"/>
      <sheetName val="Cong_D15013"/>
      <sheetName val="Cong_2D15013"/>
      <sheetName val="Cong_ban_0,7x0,713"/>
      <sheetName val="Cong_ban_0,8x0,813"/>
      <sheetName val="Cong_ban_1x113"/>
      <sheetName val="Cong_ban_1x1,213"/>
      <sheetName val="Cong_ban_1,5x1,513"/>
      <sheetName val="Cong_ban_2x1,513"/>
      <sheetName val="Cong_ban_2x213"/>
      <sheetName val="Tong_hop13"/>
      <sheetName val="Tong_hop_(2)13"/>
      <sheetName val="Cong_cu13"/>
      <sheetName val="Cot_thep13"/>
      <sheetName val="Cong_tron_D7513"/>
      <sheetName val="Cong_tron_D10013"/>
      <sheetName val="Cong_tron_D15013"/>
      <sheetName val="Cong_tron_2D15013"/>
      <sheetName val="Cong_ban_1,0x1,013"/>
      <sheetName val="Cong_ban_1,0x1,213"/>
      <sheetName val="Cong_hop_1,5x1,513"/>
      <sheetName val="Cong_hop_2,0x1,513"/>
      <sheetName val="Cong_hop_2,0x2,013"/>
      <sheetName val="CDSL_(2)13"/>
      <sheetName val="TK_11213"/>
      <sheetName val="TK_13113"/>
      <sheetName val="TK_14113"/>
      <sheetName val="TK_15313"/>
      <sheetName val="TK_21113"/>
      <sheetName val="TK_24213"/>
      <sheetName val="TK_33413"/>
      <sheetName val="TK_51113"/>
      <sheetName val="TK_51513"/>
      <sheetName val="TK_91113"/>
      <sheetName val="VtuHaTheSauTBABenThuy1_(2)13"/>
      <sheetName val="Song_trai13"/>
      <sheetName val="Dinh+ha_nha13"/>
      <sheetName val="NG_k13"/>
      <sheetName val="Trich_Ngang13"/>
      <sheetName val="Danh_sach_Rieng13"/>
      <sheetName val="Dia_Diem_Thuc_Tap13"/>
      <sheetName val="De_Tai_Thuc_Tap13"/>
      <sheetName val="thkl_(2)13"/>
      <sheetName val="long_tec13"/>
      <sheetName val="KQKD02-2_(2)13"/>
      <sheetName val="KQKD-2_(2)13"/>
      <sheetName val="KQKD_thu200413"/>
      <sheetName val="T_K_H_T_T513"/>
      <sheetName val="T_K_T713"/>
      <sheetName val="TK_T613"/>
      <sheetName val="T_K_T513"/>
      <sheetName val="Bang_thong_ke_hang_ton13"/>
      <sheetName val="thong_ke_13"/>
      <sheetName val="T_KT0413"/>
      <sheetName val="Coc_613"/>
      <sheetName val="Deo_nai13"/>
      <sheetName val="CKD_than13"/>
      <sheetName val="CTT_Thong_nhat13"/>
      <sheetName val="CTT_Nui_beo13"/>
      <sheetName val="CTT_cao_son13"/>
      <sheetName val="CTT_Khe_cham13"/>
      <sheetName val="XNxlva_sxthanKCII13"/>
      <sheetName val="Cam_Y_ut_KC13"/>
      <sheetName val="CTxay_lap_mo_CP13"/>
      <sheetName val="CTdo_luong_GDSP13"/>
      <sheetName val="Dong_bac13"/>
      <sheetName val="Cac_cang_UT_mua_than_Dong_bac13"/>
      <sheetName val="cua_hang_vtu13"/>
      <sheetName val="Khach_hang_le_13"/>
      <sheetName val="nhat_ky_513"/>
      <sheetName val="cac_cong_ty_van_tai13"/>
      <sheetName val="K249_K9813"/>
      <sheetName val="K249_K98_(2)13"/>
      <sheetName val="K251_K9813"/>
      <sheetName val="K251_SBase13"/>
      <sheetName val="K251_AC13"/>
      <sheetName val="K252_K9813"/>
      <sheetName val="K252_SBase13"/>
      <sheetName val="K252_AC13"/>
      <sheetName val="K253_K9813"/>
      <sheetName val="K253_Subbase13"/>
      <sheetName val="K253_Base_13"/>
      <sheetName val="K253_SBase13"/>
      <sheetName val="K253_AC13"/>
      <sheetName val="K255_SBase13"/>
      <sheetName val="K259_K9813"/>
      <sheetName val="K259_Subbase13"/>
      <sheetName val="K259_Base_13"/>
      <sheetName val="K259_AC13"/>
      <sheetName val="K260_K9813"/>
      <sheetName val="K260_Subbase13"/>
      <sheetName val="K260_Base13"/>
      <sheetName val="K260_AC13"/>
      <sheetName val="K261_K9813"/>
      <sheetName val="K261_Base13"/>
      <sheetName val="K261_AC13"/>
      <sheetName val="F_ThanhTri13"/>
      <sheetName val="F_Gialam13"/>
      <sheetName val="TH_dam13"/>
      <sheetName val="SX_dam13"/>
      <sheetName val="LD_dam13"/>
      <sheetName val="Bang_gia_VL13"/>
      <sheetName val="Gia_NC13"/>
      <sheetName val="Gia_may13"/>
      <sheetName val="phan_tich_DG13"/>
      <sheetName val="gia_vat_lieu13"/>
      <sheetName val="gia_xe_may13"/>
      <sheetName val="gia_nhan_cong13"/>
      <sheetName val="SCT_Cong_trinh13"/>
      <sheetName val="06-2003_(2)13"/>
      <sheetName val="CDPS_6tc13"/>
      <sheetName val="SCT_Nha_thau13"/>
      <sheetName val="socai2003_(6tc)dp13"/>
      <sheetName val="socai2003_(6tc)13"/>
      <sheetName val="CDPS_6tc_(2)13"/>
      <sheetName val="Dancau-Q_Ninh13"/>
      <sheetName val="BaTrieu-L_son13"/>
      <sheetName val="Don_gia_CPM13"/>
      <sheetName val="Tong_Thieu_HD_cac_CT-200113"/>
      <sheetName val="VL_thieu_HD_-_200113"/>
      <sheetName val="Tong_thieu_HD_cac_CT_-_200213"/>
      <sheetName val="Lan_trai13"/>
      <sheetName val="Van_chuyen13"/>
      <sheetName val="HDong_VC13"/>
      <sheetName val="ThieuHD_nam_200113"/>
      <sheetName val="Bang_TH13"/>
      <sheetName val="Tong_Chinh13"/>
      <sheetName val="Xaylap_13"/>
      <sheetName val="Nhan_cong13"/>
      <sheetName val="giai_thich13"/>
      <sheetName val="DT_-_Ro13"/>
      <sheetName val="TH_-_Ro_13"/>
      <sheetName val="GDT_-_Ro13"/>
      <sheetName val="DT_-_TB13"/>
      <sheetName val="TH_-_TB13"/>
      <sheetName val="GDT_-_TB13"/>
      <sheetName val="DT_-_NT13"/>
      <sheetName val="TH_-_NT13"/>
      <sheetName val="GDT_-_NT13"/>
      <sheetName val="CV_di_trong__dong13"/>
      <sheetName val="Nhap_lieu13"/>
      <sheetName val="Tien_dien12"/>
      <sheetName val="Thue_GTGT12"/>
      <sheetName val="BC_TH_CK_(2)13"/>
      <sheetName val="BC_TH_CK13"/>
      <sheetName val="BC6tT19_food13"/>
      <sheetName val="BC6tT18_-_Food13"/>
      <sheetName val="BCCK_413"/>
      <sheetName val="BCFood-_T1613"/>
      <sheetName val="BCFood-_T1513"/>
      <sheetName val="BCFood-_T1413"/>
      <sheetName val="BCFood-_T1313"/>
      <sheetName val="TH_CK213"/>
      <sheetName val="BC6tT52_(3)13"/>
      <sheetName val="BC6tT52_(2)13"/>
      <sheetName val="TCK_1213"/>
      <sheetName val="Tong_CK13"/>
      <sheetName val="DOANH_SO13"/>
      <sheetName val="BD-SINH_VIEN13"/>
      <sheetName val="T03_-_0313"/>
      <sheetName val="THL_T0313"/>
      <sheetName val="TTBC_T0313"/>
      <sheetName val="Luong_noi_Bo_-_T313"/>
      <sheetName val="Tong_hop_-_T313"/>
      <sheetName val="Thuong_Quy_313"/>
      <sheetName val="Phu_cap_trach_nhiem13"/>
      <sheetName val="Tay_ninh13"/>
      <sheetName val="A_Duc13"/>
      <sheetName val="[IBASE2_XLSѝTNHNoi13"/>
      <sheetName val="So_sanh13"/>
      <sheetName val="HHVt_13"/>
      <sheetName val="bcth_05-0412"/>
      <sheetName val="baocao_05-0412"/>
      <sheetName val="ql_(2)12"/>
      <sheetName val="TH_du_toan_13"/>
      <sheetName val="Du_toan_13"/>
      <sheetName val="C_Tinh13"/>
      <sheetName val="Co~g_hop_1,5x1,513"/>
      <sheetName val="_KQTH_quy_hoach_13512"/>
      <sheetName val="Bao_cao_KQTH_quy_hoach_13512"/>
      <sheetName val="Co_quan_TCT13"/>
      <sheetName val="BOT_(PA_chon)13"/>
      <sheetName val="Yaly_&amp;_Ri_Ninh13"/>
      <sheetName val="Thuy_dien_Na_Loi13"/>
      <sheetName val="bang_so_sanh_tong_hop13"/>
      <sheetName val="bang_so_sanh_tong_hop_(ty_le)13"/>
      <sheetName val="thu_nhap_binh_quan_(2)13"/>
      <sheetName val="dang_huong13"/>
      <sheetName val="phuong_an_113"/>
      <sheetName val="phuong_an_1_(2)13"/>
      <sheetName val="phuong_an213"/>
      <sheetName val="tong_hop_BQ13"/>
      <sheetName val="tong_hop_BQ-113"/>
      <sheetName val="phuong_an_chon13"/>
      <sheetName val="tô_rôiDY12"/>
      <sheetName val="Heso_3-2004_(3)12"/>
      <sheetName val="Luong_(2)12"/>
      <sheetName val="heso_T312"/>
      <sheetName val="heso_T412"/>
      <sheetName val="heso_T512"/>
      <sheetName val="Heso_T612"/>
      <sheetName val="Heso_T712"/>
      <sheetName val="Heso_T812"/>
      <sheetName val="Heso_T912"/>
      <sheetName val="Heso_2-200412"/>
      <sheetName val="Heso_3-200412"/>
      <sheetName val="Heso_3-2004_(2)12"/>
      <sheetName val="nhan_su12"/>
      <sheetName val="luong_cty12"/>
      <sheetName val="Thang_412"/>
      <sheetName val="Luu_goc12"/>
      <sheetName val="km22+93_86-km22+121_8612"/>
      <sheetName val="km22+177_14-km22+205_6412"/>
      <sheetName val="Bang_20-2512"/>
      <sheetName val="km22+267_96-km22+283_9612"/>
      <sheetName val="km22+304_31-km22+344_3112"/>
      <sheetName val="km22+460_92-km22+614_5712"/>
      <sheetName val="km22+671_78-km22+713_3212"/>
      <sheetName val="_tuanM12"/>
      <sheetName val="CT_0312"/>
      <sheetName val="TH_0312"/>
      <sheetName val="bang_so_sanh_tong_hop_(_PA_ch12"/>
      <sheetName val="dang_ap_dung12"/>
      <sheetName val="bang_tong_hop_(dang_huong)12"/>
      <sheetName val="Dinh_ha_nha12"/>
      <sheetName val="[IBASE2_XLS}BHXH12"/>
      <sheetName val="[IBASE2_XLS䁝BC6tT1712"/>
      <sheetName val="THT_nam_0412"/>
      <sheetName val="HD_CTrinh112"/>
      <sheetName val="HD_benA12"/>
      <sheetName val="Theodoi_HD12"/>
      <sheetName val="Theodoi_HD_(2)12"/>
      <sheetName val="_GT_CPhi_tung_dot12"/>
      <sheetName val="chuong_phu12"/>
      <sheetName val="[IBASE2_XLS_Tong_hop_Matduong12"/>
      <sheetName val="THU_T1212"/>
      <sheetName val="CHI_T1212"/>
      <sheetName val="THU_T1112"/>
      <sheetName val="CHI_T1112"/>
      <sheetName val="THU_T1012"/>
      <sheetName val="CHI_T1012"/>
      <sheetName val="THU_T912"/>
      <sheetName val="CHI_T912"/>
      <sheetName val="THU_T812"/>
      <sheetName val="CHI_T812"/>
      <sheetName val="chi_phi_cap_tien12"/>
      <sheetName val="BC§_200112"/>
      <sheetName val="BBC§_200212"/>
      <sheetName val="TSC§_200112"/>
      <sheetName val="TSc®_200212"/>
      <sheetName val="BaTrieu-L_con12"/>
      <sheetName val="EDT_-_Ro12"/>
      <sheetName val="KHVô_XL12"/>
      <sheetName val="TD_khao_sat12"/>
      <sheetName val="THANG7_12"/>
      <sheetName val="THANG_1112"/>
      <sheetName val="THANG_1212"/>
      <sheetName val="phuong_aL_112"/>
      <sheetName val="Khac_DP12"/>
      <sheetName val="Khoi_than_12"/>
      <sheetName val="TK__TK12"/>
      <sheetName val="Bang_can_doi_12"/>
      <sheetName val="De_Tai_Vhuc_Tap12"/>
      <sheetName val="02_112"/>
      <sheetName val="2_112"/>
      <sheetName val="2_312"/>
      <sheetName val="02_312"/>
      <sheetName val="B_0112"/>
      <sheetName val="B_0312"/>
      <sheetName val="D_1312"/>
      <sheetName val="[IBASE2_XLS?TNHNoi12"/>
      <sheetName val="Tinh_hinh_cat_lang12"/>
      <sheetName val="Tinh_hinh_SX_phu12"/>
      <sheetName val="Tinh_hinh_do_xop12"/>
      <sheetName val="Cong_hop_2,0ࡸ2,011"/>
      <sheetName val="Sat_tron11"/>
      <sheetName val="(9_30)_IP11"/>
      <sheetName val="Cong_tron_D7'11"/>
      <sheetName val="2_7411"/>
      <sheetName val="CN-QV_FG11"/>
      <sheetName val="CN-QV_RM11"/>
      <sheetName val="PHAV_R_M11"/>
      <sheetName val="PHAV_F_G11"/>
      <sheetName val="TOA_R_M11"/>
      <sheetName val="TOA_F_G11"/>
      <sheetName val="CVN_R_M11"/>
      <sheetName val="CVN_F_G11"/>
      <sheetName val="DENSO_R_M11"/>
      <sheetName val="DENSO_F_G11"/>
      <sheetName val="SATO_RM11"/>
      <sheetName val="SATO_F_G11"/>
      <sheetName val="Up_to_20029"/>
      <sheetName val="det_VP10"/>
      <sheetName val="det_hn10"/>
      <sheetName val="chi_Hieu10"/>
      <sheetName val="c_thoa10"/>
      <sheetName val="A_thanh_-_DL10"/>
      <sheetName val="A_Tuyen10"/>
      <sheetName val="A_Tien_-laphu10"/>
      <sheetName val="A_Thang-_laphu10"/>
      <sheetName val="A_Dong10"/>
      <sheetName val="27-7_NB10"/>
      <sheetName val="xn_510"/>
      <sheetName val="PKD_X2010"/>
      <sheetName val="da_giay_SG10"/>
      <sheetName val="dagiay_XK10"/>
      <sheetName val="DK_Dong_xuan10"/>
      <sheetName val="chu_Ton10"/>
      <sheetName val="minh_tri10"/>
      <sheetName val="viet_huy10"/>
      <sheetName val="thanh_ha10"/>
      <sheetName val="O_Su10"/>
      <sheetName val="A_Ha-DL10"/>
      <sheetName val="Vinh_oanh10"/>
      <sheetName val="chi_Thuy10"/>
      <sheetName val="chu_Hong10"/>
      <sheetName val="thuy-_may10"/>
      <sheetName val="vu_yen10"/>
      <sheetName val="OPERATING_HEAD10"/>
      <sheetName val="31_12_0110"/>
      <sheetName val="Tong_hop_xuat_kho_nvl10"/>
      <sheetName val="Xuat_kho10"/>
      <sheetName val="Tong_hop_so_lieu_tai_nhap_kho10"/>
      <sheetName val="tai_nhap_kho10"/>
      <sheetName val="Nhap_kho10"/>
      <sheetName val="Tong_ket_nhap_kho10"/>
      <sheetName val="Tong_ket10"/>
      <sheetName val="cac_ma_can_huy10"/>
      <sheetName val="Hang_hong10"/>
      <sheetName val="Tham_khao10"/>
      <sheetName val="hang_khong_co_packing10"/>
      <sheetName val="VtuHaTheSauTBABenThuy1_Ш2)10"/>
      <sheetName val="K252_K9и10"/>
      <sheetName val="nphuocb_410"/>
      <sheetName val="bcth_05-010"/>
      <sheetName val="ESTI_11"/>
      <sheetName val="THU_T710"/>
      <sheetName val="CHI_T710"/>
      <sheetName val="THU_T610"/>
      <sheetName val="CHI_T610"/>
      <sheetName val="THU_T510"/>
      <sheetName val="CHI_T510"/>
      <sheetName val="THU_T410"/>
      <sheetName val="CHI_T410"/>
      <sheetName val="THU_T310"/>
      <sheetName val="CHI_T310"/>
      <sheetName val="THU_T210"/>
      <sheetName val="CHI_T210"/>
      <sheetName val="THU_T130"/>
      <sheetName val="CHI_T130"/>
      <sheetName val="TB_Grouping10"/>
      <sheetName val="Balance_Sheet10"/>
      <sheetName val="CHITIET_VL-NC10"/>
      <sheetName val="DON_GIA10"/>
      <sheetName val="So_lieu10"/>
      <sheetName val="tt_chu_dong10"/>
      <sheetName val="Tinh_j+cvi10"/>
      <sheetName val="Tinh_MoP10"/>
      <sheetName val="giai_he_210"/>
      <sheetName val="ct_luong_10"/>
      <sheetName val="Nhap_6T10"/>
      <sheetName val="Ranking_data10"/>
      <sheetName val="GDMN_110"/>
      <sheetName val="May_khau10"/>
      <sheetName val="PXKT6Via_1110"/>
      <sheetName val="PXKTLo_Thien_V_14A10"/>
      <sheetName val="V14_phu10"/>
      <sheetName val="Via_16_Lthien10"/>
      <sheetName val="mc_2006_&amp;_099"/>
      <sheetName val="mc_2006_&amp;_57_&amp;_099"/>
      <sheetName val="dongia_(2)9"/>
      <sheetName val="THPDMoi__(2)9"/>
      <sheetName val="t-h_HA_THE9"/>
      <sheetName val="CHITIET_VL-NC-TT_-1p9"/>
      <sheetName val="TONG_HOP_VL-NC_TT9"/>
      <sheetName val="TH_XL9"/>
      <sheetName val="TONGKE3p_9"/>
      <sheetName val="CHITIET_VL-NC-TT-3p9"/>
      <sheetName val="KPVC-BD_9"/>
      <sheetName val="Master_schedule9"/>
      <sheetName val="GDMN_29"/>
      <sheetName val="GDMN_39"/>
      <sheetName val="GDMN_49"/>
      <sheetName val="GDMN_59"/>
      <sheetName val="GDTH_19"/>
      <sheetName val="GDTH_29"/>
      <sheetName val="GDTH_39"/>
      <sheetName val="GDTH_49"/>
      <sheetName val="GDTH_59"/>
      <sheetName val="THCS_19"/>
      <sheetName val="THCS_29"/>
      <sheetName val="THCS_39"/>
      <sheetName val="THCS_49"/>
      <sheetName val="THCS_59"/>
      <sheetName val="THCS_69"/>
      <sheetName val="THPT_19"/>
      <sheetName val="THPT_29"/>
      <sheetName val="THPT_39"/>
      <sheetName val="THPT_49"/>
      <sheetName val="THPT_59"/>
      <sheetName val="THPT_69"/>
      <sheetName val="DH,CD,THCN_19"/>
      <sheetName val="DH,CD,THCN_29"/>
      <sheetName val="DH,CD,THCN_39"/>
      <sheetName val="GDKCQ_19"/>
      <sheetName val="GDKCQ_29"/>
      <sheetName val="_IBASE2_XLSѝTNHNoi10"/>
      <sheetName val="_IBASE2_XLS䁝BC6tT179"/>
      <sheetName val="_IBASE2_XLS}BHXH9"/>
      <sheetName val="_IBASE2_XLS_Tong_hop_Matduong9"/>
      <sheetName val="BTHDT_TBA_9"/>
      <sheetName val="DS_tong9"/>
      <sheetName val="CDSM_(2)9"/>
      <sheetName val="Cost_Center_9"/>
      <sheetName val="Part_data9"/>
      <sheetName val="Vender_Data9"/>
      <sheetName val="lapdap_TB_9"/>
      <sheetName val="Tonf_hop9"/>
      <sheetName val="Ｍss_４Ｒ要員9"/>
      <sheetName val="Du_lieu10"/>
      <sheetName val="IMP_TAX9"/>
      <sheetName val="Dinh_muc_chuan9"/>
      <sheetName val="TH_du_toanð9"/>
      <sheetName val="TH_du_toan 9"/>
      <sheetName val="DS_Protecter9"/>
      <sheetName val="Klukng_phu9"/>
      <sheetName val="Handle Set"/>
      <sheetName val="CVden_ngoai_TCT_(1)14"/>
      <sheetName val="CV_den_ngoai_TCT_(2)14"/>
      <sheetName val="CV_den_ngoai_TCT_(3)14"/>
      <sheetName val="QDcua_TGD14"/>
      <sheetName val="QD_cua_HDQT14"/>
      <sheetName val="QD_cua_HDQT_(2)14"/>
      <sheetName val="CV_di_ngoai_tong14"/>
      <sheetName val="CV_di_ngoai_tong_(2)14"/>
      <sheetName val="To_trinh14"/>
      <sheetName val="Giao_nhiem_vu14"/>
      <sheetName val="QDcua_TGD_(2)14"/>
      <sheetName val="Thong_tu14"/>
      <sheetName val="CV_di_trong__tong14"/>
      <sheetName val="nghi_dinh-CP14"/>
      <sheetName val="CV_den_trong_tong14"/>
      <sheetName val="GIA_NUOC14"/>
      <sheetName val="GIA_DIEN_THOAI14"/>
      <sheetName val="GIA_DIEN14"/>
      <sheetName val="chiet_tinh_XD14"/>
      <sheetName val="Triet_T14"/>
      <sheetName val="Phan_tich_gia14"/>
      <sheetName val="pHAN_CONG14"/>
      <sheetName val="GIA_XD14"/>
      <sheetName val="lapdat_TB_14"/>
      <sheetName val="TNghiªm_TB_14"/>
      <sheetName val="VËt_liÖu14"/>
      <sheetName val="Lap_®at_®iÖn14"/>
      <sheetName val="TNghiÖm_VL14"/>
      <sheetName val="th_14"/>
      <sheetName val="tien_luong14"/>
      <sheetName val="KHVt_14"/>
      <sheetName val="KHVt_XL14"/>
      <sheetName val="KHVt_XLT414"/>
      <sheetName val="Thep_be14"/>
      <sheetName val="Thep_than14"/>
      <sheetName val="Thep_xa_mu14"/>
      <sheetName val="142201-T1_14"/>
      <sheetName val="142201-T2-th_14"/>
      <sheetName val="142201-T3-th_14"/>
      <sheetName val="142201-T4-th__14"/>
      <sheetName val="_t514"/>
      <sheetName val="t_414"/>
      <sheetName val="_t3_14"/>
      <sheetName val="_TH33114"/>
      <sheetName val="_Minh_ha14"/>
      <sheetName val="_Ha_Tay14"/>
      <sheetName val="_Vinhphuc14"/>
      <sheetName val="_Nbinh14"/>
      <sheetName val="_QVinh14"/>
      <sheetName val="_TW114"/>
      <sheetName val="T_so_thay_doi14"/>
      <sheetName val="b_THchitietDZCT14"/>
      <sheetName val="b_THchitietTBA14"/>
      <sheetName val="Khao_sat14"/>
      <sheetName val="TT_khao_sat14"/>
      <sheetName val="Kluong_phu14"/>
      <sheetName val="Lan_can14"/>
      <sheetName val="Ho_lan14"/>
      <sheetName val="Coc_tieu14"/>
      <sheetName val="Bien_bao14"/>
      <sheetName val="Op_mai_27414"/>
      <sheetName val="Op_mai_27514"/>
      <sheetName val="Op_mai_27614"/>
      <sheetName val="Op_mai_27714"/>
      <sheetName val="Op_mai_27814"/>
      <sheetName val="Op_mai_27914"/>
      <sheetName val="Op_mai_28014"/>
      <sheetName val="Op_mai_28114"/>
      <sheetName val="Op_mai_28214"/>
      <sheetName val="Op_mai_28314"/>
      <sheetName val="Op_mai_28414"/>
      <sheetName val="Op_mai14"/>
      <sheetName val="Km274_-_Km27514"/>
      <sheetName val="Km275_-_Km27614"/>
      <sheetName val="Km276_-_Km27714"/>
      <sheetName val="Km277_-_Km278_14"/>
      <sheetName val="Km278_-_Km27914"/>
      <sheetName val="Km279_-_Km28014"/>
      <sheetName val="Km280_-_Km28114"/>
      <sheetName val="Km281_-_Km28214"/>
      <sheetName val="Km282_-_Km28314"/>
      <sheetName val="Km283_-_Km28414"/>
      <sheetName val="Km284_-_Km28514"/>
      <sheetName val="Tong_hop_Matduong14"/>
      <sheetName val="Cong_D7514"/>
      <sheetName val="Cong_D10014"/>
      <sheetName val="Cong_D15014"/>
      <sheetName val="Cong_2D15014"/>
      <sheetName val="Cong_ban_0,7x0,714"/>
      <sheetName val="Cong_ban_0,8x0,814"/>
      <sheetName val="Cong_ban_1x114"/>
      <sheetName val="Cong_ban_1x1,214"/>
      <sheetName val="Cong_ban_1,5x1,514"/>
      <sheetName val="Cong_ban_2x1,514"/>
      <sheetName val="Cong_ban_2x214"/>
      <sheetName val="Tong_hop14"/>
      <sheetName val="Tong_hop_(2)14"/>
      <sheetName val="Cong_cu14"/>
      <sheetName val="Cot_thep14"/>
      <sheetName val="Cong_tron_D7514"/>
      <sheetName val="Cong_tron_D10014"/>
      <sheetName val="Cong_tron_D15014"/>
      <sheetName val="Cong_tron_2D15014"/>
      <sheetName val="Cong_ban_1,0x1,014"/>
      <sheetName val="Cong_ban_1,0x1,214"/>
      <sheetName val="Cong_hop_1,5x1,514"/>
      <sheetName val="Cong_hop_2,0x1,514"/>
      <sheetName val="Cong_hop_2,0x2,014"/>
      <sheetName val="CDSL_(2)14"/>
      <sheetName val="TK_11214"/>
      <sheetName val="TK_13114"/>
      <sheetName val="TK_14114"/>
      <sheetName val="TK_15314"/>
      <sheetName val="TK_21114"/>
      <sheetName val="TK_24214"/>
      <sheetName val="TK_33414"/>
      <sheetName val="TK_51114"/>
      <sheetName val="TK_51514"/>
      <sheetName val="TK_91114"/>
      <sheetName val="VtuHaTheSauTBABenThuy1_(2)14"/>
      <sheetName val="Song_trai14"/>
      <sheetName val="Dinh+ha_nha14"/>
      <sheetName val="NG_k14"/>
      <sheetName val="Trich_Ngang14"/>
      <sheetName val="Danh_sach_Rieng14"/>
      <sheetName val="Dia_Diem_Thuc_Tap14"/>
      <sheetName val="De_Tai_Thuc_Tap14"/>
      <sheetName val="thkl_(2)14"/>
      <sheetName val="long_tec14"/>
      <sheetName val="KQKD02-2_(2)14"/>
      <sheetName val="KQKD-2_(2)14"/>
      <sheetName val="KQKD_thu200414"/>
      <sheetName val="T_K_H_T_T514"/>
      <sheetName val="T_K_T714"/>
      <sheetName val="TK_T614"/>
      <sheetName val="T_K_T514"/>
      <sheetName val="Bang_thong_ke_hang_ton14"/>
      <sheetName val="thong_ke_14"/>
      <sheetName val="T_KT0414"/>
      <sheetName val="Coc_614"/>
      <sheetName val="Deo_nai14"/>
      <sheetName val="CKD_than14"/>
      <sheetName val="CTT_Thong_nhat14"/>
      <sheetName val="CTT_Nui_beo14"/>
      <sheetName val="CTT_cao_son14"/>
      <sheetName val="CTT_Khe_cham14"/>
      <sheetName val="XNxlva_sxthanKCII14"/>
      <sheetName val="Cam_Y_ut_KC14"/>
      <sheetName val="CTxay_lap_mo_CP14"/>
      <sheetName val="CTdo_luong_GDSP14"/>
      <sheetName val="Dong_bac14"/>
      <sheetName val="Cac_cang_UT_mua_than_Dong_bac14"/>
      <sheetName val="cua_hang_vtu14"/>
      <sheetName val="Khach_hang_le_14"/>
      <sheetName val="nhat_ky_514"/>
      <sheetName val="cac_cong_ty_van_tai14"/>
      <sheetName val="K249_K9814"/>
      <sheetName val="K249_K98_(2)14"/>
      <sheetName val="K251_K9814"/>
      <sheetName val="K251_SBase14"/>
      <sheetName val="K251_AC14"/>
      <sheetName val="K252_K9814"/>
      <sheetName val="K252_SBase14"/>
      <sheetName val="K252_AC14"/>
      <sheetName val="K253_K9814"/>
      <sheetName val="K253_Subbase14"/>
      <sheetName val="K253_Base_14"/>
      <sheetName val="K253_SBase14"/>
      <sheetName val="K253_AC14"/>
      <sheetName val="K255_SBase14"/>
      <sheetName val="K259_K9814"/>
      <sheetName val="K259_Subbase14"/>
      <sheetName val="K259_Base_14"/>
      <sheetName val="K259_AC14"/>
      <sheetName val="K260_K9814"/>
      <sheetName val="K260_Subbase14"/>
      <sheetName val="K260_Base14"/>
      <sheetName val="K260_AC14"/>
      <sheetName val="K261_K9814"/>
      <sheetName val="K261_Base14"/>
      <sheetName val="K261_AC14"/>
      <sheetName val="F_ThanhTri14"/>
      <sheetName val="F_Gialam14"/>
      <sheetName val="TH_dam14"/>
      <sheetName val="SX_dam14"/>
      <sheetName val="LD_dam14"/>
      <sheetName val="Bang_gia_VL14"/>
      <sheetName val="Gia_NC14"/>
      <sheetName val="Gia_may14"/>
      <sheetName val="phan_tich_DG14"/>
      <sheetName val="gia_vat_lieu14"/>
      <sheetName val="gia_xe_may14"/>
      <sheetName val="gia_nhan_cong14"/>
      <sheetName val="SCT_Cong_trinh14"/>
      <sheetName val="06-2003_(2)14"/>
      <sheetName val="CDPS_6tc14"/>
      <sheetName val="SCT_Nha_thau14"/>
      <sheetName val="socai2003_(6tc)dp14"/>
      <sheetName val="socai2003_(6tc)14"/>
      <sheetName val="CDPS_6tc_(2)14"/>
      <sheetName val="Dancau-Q_Ninh14"/>
      <sheetName val="BaTrieu-L_son14"/>
      <sheetName val="Don_gia_CPM14"/>
      <sheetName val="Tong_Thieu_HD_cac_CT-200114"/>
      <sheetName val="VL_thieu_HD_-_200114"/>
      <sheetName val="Tong_thieu_HD_cac_CT_-_200214"/>
      <sheetName val="Lan_trai14"/>
      <sheetName val="Van_chuyen14"/>
      <sheetName val="HDong_VC14"/>
      <sheetName val="ThieuHD_nam_200114"/>
      <sheetName val="Bang_TH14"/>
      <sheetName val="Tong_Chinh14"/>
      <sheetName val="Xaylap_14"/>
      <sheetName val="Nhan_cong14"/>
      <sheetName val="giai_thich14"/>
      <sheetName val="DT_-_Ro14"/>
      <sheetName val="TH_-_Ro_14"/>
      <sheetName val="GDT_-_Ro14"/>
      <sheetName val="DT_-_TB14"/>
      <sheetName val="TH_-_TB14"/>
      <sheetName val="GDT_-_TB14"/>
      <sheetName val="DT_-_NT14"/>
      <sheetName val="TH_-_NT14"/>
      <sheetName val="GDT_-_NT14"/>
      <sheetName val="CV_di_trong__dong14"/>
      <sheetName val="Nhap_lieu14"/>
      <sheetName val="Tien_dien13"/>
      <sheetName val="Thue_GTGT13"/>
      <sheetName val="BC_TH_CK_(2)14"/>
      <sheetName val="BC_TH_CK14"/>
      <sheetName val="BC6tT19_food14"/>
      <sheetName val="BC6tT18_-_Food14"/>
      <sheetName val="BCCK_414"/>
      <sheetName val="BCFood-_T1614"/>
      <sheetName val="BCFood-_T1514"/>
      <sheetName val="BCFood-_T1414"/>
      <sheetName val="BCFood-_T1314"/>
      <sheetName val="TH_CK214"/>
      <sheetName val="BC6tT52_(3)14"/>
      <sheetName val="BC6tT52_(2)14"/>
      <sheetName val="TCK_1214"/>
      <sheetName val="Tong_CK14"/>
      <sheetName val="DOANH_SO14"/>
      <sheetName val="BD-SINH_VIEN14"/>
      <sheetName val="T03_-_0314"/>
      <sheetName val="THL_T0314"/>
      <sheetName val="TTBC_T0314"/>
      <sheetName val="Luong_noi_Bo_-_T314"/>
      <sheetName val="Tong_hop_-_T314"/>
      <sheetName val="Thuong_Quy_314"/>
      <sheetName val="Phu_cap_trach_nhiem14"/>
      <sheetName val="Tay_ninh14"/>
      <sheetName val="A_Duc14"/>
      <sheetName val="[IBASE2_XLSѝTNHNoi14"/>
      <sheetName val="So_sanh14"/>
      <sheetName val="HHVt_14"/>
      <sheetName val="bcth_05-0413"/>
      <sheetName val="baocao_05-0413"/>
      <sheetName val="ql_(2)13"/>
      <sheetName val="TH_du_toan_14"/>
      <sheetName val="Du_toan_14"/>
      <sheetName val="C_Tinh14"/>
      <sheetName val="Co~g_hop_1,5x1,514"/>
      <sheetName val="_KQTH_quy_hoach_13513"/>
      <sheetName val="Bao_cao_KQTH_quy_hoach_13513"/>
      <sheetName val="Co_quan_TCT14"/>
      <sheetName val="BOT_(PA_chon)14"/>
      <sheetName val="Yaly_&amp;_Ri_Ninh14"/>
      <sheetName val="Thuy_dien_Na_Loi14"/>
      <sheetName val="bang_so_sanh_tong_hop14"/>
      <sheetName val="bang_so_sanh_tong_hop_(ty_le)14"/>
      <sheetName val="thu_nhap_binh_quan_(2)14"/>
      <sheetName val="dang_huong14"/>
      <sheetName val="phuong_an_114"/>
      <sheetName val="phuong_an_1_(2)14"/>
      <sheetName val="phuong_an214"/>
      <sheetName val="tong_hop_BQ14"/>
      <sheetName val="tong_hop_BQ-114"/>
      <sheetName val="phuong_an_chon14"/>
      <sheetName val="tô_rôiDY13"/>
      <sheetName val="Heso_3-2004_(3)13"/>
      <sheetName val="Luong_(2)13"/>
      <sheetName val="heso_T313"/>
      <sheetName val="heso_T413"/>
      <sheetName val="heso_T513"/>
      <sheetName val="Heso_T613"/>
      <sheetName val="Heso_T713"/>
      <sheetName val="Heso_T813"/>
      <sheetName val="Heso_T913"/>
      <sheetName val="Heso_2-200413"/>
      <sheetName val="Heso_3-200413"/>
      <sheetName val="Heso_3-2004_(2)13"/>
      <sheetName val="nhan_su13"/>
      <sheetName val="luong_cty13"/>
      <sheetName val="Thang_413"/>
      <sheetName val="Luu_goc13"/>
      <sheetName val="km22+93_86-km22+121_8613"/>
      <sheetName val="km22+177_14-km22+205_6413"/>
      <sheetName val="Bang_20-2513"/>
      <sheetName val="km22+267_96-km22+283_9613"/>
      <sheetName val="km22+304_31-km22+344_3113"/>
      <sheetName val="km22+460_92-km22+614_5713"/>
      <sheetName val="km22+671_78-km22+713_3213"/>
      <sheetName val="_tuanM13"/>
      <sheetName val="CT_0313"/>
      <sheetName val="TH_0313"/>
      <sheetName val="bang_so_sanh_tong_hop_(_PA_ch13"/>
      <sheetName val="dang_ap_dung13"/>
      <sheetName val="bang_tong_hop_(dang_huong)13"/>
      <sheetName val="Dinh_ha_nha13"/>
      <sheetName val="[IBASE2_XLS}BHXH13"/>
      <sheetName val="[IBASE2_XLS䁝BC6tT1713"/>
      <sheetName val="THT_nam_0413"/>
      <sheetName val="HD_CTrinh113"/>
      <sheetName val="HD_benA13"/>
      <sheetName val="Theodoi_HD13"/>
      <sheetName val="Theodoi_HD_(2)13"/>
      <sheetName val="_GT_CPhi_tung_dot13"/>
      <sheetName val="chuong_phu13"/>
      <sheetName val="[IBASE2_XLS_Tong_hop_Matduong13"/>
      <sheetName val="THU_T1213"/>
      <sheetName val="CHI_T1213"/>
      <sheetName val="THU_T1113"/>
      <sheetName val="CHI_T1113"/>
      <sheetName val="THU_T1013"/>
      <sheetName val="CHI_T1013"/>
      <sheetName val="THU_T913"/>
      <sheetName val="CHI_T913"/>
      <sheetName val="THU_T813"/>
      <sheetName val="CHI_T813"/>
      <sheetName val="chi_phi_cap_tien13"/>
      <sheetName val="BC§_200113"/>
      <sheetName val="BBC§_200213"/>
      <sheetName val="TSC§_200113"/>
      <sheetName val="TSc®_200213"/>
      <sheetName val="BaTrieu-L_con13"/>
      <sheetName val="EDT_-_Ro13"/>
      <sheetName val="KHVô_XL13"/>
      <sheetName val="TD_khao_sat13"/>
      <sheetName val="THANG7_13"/>
      <sheetName val="THANG_1113"/>
      <sheetName val="THANG_1213"/>
      <sheetName val="phuong_aL_113"/>
      <sheetName val="Khac_DP13"/>
      <sheetName val="Khoi_than_13"/>
      <sheetName val="TK__TK13"/>
      <sheetName val="Bang_can_doi_13"/>
      <sheetName val="De_Tai_Vhuc_Tap13"/>
      <sheetName val="02_113"/>
      <sheetName val="2_113"/>
      <sheetName val="2_313"/>
      <sheetName val="02_313"/>
      <sheetName val="B_0113"/>
      <sheetName val="B_0313"/>
      <sheetName val="D_1313"/>
      <sheetName val="[IBASE2_XLS?TNHNoi13"/>
      <sheetName val="Tinh_hinh_cat_lang13"/>
      <sheetName val="Tinh_hinh_SX_phu13"/>
      <sheetName val="Tinh_hinh_do_xop13"/>
      <sheetName val="Cong_hop_2,0ࡸ2,012"/>
      <sheetName val="Sat_tron12"/>
      <sheetName val="(9_30)_IP12"/>
      <sheetName val="Cong_tron_D7'12"/>
      <sheetName val="2_7412"/>
      <sheetName val="CN-QV_FG12"/>
      <sheetName val="CN-QV_RM12"/>
      <sheetName val="PHAV_R_M12"/>
      <sheetName val="PHAV_F_G12"/>
      <sheetName val="TOA_R_M12"/>
      <sheetName val="TOA_F_G12"/>
      <sheetName val="CVN_R_M12"/>
      <sheetName val="CVN_F_G12"/>
      <sheetName val="DENSO_R_M12"/>
      <sheetName val="DENSO_F_G12"/>
      <sheetName val="SATO_RM12"/>
      <sheetName val="SATO_F_G12"/>
      <sheetName val="Up_to_200210"/>
      <sheetName val="det_VP11"/>
      <sheetName val="det_hn11"/>
      <sheetName val="chi_Hieu11"/>
      <sheetName val="c_thoa11"/>
      <sheetName val="A_thanh_-_DL11"/>
      <sheetName val="A_Tuyen11"/>
      <sheetName val="A_Tien_-laphu11"/>
      <sheetName val="A_Thang-_laphu11"/>
      <sheetName val="A_Dong11"/>
      <sheetName val="27-7_NB11"/>
      <sheetName val="xn_511"/>
      <sheetName val="PKD_X2011"/>
      <sheetName val="da_giay_SG11"/>
      <sheetName val="dagiay_XK11"/>
      <sheetName val="DK_Dong_xuan11"/>
      <sheetName val="chu_Ton11"/>
      <sheetName val="minh_tri11"/>
      <sheetName val="viet_huy11"/>
      <sheetName val="thanh_ha11"/>
      <sheetName val="O_Su11"/>
      <sheetName val="A_Ha-DL11"/>
      <sheetName val="Vinh_oanh11"/>
      <sheetName val="chi_Thuy11"/>
      <sheetName val="chu_Hong11"/>
      <sheetName val="thuy-_may11"/>
      <sheetName val="vu_yen11"/>
      <sheetName val="OPERATING_HEAD11"/>
      <sheetName val="31_12_0111"/>
      <sheetName val="Tong_hop_xuat_kho_nvl11"/>
      <sheetName val="Xuat_kho11"/>
      <sheetName val="Tong_hop_so_lieu_tai_nhap_kho11"/>
      <sheetName val="tai_nhap_kho11"/>
      <sheetName val="Nhap_kho11"/>
      <sheetName val="Tong_ket_nhap_kho11"/>
      <sheetName val="Tong_ket11"/>
      <sheetName val="cac_ma_can_huy11"/>
      <sheetName val="Hang_hong11"/>
      <sheetName val="Tham_khao11"/>
      <sheetName val="hang_khong_co_packing11"/>
      <sheetName val="VtuHaTheSauTBABenThuy1_Ш2)11"/>
      <sheetName val="K252_K9и11"/>
      <sheetName val="nphuocb_411"/>
      <sheetName val="bcth_05-011"/>
      <sheetName val="ESTI_12"/>
      <sheetName val="THU_T711"/>
      <sheetName val="CHI_T711"/>
      <sheetName val="THU_T611"/>
      <sheetName val="CHI_T611"/>
      <sheetName val="THU_T511"/>
      <sheetName val="CHI_T511"/>
      <sheetName val="THU_T411"/>
      <sheetName val="CHI_T411"/>
      <sheetName val="THU_T311"/>
      <sheetName val="CHI_T311"/>
      <sheetName val="THU_T211"/>
      <sheetName val="CHI_T211"/>
      <sheetName val="THU_T131"/>
      <sheetName val="CHI_T131"/>
      <sheetName val="TB_Grouping11"/>
      <sheetName val="Balance_Sheet11"/>
      <sheetName val="CHITIET_VL-NC11"/>
      <sheetName val="DON_GIA11"/>
      <sheetName val="So_lieu11"/>
      <sheetName val="tt_chu_dong11"/>
      <sheetName val="Tinh_j+cvi11"/>
      <sheetName val="Tinh_MoP11"/>
      <sheetName val="giai_he_211"/>
      <sheetName val="ct_luong_11"/>
      <sheetName val="Nhap_6T11"/>
      <sheetName val="Ranking_data11"/>
      <sheetName val="GDMN_111"/>
      <sheetName val="May_khau11"/>
      <sheetName val="PXKT6Via_1111"/>
      <sheetName val="PXKTLo_Thien_V_14A11"/>
      <sheetName val="V14_phu11"/>
      <sheetName val="Via_16_Lthien11"/>
      <sheetName val="mc_2006_&amp;_0910"/>
      <sheetName val="mc_2006_&amp;_57_&amp;_0910"/>
      <sheetName val="dongia_(2)10"/>
      <sheetName val="THPDMoi__(2)10"/>
      <sheetName val="t-h_HA_THE10"/>
      <sheetName val="CHITIET_VL-NC-TT_-1p10"/>
      <sheetName val="TONG_HOP_VL-NC_TT10"/>
      <sheetName val="TH_XL10"/>
      <sheetName val="TONGKE3p_10"/>
      <sheetName val="CHITIET_VL-NC-TT-3p10"/>
      <sheetName val="KPVC-BD_10"/>
      <sheetName val="Master_schedule10"/>
      <sheetName val="GDMN_210"/>
      <sheetName val="GDMN_310"/>
      <sheetName val="GDMN_410"/>
      <sheetName val="GDMN_510"/>
      <sheetName val="GDTH_110"/>
      <sheetName val="GDTH_210"/>
      <sheetName val="GDTH_310"/>
      <sheetName val="GDTH_410"/>
      <sheetName val="GDTH_510"/>
      <sheetName val="THCS_110"/>
      <sheetName val="THCS_210"/>
      <sheetName val="THCS_310"/>
      <sheetName val="THCS_410"/>
      <sheetName val="THCS_510"/>
      <sheetName val="THCS_610"/>
      <sheetName val="THPT_110"/>
      <sheetName val="THPT_210"/>
      <sheetName val="THPT_310"/>
      <sheetName val="THPT_410"/>
      <sheetName val="THPT_510"/>
      <sheetName val="THPT_610"/>
      <sheetName val="DH,CD,THCN_110"/>
      <sheetName val="DH,CD,THCN_210"/>
      <sheetName val="DH,CD,THCN_310"/>
      <sheetName val="GDKCQ_110"/>
      <sheetName val="GDKCQ_210"/>
      <sheetName val="_IBASE2_XLSѝTNHNoi11"/>
      <sheetName val="_IBASE2_XLS䁝BC6tT1710"/>
      <sheetName val="_IBASE2_XLS}BHXH10"/>
      <sheetName val="_IBASE2_XLS_Tong_hop_Matduong10"/>
      <sheetName val="BTHDT_TBA_10"/>
      <sheetName val="DS_tong10"/>
      <sheetName val="CDSM_(2)10"/>
      <sheetName val="Cost_Center_10"/>
      <sheetName val="Part_data10"/>
      <sheetName val="Vender_Data10"/>
      <sheetName val="lapdap_TB_10"/>
      <sheetName val="Tonf_hop10"/>
      <sheetName val="Ｍss_４Ｒ要員10"/>
      <sheetName val="Du_lieu11"/>
      <sheetName val="IMP_TAX10"/>
      <sheetName val="Dinh_muc_chuan10"/>
      <sheetName val="TH_du_toanð10"/>
      <sheetName val="TH_du_toan 10"/>
      <sheetName val="DS_Protecter10"/>
      <sheetName val="Klukng_phu10"/>
      <sheetName val="CVden_ngoai_TCT_(1)15"/>
      <sheetName val="CV_den_ngoai_TCT_(2)15"/>
      <sheetName val="CV_den_ngoai_TCT_(3)15"/>
      <sheetName val="QDcua_TGD15"/>
      <sheetName val="QD_cua_HDQT15"/>
      <sheetName val="QD_cua_HDQT_(2)15"/>
      <sheetName val="CV_di_ngoai_tong15"/>
      <sheetName val="CV_di_ngoai_tong_(2)15"/>
      <sheetName val="To_trinh15"/>
      <sheetName val="Giao_nhiem_vu15"/>
      <sheetName val="QDcua_TGD_(2)15"/>
      <sheetName val="Thong_tu15"/>
      <sheetName val="CV_di_trong__tong15"/>
      <sheetName val="nghi_dinh-CP15"/>
      <sheetName val="CV_den_trong_tong15"/>
      <sheetName val="GIA_NUOC15"/>
      <sheetName val="GIA_DIEN_THOAI15"/>
      <sheetName val="GIA_DIEN15"/>
      <sheetName val="chiet_tinh_XD15"/>
      <sheetName val="Triet_T15"/>
      <sheetName val="Phan_tich_gia15"/>
      <sheetName val="pHAN_CONG15"/>
      <sheetName val="GIA_XD15"/>
      <sheetName val="lapdat_TB_15"/>
      <sheetName val="TNghiªm_TB_15"/>
      <sheetName val="VËt_liÖu15"/>
      <sheetName val="Lap_®at_®iÖn15"/>
      <sheetName val="TNghiÖm_VL15"/>
      <sheetName val="th_15"/>
      <sheetName val="tien_luong15"/>
      <sheetName val="KHVt_15"/>
      <sheetName val="KHVt_XL15"/>
      <sheetName val="KHVt_XLT415"/>
      <sheetName val="Thep_be15"/>
      <sheetName val="Thep_than15"/>
      <sheetName val="Thep_xa_mu15"/>
      <sheetName val="142201-T1_15"/>
      <sheetName val="142201-T2-th_15"/>
      <sheetName val="142201-T3-th_15"/>
      <sheetName val="142201-T4-th__15"/>
      <sheetName val="_t515"/>
      <sheetName val="t_415"/>
      <sheetName val="_t3_15"/>
      <sheetName val="_TH33115"/>
      <sheetName val="_Minh_ha15"/>
      <sheetName val="_Ha_Tay15"/>
      <sheetName val="_Vinhphuc15"/>
      <sheetName val="_Nbinh15"/>
      <sheetName val="_QVinh15"/>
      <sheetName val="_TW115"/>
      <sheetName val="T_so_thay_doi15"/>
      <sheetName val="b_THchitietDZCT15"/>
      <sheetName val="b_THchitietTBA15"/>
      <sheetName val="Khao_sat15"/>
      <sheetName val="TT_khao_sat15"/>
      <sheetName val="Kluong_phu15"/>
      <sheetName val="Lan_can15"/>
      <sheetName val="Ho_lan15"/>
      <sheetName val="Coc_tieu15"/>
      <sheetName val="Bien_bao15"/>
      <sheetName val="Op_mai_27415"/>
      <sheetName val="Op_mai_27515"/>
      <sheetName val="Op_mai_27615"/>
      <sheetName val="Op_mai_27715"/>
      <sheetName val="Op_mai_27815"/>
      <sheetName val="Op_mai_27915"/>
      <sheetName val="Op_mai_28015"/>
      <sheetName val="Op_mai_28115"/>
      <sheetName val="Op_mai_28215"/>
      <sheetName val="Op_mai_28315"/>
      <sheetName val="Op_mai_28415"/>
      <sheetName val="Op_mai15"/>
      <sheetName val="Km274_-_Km27515"/>
      <sheetName val="Km275_-_Km27615"/>
      <sheetName val="Km276_-_Km27715"/>
      <sheetName val="Km277_-_Km278_15"/>
      <sheetName val="Km278_-_Km27915"/>
      <sheetName val="Km279_-_Km28015"/>
      <sheetName val="Km280_-_Km28115"/>
      <sheetName val="Km281_-_Km28215"/>
      <sheetName val="Km282_-_Km28315"/>
      <sheetName val="Km283_-_Km28415"/>
      <sheetName val="Km284_-_Km28515"/>
      <sheetName val="Tong_hop_Matduong15"/>
      <sheetName val="Cong_D7515"/>
      <sheetName val="Cong_D10015"/>
      <sheetName val="Cong_D15015"/>
      <sheetName val="Cong_2D15015"/>
      <sheetName val="Cong_ban_0,7x0,715"/>
      <sheetName val="Cong_ban_0,8x0,815"/>
      <sheetName val="Cong_ban_1x115"/>
      <sheetName val="Cong_ban_1x1,215"/>
      <sheetName val="Cong_ban_1,5x1,515"/>
      <sheetName val="Cong_ban_2x1,515"/>
      <sheetName val="Cong_ban_2x215"/>
      <sheetName val="Tong_hop15"/>
      <sheetName val="Tong_hop_(2)15"/>
      <sheetName val="Cong_cu15"/>
      <sheetName val="Cot_thep15"/>
      <sheetName val="Cong_tron_D7515"/>
      <sheetName val="Cong_tron_D10015"/>
      <sheetName val="Cong_tron_D15015"/>
      <sheetName val="Cong_tron_2D15015"/>
      <sheetName val="Cong_ban_1,0x1,015"/>
      <sheetName val="Cong_ban_1,0x1,215"/>
      <sheetName val="Cong_hop_1,5x1,515"/>
      <sheetName val="Cong_hop_2,0x1,515"/>
      <sheetName val="Cong_hop_2,0x2,015"/>
      <sheetName val="CDSL_(2)15"/>
      <sheetName val="TK_11215"/>
      <sheetName val="TK_13115"/>
      <sheetName val="TK_14115"/>
      <sheetName val="TK_15315"/>
      <sheetName val="TK_21115"/>
      <sheetName val="TK_24215"/>
      <sheetName val="TK_33415"/>
      <sheetName val="TK_51115"/>
      <sheetName val="TK_51515"/>
      <sheetName val="TK_91115"/>
      <sheetName val="VtuHaTheSauTBABenThuy1_(2)15"/>
      <sheetName val="Song_trai15"/>
      <sheetName val="Dinh+ha_nha15"/>
      <sheetName val="NG_k15"/>
      <sheetName val="Trich_Ngang15"/>
      <sheetName val="Danh_sach_Rieng15"/>
      <sheetName val="Dia_Diem_Thuc_Tap15"/>
      <sheetName val="De_Tai_Thuc_Tap15"/>
      <sheetName val="thkl_(2)15"/>
      <sheetName val="long_tec15"/>
      <sheetName val="KQKD02-2_(2)15"/>
      <sheetName val="KQKD-2_(2)15"/>
      <sheetName val="KQKD_thu200415"/>
      <sheetName val="T_K_H_T_T515"/>
      <sheetName val="T_K_T715"/>
      <sheetName val="TK_T615"/>
      <sheetName val="T_K_T515"/>
      <sheetName val="Bang_thong_ke_hang_ton15"/>
      <sheetName val="thong_ke_15"/>
      <sheetName val="T_KT0415"/>
      <sheetName val="Coc_615"/>
      <sheetName val="Deo_nai15"/>
      <sheetName val="CKD_than15"/>
      <sheetName val="CTT_Thong_nhat15"/>
      <sheetName val="CTT_Nui_beo15"/>
      <sheetName val="CTT_cao_son15"/>
      <sheetName val="CTT_Khe_cham15"/>
      <sheetName val="XNxlva_sxthanKCII15"/>
      <sheetName val="Cam_Y_ut_KC15"/>
      <sheetName val="CTxay_lap_mo_CP15"/>
      <sheetName val="CTdo_luong_GDSP15"/>
      <sheetName val="Dong_bac15"/>
      <sheetName val="Cac_cang_UT_mua_than_Dong_bac15"/>
      <sheetName val="cua_hang_vtu15"/>
      <sheetName val="Khach_hang_le_15"/>
      <sheetName val="nhat_ky_515"/>
      <sheetName val="cac_cong_ty_van_tai15"/>
      <sheetName val="K249_K9815"/>
      <sheetName val="K249_K98_(2)15"/>
      <sheetName val="K251_K9815"/>
      <sheetName val="K251_SBase15"/>
      <sheetName val="K251_AC15"/>
      <sheetName val="K252_K9815"/>
      <sheetName val="K252_SBase15"/>
      <sheetName val="K252_AC15"/>
      <sheetName val="K253_K9815"/>
      <sheetName val="K253_Subbase15"/>
      <sheetName val="K253_Base_15"/>
      <sheetName val="K253_SBase15"/>
      <sheetName val="K253_AC15"/>
      <sheetName val="K255_SBase15"/>
      <sheetName val="K259_K9815"/>
      <sheetName val="K259_Subbase15"/>
      <sheetName val="K259_Base_15"/>
      <sheetName val="K259_AC15"/>
      <sheetName val="K260_K9815"/>
      <sheetName val="K260_Subbase15"/>
      <sheetName val="K260_Base15"/>
      <sheetName val="K260_AC15"/>
      <sheetName val="K261_K9815"/>
      <sheetName val="K261_Base15"/>
      <sheetName val="K261_AC15"/>
      <sheetName val="F_ThanhTri15"/>
      <sheetName val="F_Gialam15"/>
      <sheetName val="TH_dam15"/>
      <sheetName val="SX_dam15"/>
      <sheetName val="LD_dam15"/>
      <sheetName val="Bang_gia_VL15"/>
      <sheetName val="Gia_NC15"/>
      <sheetName val="Gia_may15"/>
      <sheetName val="phan_tich_DG15"/>
      <sheetName val="gia_vat_lieu15"/>
      <sheetName val="gia_xe_may15"/>
      <sheetName val="gia_nhan_cong15"/>
      <sheetName val="SCT_Cong_trinh15"/>
      <sheetName val="06-2003_(2)15"/>
      <sheetName val="CDPS_6tc15"/>
      <sheetName val="SCT_Nha_thau15"/>
      <sheetName val="socai2003_(6tc)dp15"/>
      <sheetName val="socai2003_(6tc)15"/>
      <sheetName val="CDPS_6tc_(2)15"/>
      <sheetName val="Dancau-Q_Ninh15"/>
      <sheetName val="BaTrieu-L_son15"/>
      <sheetName val="Don_gia_CPM15"/>
      <sheetName val="Tong_Thieu_HD_cac_CT-200115"/>
      <sheetName val="VL_thieu_HD_-_200115"/>
      <sheetName val="Tong_thieu_HD_cac_CT_-_200215"/>
      <sheetName val="Lan_trai15"/>
      <sheetName val="Van_chuyen15"/>
      <sheetName val="HDong_VC15"/>
      <sheetName val="ThieuHD_nam_200115"/>
      <sheetName val="Bang_TH15"/>
      <sheetName val="Tong_Chinh15"/>
      <sheetName val="Xaylap_15"/>
      <sheetName val="Nhan_cong15"/>
      <sheetName val="giai_thich15"/>
      <sheetName val="DT_-_Ro15"/>
      <sheetName val="TH_-_Ro_15"/>
      <sheetName val="GDT_-_Ro15"/>
      <sheetName val="DT_-_TB15"/>
      <sheetName val="TH_-_TB15"/>
      <sheetName val="GDT_-_TB15"/>
      <sheetName val="DT_-_NT15"/>
      <sheetName val="TH_-_NT15"/>
      <sheetName val="GDT_-_NT15"/>
      <sheetName val="CV_di_trong__dong15"/>
      <sheetName val="Nhap_lieu15"/>
      <sheetName val="Tien_dien14"/>
      <sheetName val="Thue_GTGT14"/>
      <sheetName val="BC_TH_CK_(2)15"/>
      <sheetName val="BC_TH_CK15"/>
      <sheetName val="BC6tT19_food15"/>
      <sheetName val="BC6tT18_-_Food15"/>
      <sheetName val="BCCK_415"/>
      <sheetName val="BCFood-_T1615"/>
      <sheetName val="BCFood-_T1515"/>
      <sheetName val="BCFood-_T1415"/>
      <sheetName val="BCFood-_T1315"/>
      <sheetName val="TH_CK215"/>
      <sheetName val="BC6tT52_(3)15"/>
      <sheetName val="BC6tT52_(2)15"/>
      <sheetName val="TCK_1215"/>
      <sheetName val="Tong_CK15"/>
      <sheetName val="DOANH_SO15"/>
      <sheetName val="BD-SINH_VIEN15"/>
      <sheetName val="T03_-_0315"/>
      <sheetName val="THL_T0315"/>
      <sheetName val="TTBC_T0315"/>
      <sheetName val="Luong_noi_Bo_-_T315"/>
      <sheetName val="Tong_hop_-_T315"/>
      <sheetName val="Thuong_Quy_315"/>
      <sheetName val="Phu_cap_trach_nhiem15"/>
      <sheetName val="Tay_ninh15"/>
      <sheetName val="A_Duc15"/>
      <sheetName val="[IBASE2_XLSѝTNHNoi15"/>
      <sheetName val="So_sanh15"/>
      <sheetName val="HHVt_15"/>
      <sheetName val="bcth_05-0414"/>
      <sheetName val="baocao_05-0414"/>
      <sheetName val="ql_(2)14"/>
      <sheetName val="TH_du_toan_15"/>
      <sheetName val="Du_toan_15"/>
      <sheetName val="C_Tinh15"/>
      <sheetName val="Co~g_hop_1,5x1,515"/>
      <sheetName val="_KQTH_quy_hoach_13514"/>
      <sheetName val="Bao_cao_KQTH_quy_hoach_13514"/>
      <sheetName val="Co_quan_TCT15"/>
      <sheetName val="BOT_(PA_chon)15"/>
      <sheetName val="Yaly_&amp;_Ri_Ninh15"/>
      <sheetName val="Thuy_dien_Na_Loi15"/>
      <sheetName val="bang_so_sanh_tong_hop15"/>
      <sheetName val="bang_so_sanh_tong_hop_(ty_le)15"/>
      <sheetName val="thu_nhap_binh_quan_(2)15"/>
      <sheetName val="dang_huong15"/>
      <sheetName val="phuong_an_115"/>
      <sheetName val="phuong_an_1_(2)15"/>
      <sheetName val="phuong_an215"/>
      <sheetName val="tong_hop_BQ15"/>
      <sheetName val="tong_hop_BQ-115"/>
      <sheetName val="phuong_an_chon15"/>
      <sheetName val="tô_rôiDY14"/>
      <sheetName val="Heso_3-2004_(3)14"/>
      <sheetName val="Luong_(2)14"/>
      <sheetName val="heso_T314"/>
      <sheetName val="heso_T414"/>
      <sheetName val="heso_T514"/>
      <sheetName val="Heso_T614"/>
      <sheetName val="Heso_T714"/>
      <sheetName val="Heso_T814"/>
      <sheetName val="Heso_T914"/>
      <sheetName val="Heso_2-200414"/>
      <sheetName val="Heso_3-200414"/>
      <sheetName val="Heso_3-2004_(2)14"/>
      <sheetName val="nhan_su14"/>
      <sheetName val="luong_cty14"/>
      <sheetName val="Thang_414"/>
      <sheetName val="Luu_goc14"/>
      <sheetName val="km22+93_86-km22+121_8614"/>
      <sheetName val="km22+177_14-km22+205_6414"/>
      <sheetName val="Bang_20-2514"/>
      <sheetName val="km22+267_96-km22+283_9614"/>
      <sheetName val="km22+304_31-km22+344_3114"/>
      <sheetName val="km22+460_92-km22+614_5714"/>
      <sheetName val="km22+671_78-km22+713_3214"/>
      <sheetName val="_tuanM14"/>
      <sheetName val="CT_0314"/>
      <sheetName val="TH_0314"/>
      <sheetName val="bang_so_sanh_tong_hop_(_PA_ch14"/>
      <sheetName val="dang_ap_dung14"/>
      <sheetName val="bang_tong_hop_(dang_huong)14"/>
      <sheetName val="Dinh_ha_nha14"/>
      <sheetName val="[IBASE2_XLS}BHXH14"/>
      <sheetName val="[IBASE2_XLS䁝BC6tT1714"/>
      <sheetName val="THT_nam_0414"/>
      <sheetName val="HD_CTrinh114"/>
      <sheetName val="HD_benA14"/>
      <sheetName val="Theodoi_HD14"/>
      <sheetName val="Theodoi_HD_(2)14"/>
      <sheetName val="_GT_CPhi_tung_dot14"/>
      <sheetName val="chuong_phu14"/>
      <sheetName val="[IBASE2_XLS_Tong_hop_Matduong14"/>
      <sheetName val="THU_T1214"/>
      <sheetName val="CHI_T1214"/>
      <sheetName val="THU_T1114"/>
      <sheetName val="CHI_T1114"/>
      <sheetName val="THU_T1014"/>
      <sheetName val="CHI_T1014"/>
      <sheetName val="THU_T914"/>
      <sheetName val="CHI_T914"/>
      <sheetName val="THU_T814"/>
      <sheetName val="CHI_T814"/>
      <sheetName val="chi_phi_cap_tien14"/>
      <sheetName val="BC§_200114"/>
      <sheetName val="BBC§_200214"/>
      <sheetName val="TSC§_200114"/>
      <sheetName val="TSc®_200214"/>
      <sheetName val="BaTrieu-L_con14"/>
      <sheetName val="EDT_-_Ro14"/>
      <sheetName val="KHVô_XL14"/>
      <sheetName val="TD_khao_sat14"/>
      <sheetName val="THANG7_14"/>
      <sheetName val="THANG_1114"/>
      <sheetName val="THANG_1214"/>
      <sheetName val="phuong_aL_114"/>
      <sheetName val="Khac_DP14"/>
      <sheetName val="Khoi_than_14"/>
      <sheetName val="TK__TK14"/>
      <sheetName val="Bang_can_doi_14"/>
      <sheetName val="De_Tai_Vhuc_Tap14"/>
      <sheetName val="02_114"/>
      <sheetName val="2_114"/>
      <sheetName val="2_314"/>
      <sheetName val="02_314"/>
      <sheetName val="B_0114"/>
      <sheetName val="B_0314"/>
      <sheetName val="D_1314"/>
      <sheetName val="[IBASE2_XLS?TNHNoi14"/>
      <sheetName val="Tinh_hinh_cat_lang14"/>
      <sheetName val="Tinh_hinh_SX_phu14"/>
      <sheetName val="Tinh_hinh_do_xop14"/>
      <sheetName val="Cong_hop_2,0ࡸ2,013"/>
      <sheetName val="Sat_tron13"/>
      <sheetName val="(9_30)_IP13"/>
      <sheetName val="Cong_tron_D7'13"/>
      <sheetName val="2_7413"/>
      <sheetName val="CN-QV_FG13"/>
      <sheetName val="CN-QV_RM13"/>
      <sheetName val="PHAV_R_M13"/>
      <sheetName val="PHAV_F_G13"/>
      <sheetName val="TOA_R_M13"/>
      <sheetName val="TOA_F_G13"/>
      <sheetName val="CVN_R_M13"/>
      <sheetName val="CVN_F_G13"/>
      <sheetName val="DENSO_R_M13"/>
      <sheetName val="DENSO_F_G13"/>
      <sheetName val="SATO_RM13"/>
      <sheetName val="SATO_F_G13"/>
      <sheetName val="Up_to_200211"/>
      <sheetName val="det_VP12"/>
      <sheetName val="det_hn12"/>
      <sheetName val="chi_Hieu12"/>
      <sheetName val="c_thoa12"/>
      <sheetName val="A_thanh_-_DL12"/>
      <sheetName val="A_Tuyen12"/>
      <sheetName val="A_Tien_-laphu12"/>
      <sheetName val="A_Thang-_laphu12"/>
      <sheetName val="A_Dong12"/>
      <sheetName val="27-7_NB12"/>
      <sheetName val="xn_512"/>
      <sheetName val="PKD_X2012"/>
      <sheetName val="da_giay_SG12"/>
      <sheetName val="dagiay_XK12"/>
      <sheetName val="DK_Dong_xuan12"/>
      <sheetName val="chu_Ton12"/>
      <sheetName val="minh_tri12"/>
      <sheetName val="viet_huy12"/>
      <sheetName val="thanh_ha12"/>
      <sheetName val="O_Su12"/>
      <sheetName val="A_Ha-DL12"/>
      <sheetName val="Vinh_oanh12"/>
      <sheetName val="chi_Thuy12"/>
      <sheetName val="chu_Hong12"/>
      <sheetName val="thuy-_may12"/>
      <sheetName val="vu_yen12"/>
      <sheetName val="OPERATING_HEAD12"/>
      <sheetName val="31_12_0112"/>
      <sheetName val="Tong_hop_xuat_kho_nvl12"/>
      <sheetName val="Xuat_kho12"/>
      <sheetName val="Tong_hop_so_lieu_tai_nhap_kho12"/>
      <sheetName val="tai_nhap_kho12"/>
      <sheetName val="Nhap_kho12"/>
      <sheetName val="Tong_ket_nhap_kho12"/>
      <sheetName val="Tong_ket12"/>
      <sheetName val="cac_ma_can_huy12"/>
      <sheetName val="Hang_hong12"/>
      <sheetName val="Tham_khao12"/>
      <sheetName val="hang_khong_co_packing12"/>
      <sheetName val="VtuHaTheSauTBABenThuy1_Ш2)12"/>
      <sheetName val="K252_K9и12"/>
      <sheetName val="nphuocb_412"/>
      <sheetName val="bcth_05-012"/>
      <sheetName val="ESTI_13"/>
      <sheetName val="THU_T712"/>
      <sheetName val="CHI_T712"/>
      <sheetName val="THU_T612"/>
      <sheetName val="CHI_T612"/>
      <sheetName val="THU_T512"/>
      <sheetName val="CHI_T512"/>
      <sheetName val="THU_T412"/>
      <sheetName val="CHI_T412"/>
      <sheetName val="THU_T312"/>
      <sheetName val="CHI_T312"/>
      <sheetName val="THU_T212"/>
      <sheetName val="CHI_T212"/>
      <sheetName val="THU_T132"/>
      <sheetName val="CHI_T132"/>
      <sheetName val="TB_Grouping12"/>
      <sheetName val="Balance_Sheet12"/>
      <sheetName val="CHITIET_VL-NC12"/>
      <sheetName val="DON_GIA12"/>
      <sheetName val="So_lieu12"/>
      <sheetName val="tt_chu_dong12"/>
      <sheetName val="Tinh_j+cvi12"/>
      <sheetName val="Tinh_MoP12"/>
      <sheetName val="giai_he_212"/>
      <sheetName val="ct_luong_12"/>
      <sheetName val="Nhap_6T12"/>
      <sheetName val="Ranking_data12"/>
      <sheetName val="GDMN_112"/>
      <sheetName val="May_khau12"/>
      <sheetName val="PXKT6Via_1112"/>
      <sheetName val="PXKTLo_Thien_V_14A12"/>
      <sheetName val="V14_phu12"/>
      <sheetName val="Via_16_Lthien12"/>
      <sheetName val="mc_2006_&amp;_0911"/>
      <sheetName val="mc_2006_&amp;_57_&amp;_0911"/>
      <sheetName val="dongia_(2)11"/>
      <sheetName val="THPDMoi__(2)11"/>
      <sheetName val="t-h_HA_THE11"/>
      <sheetName val="CHITIET_VL-NC-TT_-1p11"/>
      <sheetName val="TONG_HOP_VL-NC_TT11"/>
      <sheetName val="TH_XL11"/>
      <sheetName val="TONGKE3p_11"/>
      <sheetName val="CHITIET_VL-NC-TT-3p11"/>
      <sheetName val="KPVC-BD_11"/>
      <sheetName val="Master_schedule11"/>
      <sheetName val="GDMN_211"/>
      <sheetName val="GDMN_311"/>
      <sheetName val="GDMN_411"/>
      <sheetName val="GDMN_511"/>
      <sheetName val="GDTH_111"/>
      <sheetName val="GDTH_211"/>
      <sheetName val="GDTH_311"/>
      <sheetName val="GDTH_411"/>
      <sheetName val="GDTH_511"/>
      <sheetName val="THCS_111"/>
      <sheetName val="THCS_211"/>
      <sheetName val="THCS_311"/>
      <sheetName val="THCS_411"/>
      <sheetName val="THCS_511"/>
      <sheetName val="THCS_611"/>
      <sheetName val="THPT_111"/>
      <sheetName val="THPT_211"/>
      <sheetName val="THPT_311"/>
      <sheetName val="THPT_411"/>
      <sheetName val="THPT_511"/>
      <sheetName val="THPT_611"/>
      <sheetName val="DH,CD,THCN_111"/>
      <sheetName val="DH,CD,THCN_211"/>
      <sheetName val="DH,CD,THCN_311"/>
      <sheetName val="GDKCQ_111"/>
      <sheetName val="GDKCQ_211"/>
      <sheetName val="_IBASE2_XLSѝTNHNoi12"/>
      <sheetName val="_IBASE2_XLS䁝BC6tT1711"/>
      <sheetName val="_IBASE2_XLS}BHXH11"/>
      <sheetName val="_IBASE2_XLS_Tong_hop_Matduong11"/>
      <sheetName val="BTHDT_TBA_11"/>
      <sheetName val="DS_tong11"/>
      <sheetName val="CDSM_(2)11"/>
      <sheetName val="Cost_Center_11"/>
      <sheetName val="Part_data11"/>
      <sheetName val="Vender_Data11"/>
      <sheetName val="lapdap_TB_11"/>
      <sheetName val="Tonf_hop11"/>
      <sheetName val="Ｍss_４Ｒ要員11"/>
      <sheetName val="Du_lieu12"/>
      <sheetName val="IMP_TAX11"/>
      <sheetName val="Dinh_muc_chuan11"/>
      <sheetName val="TH_du_toanð11"/>
      <sheetName val="TH_du_toan 11"/>
      <sheetName val="DS_Protecter11"/>
      <sheetName val="Klukng_phu11"/>
      <sheetName val="CVden_ngoai_TCT_(1)16"/>
      <sheetName val="CV_den_ngoai_TCT_(2)16"/>
      <sheetName val="CV_den_ngoai_TCT_(3)16"/>
      <sheetName val="QDcua_TGD16"/>
      <sheetName val="QD_cua_HDQT16"/>
      <sheetName val="QD_cua_HDQT_(2)16"/>
      <sheetName val="CV_di_ngoai_tong16"/>
      <sheetName val="CV_di_ngoai_tong_(2)16"/>
      <sheetName val="To_trinh16"/>
      <sheetName val="Giao_nhiem_vu16"/>
      <sheetName val="QDcua_TGD_(2)16"/>
      <sheetName val="Thong_tu16"/>
      <sheetName val="CV_di_trong__tong16"/>
      <sheetName val="nghi_dinh-CP16"/>
      <sheetName val="CV_den_trong_tong16"/>
      <sheetName val="GIA_NUOC16"/>
      <sheetName val="GIA_DIEN_THOAI16"/>
      <sheetName val="GIA_DIEN16"/>
      <sheetName val="chiet_tinh_XD16"/>
      <sheetName val="Triet_T16"/>
      <sheetName val="Phan_tich_gia16"/>
      <sheetName val="pHAN_CONG16"/>
      <sheetName val="GIA_XD16"/>
      <sheetName val="lapdat_TB_16"/>
      <sheetName val="TNghiªm_TB_16"/>
      <sheetName val="VËt_liÖu16"/>
      <sheetName val="Lap_®at_®iÖn16"/>
      <sheetName val="TNghiÖm_VL16"/>
      <sheetName val="th_16"/>
      <sheetName val="tien_luong16"/>
      <sheetName val="KHVt_16"/>
      <sheetName val="KHVt_XL16"/>
      <sheetName val="KHVt_XLT416"/>
      <sheetName val="Thep_be16"/>
      <sheetName val="Thep_than16"/>
      <sheetName val="Thep_xa_mu16"/>
      <sheetName val="142201-T1_16"/>
      <sheetName val="142201-T2-th_16"/>
      <sheetName val="142201-T3-th_16"/>
      <sheetName val="142201-T4-th__16"/>
      <sheetName val="_t516"/>
      <sheetName val="t_416"/>
      <sheetName val="_t3_16"/>
      <sheetName val="_TH33116"/>
      <sheetName val="_Minh_ha16"/>
      <sheetName val="_Ha_Tay16"/>
      <sheetName val="_Vinhphuc16"/>
      <sheetName val="_Nbinh16"/>
      <sheetName val="_QVinh16"/>
      <sheetName val="_TW116"/>
      <sheetName val="T_so_thay_doi16"/>
      <sheetName val="b_THchitietDZCT16"/>
      <sheetName val="b_THchitietTBA16"/>
      <sheetName val="Khao_sat16"/>
      <sheetName val="TT_khao_sat16"/>
      <sheetName val="Kluong_phu16"/>
      <sheetName val="Lan_can16"/>
      <sheetName val="Ho_lan16"/>
      <sheetName val="Coc_tieu16"/>
      <sheetName val="Bien_bao16"/>
      <sheetName val="Op_mai_27416"/>
      <sheetName val="Op_mai_27516"/>
      <sheetName val="Op_mai_27616"/>
      <sheetName val="Op_mai_27716"/>
      <sheetName val="Op_mai_27816"/>
      <sheetName val="Op_mai_27916"/>
      <sheetName val="Op_mai_28016"/>
      <sheetName val="Op_mai_28116"/>
      <sheetName val="Op_mai_28216"/>
      <sheetName val="Op_mai_28316"/>
      <sheetName val="Op_mai_28416"/>
      <sheetName val="Op_mai16"/>
      <sheetName val="Km274_-_Km27516"/>
      <sheetName val="Km275_-_Km27616"/>
      <sheetName val="Km276_-_Km27716"/>
      <sheetName val="Km277_-_Km278_16"/>
      <sheetName val="Km278_-_Km27916"/>
      <sheetName val="Km279_-_Km28016"/>
      <sheetName val="Km280_-_Km28116"/>
      <sheetName val="Km281_-_Km28216"/>
      <sheetName val="Km282_-_Km28316"/>
      <sheetName val="Km283_-_Km28416"/>
      <sheetName val="Km284_-_Km28516"/>
      <sheetName val="Tong_hop_Matduong16"/>
      <sheetName val="Cong_D7516"/>
      <sheetName val="Cong_D10016"/>
      <sheetName val="Cong_D15016"/>
      <sheetName val="Cong_2D15016"/>
      <sheetName val="Cong_ban_0,7x0,716"/>
      <sheetName val="Cong_ban_0,8x0,816"/>
      <sheetName val="Cong_ban_1x116"/>
      <sheetName val="Cong_ban_1x1,216"/>
      <sheetName val="Cong_ban_1,5x1,516"/>
      <sheetName val="Cong_ban_2x1,516"/>
      <sheetName val="Cong_ban_2x216"/>
      <sheetName val="Tong_hop16"/>
      <sheetName val="Tong_hop_(2)16"/>
      <sheetName val="Cong_cu16"/>
      <sheetName val="Cot_thep16"/>
      <sheetName val="Cong_tron_D7516"/>
      <sheetName val="Cong_tron_D10016"/>
      <sheetName val="Cong_tron_D15016"/>
      <sheetName val="Cong_tron_2D15016"/>
      <sheetName val="Cong_ban_1,0x1,016"/>
      <sheetName val="Cong_ban_1,0x1,216"/>
      <sheetName val="Cong_hop_1,5x1,516"/>
      <sheetName val="Cong_hop_2,0x1,516"/>
      <sheetName val="Cong_hop_2,0x2,016"/>
      <sheetName val="CDSL_(2)16"/>
      <sheetName val="TK_11216"/>
      <sheetName val="TK_13116"/>
      <sheetName val="TK_14116"/>
      <sheetName val="TK_15316"/>
      <sheetName val="TK_21116"/>
      <sheetName val="TK_24216"/>
      <sheetName val="TK_33416"/>
      <sheetName val="TK_51116"/>
      <sheetName val="TK_51516"/>
      <sheetName val="TK_91116"/>
      <sheetName val="VtuHaTheSauTBABenThuy1_(2)16"/>
      <sheetName val="Song_trai16"/>
      <sheetName val="Dinh+ha_nha16"/>
      <sheetName val="NG_k16"/>
      <sheetName val="Trich_Ngang16"/>
      <sheetName val="Danh_sach_Rieng16"/>
      <sheetName val="Dia_Diem_Thuc_Tap16"/>
      <sheetName val="De_Tai_Thuc_Tap16"/>
      <sheetName val="thkl_(2)16"/>
      <sheetName val="long_tec16"/>
      <sheetName val="KQKD02-2_(2)16"/>
      <sheetName val="KQKD-2_(2)16"/>
      <sheetName val="KQKD_thu200416"/>
      <sheetName val="T_K_H_T_T516"/>
      <sheetName val="T_K_T716"/>
      <sheetName val="TK_T616"/>
      <sheetName val="T_K_T516"/>
      <sheetName val="Bang_thong_ke_hang_ton16"/>
      <sheetName val="thong_ke_16"/>
      <sheetName val="T_KT0416"/>
      <sheetName val="Coc_616"/>
      <sheetName val="Deo_nai16"/>
      <sheetName val="CKD_than16"/>
      <sheetName val="CTT_Thong_nhat16"/>
      <sheetName val="CTT_Nui_beo16"/>
      <sheetName val="CTT_cao_son16"/>
      <sheetName val="CTT_Khe_cham16"/>
      <sheetName val="XNxlva_sxthanKCII16"/>
      <sheetName val="Cam_Y_ut_KC16"/>
      <sheetName val="CTxay_lap_mo_CP16"/>
      <sheetName val="CTdo_luong_GDSP16"/>
      <sheetName val="Dong_bac16"/>
      <sheetName val="Cac_cang_UT_mua_than_Dong_bac16"/>
      <sheetName val="cua_hang_vtu16"/>
      <sheetName val="Khach_hang_le_16"/>
      <sheetName val="nhat_ky_516"/>
      <sheetName val="cac_cong_ty_van_tai16"/>
      <sheetName val="K249_K9816"/>
      <sheetName val="K249_K98_(2)16"/>
      <sheetName val="K251_K9816"/>
      <sheetName val="K251_SBase16"/>
      <sheetName val="K251_AC16"/>
      <sheetName val="K252_K9816"/>
      <sheetName val="K252_SBase16"/>
      <sheetName val="K252_AC16"/>
      <sheetName val="K253_K9816"/>
      <sheetName val="K253_Subbase16"/>
      <sheetName val="K253_Base_16"/>
      <sheetName val="K253_SBase16"/>
      <sheetName val="K253_AC16"/>
      <sheetName val="K255_SBase16"/>
      <sheetName val="K259_K9816"/>
      <sheetName val="K259_Subbase16"/>
      <sheetName val="K259_Base_16"/>
      <sheetName val="K259_AC16"/>
      <sheetName val="K260_K9816"/>
      <sheetName val="K260_Subbase16"/>
      <sheetName val="K260_Base16"/>
      <sheetName val="K260_AC16"/>
      <sheetName val="K261_K9816"/>
      <sheetName val="K261_Base16"/>
      <sheetName val="K261_AC16"/>
      <sheetName val="F_ThanhTri16"/>
      <sheetName val="F_Gialam16"/>
      <sheetName val="TH_dam16"/>
      <sheetName val="SX_dam16"/>
      <sheetName val="LD_dam16"/>
      <sheetName val="Bang_gia_VL16"/>
      <sheetName val="Gia_NC16"/>
      <sheetName val="Gia_may16"/>
      <sheetName val="phan_tich_DG16"/>
      <sheetName val="gia_vat_lieu16"/>
      <sheetName val="gia_xe_may16"/>
      <sheetName val="gia_nhan_cong16"/>
      <sheetName val="SCT_Cong_trinh16"/>
      <sheetName val="06-2003_(2)16"/>
      <sheetName val="CDPS_6tc16"/>
      <sheetName val="SCT_Nha_thau16"/>
      <sheetName val="socai2003_(6tc)dp16"/>
      <sheetName val="socai2003_(6tc)16"/>
      <sheetName val="CDPS_6tc_(2)16"/>
      <sheetName val="Dancau-Q_Ninh16"/>
      <sheetName val="BaTrieu-L_son16"/>
      <sheetName val="Don_gia_CPM16"/>
      <sheetName val="Tong_Thieu_HD_cac_CT-200116"/>
      <sheetName val="VL_thieu_HD_-_200116"/>
      <sheetName val="Tong_thieu_HD_cac_CT_-_200216"/>
      <sheetName val="Lan_trai16"/>
      <sheetName val="Van_chuyen16"/>
      <sheetName val="HDong_VC16"/>
      <sheetName val="ThieuHD_nam_200116"/>
      <sheetName val="Bang_TH16"/>
      <sheetName val="Tong_Chinh16"/>
      <sheetName val="Xaylap_16"/>
      <sheetName val="Nhan_cong16"/>
      <sheetName val="giai_thich16"/>
      <sheetName val="DT_-_Ro16"/>
      <sheetName val="TH_-_Ro_16"/>
      <sheetName val="GDT_-_Ro16"/>
      <sheetName val="DT_-_TB16"/>
      <sheetName val="TH_-_TB16"/>
      <sheetName val="GDT_-_TB16"/>
      <sheetName val="DT_-_NT16"/>
      <sheetName val="TH_-_NT16"/>
      <sheetName val="GDT_-_NT16"/>
      <sheetName val="CV_di_trong__dong16"/>
      <sheetName val="Nhap_lieu16"/>
      <sheetName val="Tien_dien15"/>
      <sheetName val="Thue_GTGT15"/>
      <sheetName val="BC_TH_CK_(2)16"/>
      <sheetName val="BC_TH_CK16"/>
      <sheetName val="BC6tT19_food16"/>
      <sheetName val="BC6tT18_-_Food16"/>
      <sheetName val="BCCK_416"/>
      <sheetName val="BCFood-_T1616"/>
      <sheetName val="BCFood-_T1516"/>
      <sheetName val="BCFood-_T1416"/>
      <sheetName val="BCFood-_T1316"/>
      <sheetName val="TH_CK216"/>
      <sheetName val="BC6tT52_(3)16"/>
      <sheetName val="BC6tT52_(2)16"/>
      <sheetName val="TCK_1216"/>
      <sheetName val="Tong_CK16"/>
      <sheetName val="DOANH_SO16"/>
      <sheetName val="BD-SINH_VIEN16"/>
      <sheetName val="T03_-_0316"/>
      <sheetName val="THL_T0316"/>
      <sheetName val="TTBC_T0316"/>
      <sheetName val="Luong_noi_Bo_-_T316"/>
      <sheetName val="Tong_hop_-_T316"/>
      <sheetName val="Thuong_Quy_316"/>
      <sheetName val="Phu_cap_trach_nhiem16"/>
      <sheetName val="Tay_ninh16"/>
      <sheetName val="A_Duc16"/>
      <sheetName val="[IBASE2_XLSѝTNHNoi16"/>
      <sheetName val="So_sanh16"/>
      <sheetName val="HHVt_16"/>
      <sheetName val="bcth_05-0415"/>
      <sheetName val="baocao_05-0415"/>
      <sheetName val="ql_(2)15"/>
      <sheetName val="TH_du_toan_16"/>
      <sheetName val="Du_toan_16"/>
      <sheetName val="C_Tinh16"/>
      <sheetName val="Co~g_hop_1,5x1,516"/>
      <sheetName val="_KQTH_quy_hoach_13515"/>
      <sheetName val="Bao_cao_KQTH_quy_hoach_13515"/>
      <sheetName val="Co_quan_TCT16"/>
      <sheetName val="BOT_(PA_chon)16"/>
      <sheetName val="Yaly_&amp;_Ri_Ninh16"/>
      <sheetName val="Thuy_dien_Na_Loi16"/>
      <sheetName val="bang_so_sanh_tong_hop16"/>
      <sheetName val="bang_so_sanh_tong_hop_(ty_le)16"/>
      <sheetName val="thu_nhap_binh_quan_(2)16"/>
      <sheetName val="dang_huong16"/>
      <sheetName val="phuong_an_116"/>
      <sheetName val="phuong_an_1_(2)16"/>
      <sheetName val="phuong_an216"/>
      <sheetName val="tong_hop_BQ16"/>
      <sheetName val="tong_hop_BQ-116"/>
      <sheetName val="phuong_an_chon16"/>
      <sheetName val="tô_rôiDY15"/>
      <sheetName val="Heso_3-2004_(3)15"/>
      <sheetName val="Luong_(2)15"/>
      <sheetName val="heso_T315"/>
      <sheetName val="heso_T415"/>
      <sheetName val="heso_T515"/>
      <sheetName val="Heso_T615"/>
      <sheetName val="Heso_T715"/>
      <sheetName val="Heso_T815"/>
      <sheetName val="Heso_T915"/>
      <sheetName val="Heso_2-200415"/>
      <sheetName val="Heso_3-200415"/>
      <sheetName val="Heso_3-2004_(2)15"/>
      <sheetName val="nhan_su15"/>
      <sheetName val="luong_cty15"/>
      <sheetName val="Thang_415"/>
      <sheetName val="Luu_goc15"/>
      <sheetName val="km22+93_86-km22+121_8615"/>
      <sheetName val="km22+177_14-km22+205_6415"/>
      <sheetName val="Bang_20-2515"/>
      <sheetName val="km22+267_96-km22+283_9615"/>
      <sheetName val="km22+304_31-km22+344_3115"/>
      <sheetName val="km22+460_92-km22+614_5715"/>
      <sheetName val="km22+671_78-km22+713_3215"/>
      <sheetName val="_tuanM15"/>
      <sheetName val="CT_0315"/>
      <sheetName val="TH_0315"/>
      <sheetName val="bang_so_sanh_tong_hop_(_PA_ch15"/>
      <sheetName val="dang_ap_dung15"/>
      <sheetName val="bang_tong_hop_(dang_huong)15"/>
      <sheetName val="Dinh_ha_nha15"/>
      <sheetName val="[IBASE2_XLS}BHXH15"/>
      <sheetName val="[IBASE2_XLS䁝BC6tT1715"/>
      <sheetName val="THT_nam_0415"/>
      <sheetName val="HD_CTrinh115"/>
      <sheetName val="HD_benA15"/>
      <sheetName val="Theodoi_HD15"/>
      <sheetName val="Theodoi_HD_(2)15"/>
      <sheetName val="_GT_CPhi_tung_dot15"/>
      <sheetName val="chuong_phu15"/>
      <sheetName val="[IBASE2_XLS_Tong_hop_Matduong15"/>
      <sheetName val="THU_T1215"/>
      <sheetName val="CHI_T1215"/>
      <sheetName val="THU_T1115"/>
      <sheetName val="CHI_T1115"/>
      <sheetName val="THU_T1015"/>
      <sheetName val="CHI_T1015"/>
      <sheetName val="THU_T915"/>
      <sheetName val="CHI_T915"/>
      <sheetName val="THU_T815"/>
      <sheetName val="CHI_T815"/>
      <sheetName val="chi_phi_cap_tien15"/>
      <sheetName val="BC§_200115"/>
      <sheetName val="BBC§_200215"/>
      <sheetName val="TSC§_200115"/>
      <sheetName val="TSc®_200215"/>
      <sheetName val="BaTrieu-L_con15"/>
      <sheetName val="EDT_-_Ro15"/>
      <sheetName val="KHVô_XL15"/>
      <sheetName val="TD_khao_sat15"/>
      <sheetName val="THANG7_15"/>
      <sheetName val="THANG_1115"/>
      <sheetName val="THANG_1215"/>
      <sheetName val="phuong_aL_115"/>
      <sheetName val="Khac_DP15"/>
      <sheetName val="Khoi_than_15"/>
      <sheetName val="TK__TK15"/>
      <sheetName val="Bang_can_doi_15"/>
      <sheetName val="De_Tai_Vhuc_Tap15"/>
      <sheetName val="02_115"/>
      <sheetName val="2_115"/>
      <sheetName val="2_315"/>
      <sheetName val="02_315"/>
      <sheetName val="B_0115"/>
      <sheetName val="B_0315"/>
      <sheetName val="D_1315"/>
      <sheetName val="[IBASE2_XLS?TNHNoi15"/>
      <sheetName val="Tinh_hinh_cat_lang15"/>
      <sheetName val="Tinh_hinh_SX_phu15"/>
      <sheetName val="Tinh_hinh_do_xop15"/>
      <sheetName val="Cong_hop_2,0ࡸ2,014"/>
      <sheetName val="Sat_tron14"/>
      <sheetName val="(9_30)_IP14"/>
      <sheetName val="Cong_tron_D7'14"/>
      <sheetName val="2_7414"/>
      <sheetName val="CN-QV_FG14"/>
      <sheetName val="CN-QV_RM14"/>
      <sheetName val="PHAV_R_M14"/>
      <sheetName val="PHAV_F_G14"/>
      <sheetName val="TOA_R_M14"/>
      <sheetName val="TOA_F_G14"/>
      <sheetName val="CVN_R_M14"/>
      <sheetName val="CVN_F_G14"/>
      <sheetName val="DENSO_R_M14"/>
      <sheetName val="DENSO_F_G14"/>
      <sheetName val="SATO_RM14"/>
      <sheetName val="SATO_F_G14"/>
      <sheetName val="Up_to_200212"/>
      <sheetName val="det_VP13"/>
      <sheetName val="det_hn13"/>
      <sheetName val="chi_Hieu13"/>
      <sheetName val="c_thoa13"/>
      <sheetName val="A_thanh_-_DL13"/>
      <sheetName val="A_Tuyen13"/>
      <sheetName val="A_Tien_-laphu13"/>
      <sheetName val="A_Thang-_laphu13"/>
      <sheetName val="A_Dong13"/>
      <sheetName val="27-7_NB13"/>
      <sheetName val="xn_513"/>
      <sheetName val="PKD_X2013"/>
      <sheetName val="da_giay_SG13"/>
      <sheetName val="dagiay_XK13"/>
      <sheetName val="DK_Dong_xuan13"/>
      <sheetName val="chu_Ton13"/>
      <sheetName val="minh_tri13"/>
      <sheetName val="viet_huy13"/>
      <sheetName val="thanh_ha13"/>
      <sheetName val="O_Su13"/>
      <sheetName val="A_Ha-DL13"/>
      <sheetName val="Vinh_oanh13"/>
      <sheetName val="chi_Thuy13"/>
      <sheetName val="chu_Hong13"/>
      <sheetName val="thuy-_may13"/>
      <sheetName val="vu_yen13"/>
      <sheetName val="OPERATING_HEAD13"/>
      <sheetName val="31_12_0113"/>
      <sheetName val="Tong_hop_xuat_kho_nvl13"/>
      <sheetName val="Xuat_kho13"/>
      <sheetName val="Tong_hop_so_lieu_tai_nhap_kho13"/>
      <sheetName val="tai_nhap_kho13"/>
      <sheetName val="Nhap_kho13"/>
      <sheetName val="Tong_ket_nhap_kho13"/>
      <sheetName val="Tong_ket13"/>
      <sheetName val="cac_ma_can_huy13"/>
      <sheetName val="Hang_hong13"/>
      <sheetName val="Tham_khao13"/>
      <sheetName val="hang_khong_co_packing13"/>
      <sheetName val="VtuHaTheSauTBABenThuy1_Ш2)13"/>
      <sheetName val="K252_K9и13"/>
      <sheetName val="nphuocb_413"/>
      <sheetName val="bcth_05-013"/>
      <sheetName val="ESTI_14"/>
      <sheetName val="THU_T713"/>
      <sheetName val="CHI_T713"/>
      <sheetName val="THU_T613"/>
      <sheetName val="CHI_T613"/>
      <sheetName val="THU_T513"/>
      <sheetName val="CHI_T513"/>
      <sheetName val="THU_T413"/>
      <sheetName val="CHI_T413"/>
      <sheetName val="THU_T313"/>
      <sheetName val="CHI_T313"/>
      <sheetName val="THU_T213"/>
      <sheetName val="CHI_T213"/>
      <sheetName val="THU_T133"/>
      <sheetName val="CHI_T133"/>
      <sheetName val="TB_Grouping13"/>
      <sheetName val="Balance_Sheet13"/>
      <sheetName val="CHITIET_VL-NC13"/>
      <sheetName val="DON_GIA13"/>
      <sheetName val="So_lieu13"/>
      <sheetName val="tt_chu_dong13"/>
      <sheetName val="Tinh_j+cvi13"/>
      <sheetName val="Tinh_MoP13"/>
      <sheetName val="giai_he_213"/>
      <sheetName val="ct_luong_13"/>
      <sheetName val="Nhap_6T13"/>
      <sheetName val="Ranking_data13"/>
      <sheetName val="GDMN_113"/>
      <sheetName val="May_khau13"/>
      <sheetName val="PXKT6Via_1113"/>
      <sheetName val="PXKTLo_Thien_V_14A13"/>
      <sheetName val="V14_phu13"/>
      <sheetName val="Via_16_Lthien13"/>
      <sheetName val="mc_2006_&amp;_0912"/>
      <sheetName val="mc_2006_&amp;_57_&amp;_0912"/>
      <sheetName val="dongia_(2)12"/>
      <sheetName val="THPDMoi__(2)12"/>
      <sheetName val="t-h_HA_THE12"/>
      <sheetName val="CHITIET_VL-NC-TT_-1p12"/>
      <sheetName val="TONG_HOP_VL-NC_TT12"/>
      <sheetName val="TH_XL12"/>
      <sheetName val="TONGKE3p_12"/>
      <sheetName val="CHITIET_VL-NC-TT-3p12"/>
      <sheetName val="KPVC-BD_12"/>
      <sheetName val="Master_schedule12"/>
      <sheetName val="GDMN_212"/>
      <sheetName val="GDMN_312"/>
      <sheetName val="GDMN_412"/>
      <sheetName val="GDMN_512"/>
      <sheetName val="GDTH_112"/>
      <sheetName val="GDTH_212"/>
      <sheetName val="GDTH_312"/>
      <sheetName val="GDTH_412"/>
      <sheetName val="GDTH_512"/>
      <sheetName val="THCS_112"/>
      <sheetName val="THCS_212"/>
      <sheetName val="THCS_312"/>
      <sheetName val="THCS_412"/>
      <sheetName val="THCS_512"/>
      <sheetName val="THCS_612"/>
      <sheetName val="THPT_112"/>
      <sheetName val="THPT_212"/>
      <sheetName val="THPT_312"/>
      <sheetName val="THPT_412"/>
      <sheetName val="THPT_512"/>
      <sheetName val="THPT_612"/>
      <sheetName val="DH,CD,THCN_112"/>
      <sheetName val="DH,CD,THCN_212"/>
      <sheetName val="DH,CD,THCN_312"/>
      <sheetName val="GDKCQ_112"/>
      <sheetName val="GDKCQ_212"/>
      <sheetName val="_IBASE2_XLSѝTNHNoi13"/>
      <sheetName val="_IBASE2_XLS䁝BC6tT1712"/>
      <sheetName val="_IBASE2_XLS}BHXH12"/>
      <sheetName val="_IBASE2_XLS_Tong_hop_Matduong12"/>
      <sheetName val="BTHDT_TBA_12"/>
      <sheetName val="DS_tong12"/>
      <sheetName val="CDSM_(2)12"/>
      <sheetName val="Cost_Center_12"/>
      <sheetName val="Part_data12"/>
      <sheetName val="Vender_Data12"/>
      <sheetName val="lapdap_TB_12"/>
      <sheetName val="Tonf_hop12"/>
      <sheetName val="Ｍss_４Ｒ要員12"/>
      <sheetName val="Du_lieu13"/>
      <sheetName val="IMP_TAX12"/>
      <sheetName val="Dinh_muc_chuan12"/>
      <sheetName val="TH_du_toanð12"/>
      <sheetName val="TH_du_toan 12"/>
      <sheetName val="DS_Protecter12"/>
      <sheetName val="Klukng_phu12"/>
      <sheetName val="Handle_Set"/>
      <sheetName val="CVden_ngoai_TCT_(1)17"/>
      <sheetName val="CV_den_ngoai_TCT_(2)17"/>
      <sheetName val="CV_den_ngoai_TCT_(3)17"/>
      <sheetName val="QDcua_TGD17"/>
      <sheetName val="QD_cua_HDQT17"/>
      <sheetName val="QD_cua_HDQT_(2)17"/>
      <sheetName val="CV_di_ngoai_tong17"/>
      <sheetName val="CV_di_ngoai_tong_(2)17"/>
      <sheetName val="To_trinh17"/>
      <sheetName val="Giao_nhiem_vu17"/>
      <sheetName val="QDcua_TGD_(2)17"/>
      <sheetName val="Thong_tu17"/>
      <sheetName val="CV_di_trong__tong17"/>
      <sheetName val="nghi_dinh-CP17"/>
      <sheetName val="CV_den_trong_tong17"/>
      <sheetName val="GIA_NUOC17"/>
      <sheetName val="GIA_DIEN_THOAI17"/>
      <sheetName val="GIA_DIEN17"/>
      <sheetName val="chiet_tinh_XD17"/>
      <sheetName val="Triet_T17"/>
      <sheetName val="Phan_tich_gia17"/>
      <sheetName val="pHAN_CONG17"/>
      <sheetName val="GIA_XD17"/>
      <sheetName val="lapdat_TB_17"/>
      <sheetName val="TNghiªm_TB_17"/>
      <sheetName val="VËt_liÖu17"/>
      <sheetName val="Lap_®at_®iÖn17"/>
      <sheetName val="TNghiÖm_VL17"/>
      <sheetName val="th_17"/>
      <sheetName val="tien_luong17"/>
      <sheetName val="KHVt_17"/>
      <sheetName val="KHVt_XL17"/>
      <sheetName val="KHVt_XLT417"/>
      <sheetName val="Thep_be17"/>
      <sheetName val="Thep_than17"/>
      <sheetName val="Thep_xa_mu17"/>
      <sheetName val="142201-T1_17"/>
      <sheetName val="142201-T2-th_17"/>
      <sheetName val="142201-T3-th_17"/>
      <sheetName val="142201-T4-th__17"/>
      <sheetName val="_t517"/>
      <sheetName val="t_417"/>
      <sheetName val="_t3_17"/>
      <sheetName val="_TH33117"/>
      <sheetName val="_Minh_ha17"/>
      <sheetName val="_Ha_Tay17"/>
      <sheetName val="_Vinhphuc17"/>
      <sheetName val="_Nbinh17"/>
      <sheetName val="_QVinh17"/>
      <sheetName val="_TW117"/>
      <sheetName val="T_so_thay_doi17"/>
      <sheetName val="b_THchitietDZCT17"/>
      <sheetName val="b_THchitietTBA17"/>
      <sheetName val="Khao_sat17"/>
      <sheetName val="TT_khao_sat17"/>
      <sheetName val="Kluong_phu17"/>
      <sheetName val="Lan_can17"/>
      <sheetName val="Ho_lan17"/>
      <sheetName val="Coc_tieu17"/>
      <sheetName val="Bien_bao17"/>
      <sheetName val="Op_mai_27417"/>
      <sheetName val="Op_mai_27517"/>
      <sheetName val="Op_mai_27617"/>
      <sheetName val="Op_mai_27717"/>
      <sheetName val="Op_mai_27817"/>
      <sheetName val="Op_mai_27917"/>
      <sheetName val="Op_mai_28017"/>
      <sheetName val="Op_mai_28117"/>
      <sheetName val="Op_mai_28217"/>
      <sheetName val="Op_mai_28317"/>
      <sheetName val="Op_mai_28417"/>
      <sheetName val="Op_mai17"/>
      <sheetName val="Km274_-_Km27517"/>
      <sheetName val="Km275_-_Km27617"/>
      <sheetName val="Km276_-_Km27717"/>
      <sheetName val="Km277_-_Km278_17"/>
      <sheetName val="Km278_-_Km27917"/>
      <sheetName val="Km279_-_Km28017"/>
      <sheetName val="Km280_-_Km28117"/>
      <sheetName val="Km281_-_Km28217"/>
      <sheetName val="Km282_-_Km28317"/>
      <sheetName val="Km283_-_Km28417"/>
      <sheetName val="Km284_-_Km28517"/>
      <sheetName val="Tong_hop_Matduong17"/>
      <sheetName val="Cong_D7517"/>
      <sheetName val="Cong_D10017"/>
      <sheetName val="Cong_D15017"/>
      <sheetName val="Cong_2D15017"/>
      <sheetName val="Cong_ban_0,7x0,717"/>
      <sheetName val="Cong_ban_0,8x0,817"/>
      <sheetName val="Cong_ban_1x117"/>
      <sheetName val="Cong_ban_1x1,217"/>
      <sheetName val="Cong_ban_1,5x1,517"/>
      <sheetName val="Cong_ban_2x1,517"/>
      <sheetName val="Cong_ban_2x217"/>
      <sheetName val="Tong_hop17"/>
      <sheetName val="Tong_hop_(2)17"/>
      <sheetName val="Cong_cu17"/>
      <sheetName val="Cot_thep17"/>
      <sheetName val="Cong_tron_D7517"/>
      <sheetName val="Cong_tron_D10017"/>
      <sheetName val="Cong_tron_D15017"/>
      <sheetName val="Cong_tron_2D15017"/>
      <sheetName val="Cong_ban_1,0x1,017"/>
      <sheetName val="Cong_ban_1,0x1,217"/>
      <sheetName val="Cong_hop_1,5x1,517"/>
      <sheetName val="Cong_hop_2,0x1,517"/>
      <sheetName val="Cong_hop_2,0x2,017"/>
      <sheetName val="CDSL_(2)17"/>
      <sheetName val="TK_11217"/>
      <sheetName val="TK_13117"/>
      <sheetName val="TK_14117"/>
      <sheetName val="TK_15317"/>
      <sheetName val="TK_21117"/>
      <sheetName val="TK_24217"/>
      <sheetName val="TK_33417"/>
      <sheetName val="TK_51117"/>
      <sheetName val="TK_51517"/>
      <sheetName val="TK_91117"/>
      <sheetName val="VtuHaTheSauTBABenThuy1_(2)17"/>
      <sheetName val="Song_trai17"/>
      <sheetName val="Dinh+ha_nha17"/>
      <sheetName val="NG_k17"/>
      <sheetName val="Trich_Ngang17"/>
      <sheetName val="Danh_sach_Rieng17"/>
      <sheetName val="Dia_Diem_Thuc_Tap17"/>
      <sheetName val="De_Tai_Thuc_Tap17"/>
      <sheetName val="thkl_(2)17"/>
      <sheetName val="long_tec17"/>
      <sheetName val="KQKD02-2_(2)17"/>
      <sheetName val="KQKD-2_(2)17"/>
      <sheetName val="KQKD_thu200417"/>
      <sheetName val="T_K_H_T_T517"/>
      <sheetName val="T_K_T717"/>
      <sheetName val="TK_T617"/>
      <sheetName val="T_K_T517"/>
      <sheetName val="Bang_thong_ke_hang_ton17"/>
      <sheetName val="thong_ke_17"/>
      <sheetName val="T_KT0417"/>
      <sheetName val="Coc_617"/>
      <sheetName val="Deo_nai17"/>
      <sheetName val="CKD_than17"/>
      <sheetName val="CTT_Thong_nhat17"/>
      <sheetName val="CTT_Nui_beo17"/>
      <sheetName val="CTT_cao_son17"/>
      <sheetName val="CTT_Khe_cham17"/>
      <sheetName val="XNxlva_sxthanKCII17"/>
      <sheetName val="Cam_Y_ut_KC17"/>
      <sheetName val="CTxay_lap_mo_CP17"/>
      <sheetName val="CTdo_luong_GDSP17"/>
      <sheetName val="Dong_bac17"/>
      <sheetName val="Cac_cang_UT_mua_than_Dong_bac17"/>
      <sheetName val="cua_hang_vtu17"/>
      <sheetName val="Khach_hang_le_17"/>
      <sheetName val="nhat_ky_517"/>
      <sheetName val="cac_cong_ty_van_tai17"/>
      <sheetName val="K249_K9817"/>
      <sheetName val="K249_K98_(2)17"/>
      <sheetName val="K251_K9817"/>
      <sheetName val="K251_SBase17"/>
      <sheetName val="K251_AC17"/>
      <sheetName val="K252_K9817"/>
      <sheetName val="K252_SBase17"/>
      <sheetName val="K252_AC17"/>
      <sheetName val="K253_K9817"/>
      <sheetName val="K253_Subbase17"/>
      <sheetName val="K253_Base_17"/>
      <sheetName val="K253_SBase17"/>
      <sheetName val="K253_AC17"/>
      <sheetName val="K255_SBase17"/>
      <sheetName val="K259_K9817"/>
      <sheetName val="K259_Subbase17"/>
      <sheetName val="K259_Base_17"/>
      <sheetName val="K259_AC17"/>
      <sheetName val="K260_K9817"/>
      <sheetName val="K260_Subbase17"/>
      <sheetName val="K260_Base17"/>
      <sheetName val="K260_AC17"/>
      <sheetName val="K261_K9817"/>
      <sheetName val="K261_Base17"/>
      <sheetName val="K261_AC17"/>
      <sheetName val="F_ThanhTri17"/>
      <sheetName val="F_Gialam17"/>
      <sheetName val="TH_dam17"/>
      <sheetName val="SX_dam17"/>
      <sheetName val="LD_dam17"/>
      <sheetName val="Bang_gia_VL17"/>
      <sheetName val="Gia_NC17"/>
      <sheetName val="Gia_may17"/>
      <sheetName val="phan_tich_DG17"/>
      <sheetName val="gia_vat_lieu17"/>
      <sheetName val="gia_xe_may17"/>
      <sheetName val="gia_nhan_cong17"/>
      <sheetName val="SCT_Cong_trinh17"/>
      <sheetName val="06-2003_(2)17"/>
      <sheetName val="CDPS_6tc17"/>
      <sheetName val="SCT_Nha_thau17"/>
      <sheetName val="socai2003_(6tc)dp17"/>
      <sheetName val="socai2003_(6tc)17"/>
      <sheetName val="CDPS_6tc_(2)17"/>
      <sheetName val="Dancau-Q_Ninh17"/>
      <sheetName val="BaTrieu-L_son17"/>
      <sheetName val="Don_gia_CPM17"/>
      <sheetName val="Tong_Thieu_HD_cac_CT-200117"/>
      <sheetName val="VL_thieu_HD_-_200117"/>
      <sheetName val="Tong_thieu_HD_cac_CT_-_200217"/>
      <sheetName val="Lan_trai17"/>
      <sheetName val="Van_chuyen17"/>
      <sheetName val="HDong_VC17"/>
      <sheetName val="ThieuHD_nam_200117"/>
      <sheetName val="Bang_TH17"/>
      <sheetName val="Tong_Chinh17"/>
      <sheetName val="Xaylap_17"/>
      <sheetName val="Nhan_cong17"/>
      <sheetName val="giai_thich17"/>
      <sheetName val="DT_-_Ro17"/>
      <sheetName val="TH_-_Ro_17"/>
      <sheetName val="GDT_-_Ro17"/>
      <sheetName val="DT_-_TB17"/>
      <sheetName val="TH_-_TB17"/>
      <sheetName val="GDT_-_TB17"/>
      <sheetName val="DT_-_NT17"/>
      <sheetName val="TH_-_NT17"/>
      <sheetName val="GDT_-_NT17"/>
      <sheetName val="CV_di_trong__dong17"/>
      <sheetName val="Nhap_lieu17"/>
      <sheetName val="Tien_dien16"/>
      <sheetName val="Thue_GTGT16"/>
      <sheetName val="BC_TH_CK_(2)17"/>
      <sheetName val="BC_TH_CK17"/>
      <sheetName val="BC6tT19_food17"/>
      <sheetName val="BC6tT18_-_Food17"/>
      <sheetName val="BCCK_417"/>
      <sheetName val="BCFood-_T1617"/>
      <sheetName val="BCFood-_T1517"/>
      <sheetName val="BCFood-_T1417"/>
      <sheetName val="BCFood-_T1317"/>
      <sheetName val="TH_CK217"/>
      <sheetName val="BC6tT52_(3)17"/>
      <sheetName val="BC6tT52_(2)17"/>
      <sheetName val="TCK_1217"/>
      <sheetName val="Tong_CK17"/>
      <sheetName val="DOANH_SO17"/>
      <sheetName val="BD-SINH_VIEN17"/>
      <sheetName val="T03_-_0317"/>
      <sheetName val="THL_T0317"/>
      <sheetName val="TTBC_T0317"/>
      <sheetName val="Luong_noi_Bo_-_T317"/>
      <sheetName val="Tong_hop_-_T317"/>
      <sheetName val="Thuong_Quy_317"/>
      <sheetName val="Phu_cap_trach_nhiem17"/>
      <sheetName val="Tay_ninh17"/>
      <sheetName val="A_Duc17"/>
      <sheetName val="[IBASE2_XLSѝTNHNoi17"/>
      <sheetName val="So_sanh17"/>
      <sheetName val="HHVt_17"/>
      <sheetName val="bcth_05-0416"/>
      <sheetName val="baocao_05-0416"/>
      <sheetName val="ql_(2)16"/>
      <sheetName val="TH_du_toan_17"/>
      <sheetName val="Du_toan_17"/>
      <sheetName val="C_Tinh17"/>
      <sheetName val="Co~g_hop_1,5x1,517"/>
      <sheetName val="_KQTH_quy_hoach_13516"/>
      <sheetName val="Bao_cao_KQTH_quy_hoach_13516"/>
      <sheetName val="Co_quan_TCT17"/>
      <sheetName val="BOT_(PA_chon)17"/>
      <sheetName val="Yaly_&amp;_Ri_Ninh17"/>
      <sheetName val="Thuy_dien_Na_Loi17"/>
      <sheetName val="bang_so_sanh_tong_hop17"/>
      <sheetName val="bang_so_sanh_tong_hop_(ty_le)17"/>
      <sheetName val="thu_nhap_binh_quan_(2)17"/>
      <sheetName val="dang_huong17"/>
      <sheetName val="phuong_an_117"/>
      <sheetName val="phuong_an_1_(2)17"/>
      <sheetName val="phuong_an217"/>
      <sheetName val="tong_hop_BQ17"/>
      <sheetName val="tong_hop_BQ-117"/>
      <sheetName val="phuong_an_chon17"/>
      <sheetName val="tô_rôiDY16"/>
      <sheetName val="Heso_3-2004_(3)16"/>
      <sheetName val="Luong_(2)16"/>
      <sheetName val="heso_T316"/>
      <sheetName val="heso_T416"/>
      <sheetName val="heso_T516"/>
      <sheetName val="Heso_T616"/>
      <sheetName val="Heso_T716"/>
      <sheetName val="Heso_T816"/>
      <sheetName val="Heso_T916"/>
      <sheetName val="Heso_2-200416"/>
      <sheetName val="Heso_3-200416"/>
      <sheetName val="Heso_3-2004_(2)16"/>
      <sheetName val="nhan_su16"/>
      <sheetName val="luong_cty16"/>
      <sheetName val="Thang_416"/>
      <sheetName val="Luu_goc16"/>
      <sheetName val="km22+93_86-km22+121_8616"/>
      <sheetName val="km22+177_14-km22+205_6416"/>
      <sheetName val="Bang_20-2516"/>
      <sheetName val="km22+267_96-km22+283_9616"/>
      <sheetName val="km22+304_31-km22+344_3116"/>
      <sheetName val="km22+460_92-km22+614_5716"/>
      <sheetName val="km22+671_78-km22+713_3216"/>
      <sheetName val="_tuanM16"/>
      <sheetName val="CT_0316"/>
      <sheetName val="TH_0316"/>
      <sheetName val="bang_so_sanh_tong_hop_(_PA_ch16"/>
      <sheetName val="dang_ap_dung16"/>
      <sheetName val="bang_tong_hop_(dang_huong)16"/>
      <sheetName val="Dinh_ha_nha16"/>
      <sheetName val="[IBASE2_XLS}BHXH16"/>
      <sheetName val="[IBASE2_XLS䁝BC6tT1716"/>
      <sheetName val="THT_nam_0416"/>
      <sheetName val="HD_CTrinh116"/>
      <sheetName val="HD_benA16"/>
      <sheetName val="Theodoi_HD16"/>
      <sheetName val="Theodoi_HD_(2)16"/>
      <sheetName val="_GT_CPhi_tung_dot16"/>
      <sheetName val="chuong_phu16"/>
      <sheetName val="[IBASE2_XLS_Tong_hop_Matduong16"/>
      <sheetName val="THU_T1216"/>
      <sheetName val="CHI_T1216"/>
      <sheetName val="THU_T1116"/>
      <sheetName val="CHI_T1116"/>
      <sheetName val="THU_T1016"/>
      <sheetName val="CHI_T1016"/>
      <sheetName val="THU_T916"/>
      <sheetName val="CHI_T916"/>
      <sheetName val="THU_T816"/>
      <sheetName val="CHI_T816"/>
      <sheetName val="chi_phi_cap_tien16"/>
      <sheetName val="BC§_200116"/>
      <sheetName val="BBC§_200216"/>
      <sheetName val="TSC§_200116"/>
      <sheetName val="TSc®_200216"/>
      <sheetName val="BaTrieu-L_con16"/>
      <sheetName val="EDT_-_Ro16"/>
      <sheetName val="KHVô_XL16"/>
      <sheetName val="TD_khao_sat16"/>
      <sheetName val="THANG7_16"/>
      <sheetName val="THANG_1116"/>
      <sheetName val="THANG_1216"/>
      <sheetName val="phuong_aL_116"/>
      <sheetName val="Khac_DP16"/>
      <sheetName val="Khoi_than_16"/>
      <sheetName val="TK__TK16"/>
      <sheetName val="Bang_can_doi_16"/>
      <sheetName val="De_Tai_Vhuc_Tap16"/>
      <sheetName val="02_116"/>
      <sheetName val="2_116"/>
      <sheetName val="2_316"/>
      <sheetName val="02_316"/>
      <sheetName val="B_0116"/>
      <sheetName val="B_0316"/>
      <sheetName val="D_1316"/>
      <sheetName val="[IBASE2_XLS?TNHNoi16"/>
      <sheetName val="Tinh_hinh_cat_lang16"/>
      <sheetName val="Tinh_hinh_SX_phu16"/>
      <sheetName val="Tinh_hinh_do_xop16"/>
      <sheetName val="Cong_hop_2,0ࡸ2,015"/>
      <sheetName val="Sat_tron15"/>
      <sheetName val="(9_30)_IP15"/>
      <sheetName val="Cong_tron_D7'15"/>
      <sheetName val="2_7415"/>
      <sheetName val="CN-QV_FG15"/>
      <sheetName val="CN-QV_RM15"/>
      <sheetName val="PHAV_R_M15"/>
      <sheetName val="PHAV_F_G15"/>
      <sheetName val="TOA_R_M15"/>
      <sheetName val="TOA_F_G15"/>
      <sheetName val="CVN_R_M15"/>
      <sheetName val="CVN_F_G15"/>
      <sheetName val="DENSO_R_M15"/>
      <sheetName val="DENSO_F_G15"/>
      <sheetName val="SATO_RM15"/>
      <sheetName val="SATO_F_G15"/>
      <sheetName val="Up_to_200213"/>
      <sheetName val="det_VP14"/>
      <sheetName val="det_hn14"/>
      <sheetName val="chi_Hieu14"/>
      <sheetName val="c_thoa14"/>
      <sheetName val="A_thanh_-_DL14"/>
      <sheetName val="A_Tuyen14"/>
      <sheetName val="A_Tien_-laphu14"/>
      <sheetName val="A_Thang-_laphu14"/>
      <sheetName val="A_Dong14"/>
      <sheetName val="27-7_NB14"/>
      <sheetName val="xn_514"/>
      <sheetName val="PKD_X2014"/>
      <sheetName val="da_giay_SG14"/>
      <sheetName val="dagiay_XK14"/>
      <sheetName val="DK_Dong_xuan14"/>
      <sheetName val="chu_Ton14"/>
      <sheetName val="minh_tri14"/>
      <sheetName val="viet_huy14"/>
      <sheetName val="thanh_ha14"/>
      <sheetName val="O_Su14"/>
      <sheetName val="A_Ha-DL14"/>
      <sheetName val="Vinh_oanh14"/>
      <sheetName val="chi_Thuy14"/>
      <sheetName val="chu_Hong14"/>
      <sheetName val="thuy-_may14"/>
      <sheetName val="vu_yen14"/>
      <sheetName val="OPERATING_HEAD14"/>
      <sheetName val="31_12_0114"/>
      <sheetName val="Tong_hop_xuat_kho_nvl14"/>
      <sheetName val="Xuat_kho14"/>
      <sheetName val="Tong_hop_so_lieu_tai_nhap_kho14"/>
      <sheetName val="tai_nhap_kho14"/>
      <sheetName val="Nhap_kho14"/>
      <sheetName val="Tong_ket_nhap_kho14"/>
      <sheetName val="Tong_ket14"/>
      <sheetName val="cac_ma_can_huy14"/>
      <sheetName val="Hang_hong14"/>
      <sheetName val="Tham_khao14"/>
      <sheetName val="hang_khong_co_packing14"/>
      <sheetName val="VtuHaTheSauTBABenThuy1_Ш2)14"/>
      <sheetName val="K252_K9и14"/>
      <sheetName val="nphuocb_414"/>
      <sheetName val="bcth_05-014"/>
      <sheetName val="ESTI_15"/>
      <sheetName val="THU_T714"/>
      <sheetName val="CHI_T714"/>
      <sheetName val="THU_T614"/>
      <sheetName val="CHI_T614"/>
      <sheetName val="THU_T514"/>
      <sheetName val="CHI_T514"/>
      <sheetName val="THU_T414"/>
      <sheetName val="CHI_T414"/>
      <sheetName val="THU_T314"/>
      <sheetName val="CHI_T314"/>
      <sheetName val="THU_T214"/>
      <sheetName val="CHI_T214"/>
      <sheetName val="THU_T134"/>
      <sheetName val="CHI_T134"/>
      <sheetName val="TB_Grouping14"/>
      <sheetName val="Balance_Sheet14"/>
      <sheetName val="CHITIET_VL-NC14"/>
      <sheetName val="DON_GIA14"/>
      <sheetName val="So_lieu14"/>
      <sheetName val="tt_chu_dong14"/>
      <sheetName val="Tinh_j+cvi14"/>
      <sheetName val="Tinh_MoP14"/>
      <sheetName val="giai_he_214"/>
      <sheetName val="ct_luong_14"/>
      <sheetName val="Nhap_6T14"/>
      <sheetName val="Ranking_data14"/>
      <sheetName val="GDMN_114"/>
      <sheetName val="May_khau14"/>
      <sheetName val="PXKT6Via_1114"/>
      <sheetName val="PXKTLo_Thien_V_14A14"/>
      <sheetName val="V14_phu14"/>
      <sheetName val="Via_16_Lthien14"/>
      <sheetName val="mc_2006_&amp;_0913"/>
      <sheetName val="mc_2006_&amp;_57_&amp;_0913"/>
      <sheetName val="dongia_(2)13"/>
      <sheetName val="THPDMoi__(2)13"/>
      <sheetName val="t-h_HA_THE13"/>
      <sheetName val="CHITIET_VL-NC-TT_-1p13"/>
      <sheetName val="TONG_HOP_VL-NC_TT13"/>
      <sheetName val="TH_XL13"/>
      <sheetName val="TONGKE3p_13"/>
      <sheetName val="CHITIET_VL-NC-TT-3p13"/>
      <sheetName val="KPVC-BD_13"/>
      <sheetName val="Master_schedule13"/>
      <sheetName val="GDMN_213"/>
      <sheetName val="GDMN_313"/>
      <sheetName val="GDMN_413"/>
      <sheetName val="GDMN_513"/>
      <sheetName val="GDTH_113"/>
      <sheetName val="GDTH_213"/>
      <sheetName val="GDTH_313"/>
      <sheetName val="GDTH_413"/>
      <sheetName val="GDTH_513"/>
      <sheetName val="THCS_113"/>
      <sheetName val="THCS_213"/>
      <sheetName val="THCS_313"/>
      <sheetName val="THCS_413"/>
      <sheetName val="THCS_513"/>
      <sheetName val="THCS_613"/>
      <sheetName val="THPT_113"/>
      <sheetName val="THPT_213"/>
      <sheetName val="THPT_313"/>
      <sheetName val="THPT_413"/>
      <sheetName val="THPT_513"/>
      <sheetName val="THPT_613"/>
      <sheetName val="DH,CD,THCN_113"/>
      <sheetName val="DH,CD,THCN_213"/>
      <sheetName val="DH,CD,THCN_313"/>
      <sheetName val="GDKCQ_113"/>
      <sheetName val="GDKCQ_213"/>
      <sheetName val="_IBASE2_XLSѝTNHNoi14"/>
      <sheetName val="_IBASE2_XLS䁝BC6tT1713"/>
      <sheetName val="_IBASE2_XLS}BHXH13"/>
      <sheetName val="_IBASE2_XLS_Tong_hop_Matduong13"/>
      <sheetName val="BTHDT_TBA_13"/>
      <sheetName val="DS_tong13"/>
      <sheetName val="CDSM_(2)13"/>
      <sheetName val="Cost_Center_13"/>
      <sheetName val="Part_data13"/>
      <sheetName val="Vender_Data13"/>
      <sheetName val="lapdap_TB_13"/>
      <sheetName val="Tonf_hop13"/>
      <sheetName val="Ｍss_４Ｒ要員13"/>
      <sheetName val="Du_lieu14"/>
      <sheetName val="IMP_TAX13"/>
      <sheetName val="Dinh_muc_chuan13"/>
      <sheetName val="TH_du_toanð13"/>
      <sheetName val="TH_du_toan 13"/>
      <sheetName val="DS_Protecter13"/>
      <sheetName val="Klukng_phu13"/>
      <sheetName val="Handle_Set1"/>
      <sheetName val="Muo"/>
      <sheetName val="Labor+Equi"/>
      <sheetName val="Material (2)"/>
      <sheetName val="Muongðe"/>
      <sheetName val="Sat L"/>
      <sheetName val="TinhToan"/>
      <sheetName val="D-product"/>
      <sheetName val="Dinh Muc VT"/>
      <sheetName val="Sheet2 (2)"/>
      <sheetName val="mst"/>
      <sheetName val="Ge"/>
      <sheetName val="Ct- DZ35kV"/>
      <sheetName val="Order contact list to PUR"/>
      <sheetName val="Furnitures"/>
      <sheetName val="Project Management"/>
      <sheetName val="DM"/>
      <sheetName val="CableSum"/>
      <sheetName val="DM đoi tac"/>
      <sheetName val="Price Schedule_ABB"/>
      <sheetName val="Danh gia NL chuyen mon ca nhan"/>
      <sheetName val="Hoan thanh"/>
      <sheetName val="Khoach"/>
      <sheetName val="q2"/>
      <sheetName val="PHAT SINH THANH PHAM"/>
      <sheetName val="3.03.1.ButtoanDC"/>
      <sheetName val="PL_1_2"/>
      <sheetName val="DTC_x0008_"/>
      <sheetName val="Du toan"/>
      <sheetName val="tai trong &amp; he so phan bo ngang"/>
      <sheetName val="gioi thieu"/>
      <sheetName val="SBay"/>
      <sheetName val="?ԂĀC"/>
      <sheetName val="DHKK"/>
      <sheetName val="CV di trůng  tong"/>
      <sheetName val="HAT1"/>
      <sheetName val="HAT2"/>
      <sheetName val="HAT3"/>
      <sheetName val="RATE"/>
      <sheetName val="QDcua TGD (2)????????????䚼˰?_x0004_??"/>
      <sheetName val="ChiTietDZ"/>
      <sheetName val="VuaBT"/>
      <sheetName val="BTHDT_TBA_x000d_"/>
      <sheetName val="BTHDT_TBA_x000a_"/>
      <sheetName val="?"/>
      <sheetName val="Cong tron D100_x000e_"/>
      <sheetName val="Chi tiet"/>
      <sheetName val="No"/>
      <sheetName val="Danh_sach"/>
      <sheetName val="Danh sách"/>
      <sheetName val="Milestone Doc"/>
      <sheetName val="VF-Glob+Regl"/>
      <sheetName val="Vol Frcst"/>
      <sheetName val="CDPS"/>
      <sheetName val="Mã_cũ-mới"/>
      <sheetName val="Mã_cũ-mới1"/>
      <sheetName val="Cong tron D7_"/>
      <sheetName val="phatsinh"/>
      <sheetName val="Mã_cũ-mới2"/>
      <sheetName val="Mã_cũ-mới3"/>
      <sheetName val="I-KAMAR"/>
      <sheetName val="CAL."/>
      <sheetName val="O6"/>
      <sheetName val="Weight Bridge"/>
      <sheetName val="Fax message"/>
      <sheetName val="C. NEW BLDG-PLUMBING WORK"/>
      <sheetName val="静圧"/>
      <sheetName val="U.P List"/>
      <sheetName val="FAB별"/>
      <sheetName val="HAT4"/>
      <sheetName val="HAT5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K&amp;D02-2 (2)"/>
      <sheetName val="K25_x0005__x0000__x0000__x0000_"/>
      <sheetName val="K25"/>
      <sheetName val="NHAPLIEU"/>
      <sheetName val="Lunch1"/>
      <sheetName val="Page 3"/>
      <sheetName val="Page 23 (a)"/>
      <sheetName val="Page18"/>
      <sheetName val="GIA"/>
      <sheetName val="Mercer Sub Family"/>
      <sheetName val="Instructions"/>
      <sheetName val="Price list"/>
      <sheetName val="Thông tin khách hàng"/>
      <sheetName val="Master list"/>
      <sheetName val="Local Supplỉer list"/>
      <sheetName val="Information"/>
      <sheetName val="Danh muc NVL"/>
      <sheetName val="DOTBud"/>
      <sheetName val="511-FAST"/>
      <sheetName val="NPL_FUJI"/>
      <sheetName val="OB12 % Margin"/>
      <sheetName val="生Ｄａｔａ１"/>
      <sheetName val="2002"/>
      <sheetName val="NHAP"/>
      <sheetName val="COVER"/>
      <sheetName val="記入例"/>
      <sheetName val="EXPNEW"/>
      <sheetName val="INOVASI TOTAL"/>
      <sheetName val="KIRIMTIKNO"/>
      <sheetName val="FEB04"/>
      <sheetName val="KAP_MC"/>
      <sheetName val="FITTINGS EXP PRICE LIST"/>
      <sheetName val="Fit Exp"/>
      <sheetName val="San Exp"/>
      <sheetName val="Placemakers"/>
      <sheetName val="Total (revision)"/>
      <sheetName val="INOVASI_TOTAL"/>
      <sheetName val="FITTINGS_EXP_PRICE_LIST"/>
      <sheetName val="Fit_Exp"/>
      <sheetName val="San_Exp"/>
      <sheetName val="Fitting"/>
      <sheetName val="PL 2004"/>
      <sheetName val="PL 2005"/>
      <sheetName val="Packing_type_2"/>
      <sheetName val="Packing_type_21"/>
      <sheetName val="Packing_type_22"/>
      <sheetName val="setter RIM"/>
      <sheetName val="setter KAKI"/>
      <sheetName val="setter KAKI _2_"/>
      <sheetName val="su2nrim _2_"/>
      <sheetName val="TMP"/>
      <sheetName val="HASIL"/>
      <sheetName val="RENCANA "/>
      <sheetName val="全体出荷見込み見直し_991111"/>
      <sheetName val="原価設定C+U+L代表品番"/>
      <sheetName val="生産シュミレーション"/>
      <sheetName val="Nhap_lieó"/>
      <sheetName val="FitOutConfCentre"/>
      <sheetName val="PAD-F"/>
      <sheetName val="KL HSMT tinh thieu"/>
      <sheetName val="Bang tra"/>
      <sheetName val="DON GIA CAN THO"/>
      <sheetName val="danhmuc"/>
      <sheetName val="TOTAL-PL"/>
      <sheetName val="Del"/>
      <sheetName val="LuoJgT11"/>
      <sheetName val="Master sheet"/>
      <sheetName val="bangluonh"/>
      <sheetName val="IBASER"/>
      <sheetName val="bangluon\"/>
      <sheetName val="bangluonN"/>
      <sheetName val="bangluon-"/>
      <sheetName val="bangluon`"/>
      <sheetName val="NX-3"/>
      <sheetName val="Adjusted TNCN"/>
      <sheetName val="[IBASE2.XLS_BC6tT9"/>
      <sheetName val="mh"/>
      <sheetName val="VPIC1"/>
      <sheetName val="BANG DE EDIT"/>
      <sheetName val="piping"/>
      <sheetName val="DI_ESTI"/>
      <sheetName val="(DJC) JV"/>
      <sheetName val="nhapkho"/>
      <sheetName val="hdonhoan"/>
      <sheetName val="HdonManh"/>
      <sheetName val="HDonquyet"/>
      <sheetName val="BGiaQuyet"/>
      <sheetName val="DToan"/>
      <sheetName val="BgiaHoan"/>
      <sheetName val="xuat"/>
      <sheetName val="Km275-Km2з6"/>
      <sheetName val="CT_LCGT"/>
      <sheetName val="CT_LCTT"/>
      <sheetName val="TM_ChenhLechCT"/>
      <sheetName val="dieu_chinh"/>
      <sheetName val="Danh_muc"/>
      <sheetName val="Bao_cao"/>
      <sheetName val="Phan_bo"/>
      <sheetName val="go tron"/>
      <sheetName val="x -11-7"/>
      <sheetName val="MATK_M"/>
      <sheetName val="CDTKHOAN"/>
      <sheetName val="loptren"/>
      <sheetName val="Tkedo "/>
      <sheetName val="X_x0003_"/>
      <sheetName val="hoan th 15"/>
      <sheetName val="Khoach 15"/>
      <sheetName val="HT 22"/>
      <sheetName val="KH 22"/>
      <sheetName val="KH29"/>
      <sheetName val="KH T8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explain"/>
      <sheetName val="kp chi tiet"/>
      <sheetName val="Vat lieu"/>
      <sheetName val="KHOAN"/>
      <sheetName val="CAPVATU"/>
      <sheetName val="to trinh mua VT"/>
      <sheetName val="Denghi tam ung"/>
      <sheetName val="KTRVATU "/>
      <sheetName val="MAU GNHH"/>
      <sheetName val="T.toan1"/>
      <sheetName val="Bang quyet toan VT"/>
      <sheetName val="q3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dq"/>
      <sheetName val="bang thong ke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Vinh"/>
      <sheetName val="Hanh"/>
      <sheetName val="Chinh"/>
      <sheetName val="Triet"/>
      <sheetName val="Hien"/>
      <sheetName val="Tong"/>
      <sheetName val="Thuchi "/>
      <sheetName val="Phantich"/>
      <sheetName val="Toan_DA"/>
      <sheetName val="2004"/>
      <sheetName val="2005"/>
      <sheetName val="KHNH T3-T10"/>
      <sheetName val="KHNH T4-T10"/>
      <sheetName val="Outlets"/>
      <sheetName val="PGs"/>
      <sheetName val="01-03"/>
      <sheetName val="Gia Ban"/>
      <sheetName val="GiaCK"/>
      <sheetName val="Gia DSRs"/>
      <sheetName val="Gia NTD"/>
      <sheetName val="GiaVon"/>
      <sheetName val="17_x0000__x0000__x0000__x0000__x0000__x0000__x0000__x0000__x0000__x0000__x0000_㏘ĳ_x0000__x0004__x0000__x0000__x0000__x0000__x0000__x0000_⣬ĳ_x0000__x0000__x0000__x0000__x0000__x0000_"/>
      <sheetName val="Summary (USD)"/>
      <sheetName val="Summary (VND)"/>
      <sheetName val="A"/>
      <sheetName val="B"/>
      <sheetName val="D"/>
      <sheetName val="E"/>
      <sheetName val="F1"/>
      <sheetName val="F2"/>
      <sheetName val="G"/>
      <sheetName val="3rd party"/>
      <sheetName val="interco "/>
      <sheetName val="Info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SQ"/>
      <sheetName val="QNCN"/>
      <sheetName val="CNVQP"/>
      <sheetName val="thanh toan"/>
      <sheetName val="17_x0000_̃̃̃̃̃̃̃̃̃̃̃̃̃̃̃̃̃̃̃̃̃̃̃̃̃̃̃̃"/>
      <sheetName val="Q1-02"/>
      <sheetName val="Q2-02"/>
      <sheetName val="Q3-02"/>
      <sheetName val="DMVT"/>
      <sheetName val="02-03"/>
      <sheetName val="03-03"/>
      <sheetName val="THCTVT"/>
      <sheetName val="VT-01"/>
      <sheetName val="NL-01"/>
      <sheetName val="VT-02"/>
      <sheetName val="NL-02"/>
      <sheetName val="VT-03"/>
      <sheetName val="NL-03"/>
      <sheetName val="VT-04"/>
      <sheetName val="NL-04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TK 711"/>
      <sheetName val="TK 632"/>
      <sheetName val="TK627"/>
      <sheetName val="TK623"/>
      <sheetName val="TK622"/>
      <sheetName val="TK621"/>
      <sheetName val="Chi tiet 511"/>
      <sheetName val="TK 342 ( thue T.C )"/>
      <sheetName val="TK338"/>
      <sheetName val="Phat sinh 2005"/>
      <sheetName val="TK334"/>
      <sheetName val="TK 341vay dai han "/>
      <sheetName val="TK311"/>
      <sheetName val="TK 214"/>
      <sheetName val="TK 212"/>
      <sheetName val="Chi tiet 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33"/>
      <sheetName val="Chi tiet TK131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KL khu A"/>
      <sheetName val="T.H d ong"/>
      <sheetName val="17_x0000_㏘ĳ_x0000__x0004__x0000_⣬ĳ_x0000_㏸ĳ_x0000__x0015__x0000__x000e_[IBASE2.XLS]21"/>
      <sheetName val="17???????????㏘ĳ?_x0004_??????⣬ĳ??????"/>
      <sheetName val="General"/>
      <sheetName val="T²_x0000__x0000_ "/>
      <sheetName val="Rau"/>
      <sheetName val="CoNgam"/>
      <sheetName val="Thit"/>
      <sheetName val="mam"/>
      <sheetName val="dau"/>
      <sheetName val="gia vi"/>
      <sheetName val="mi chinh"/>
      <sheetName val="muoi"/>
      <sheetName val="Trung  vit"/>
      <sheetName val="TT - tien chi ha TT"/>
      <sheetName val="17?̃̃̃̃̃̃̃̃̃̃̃̃̃̃̃̃̃̃̃̃̃̃̃̃̃̃̃̃"/>
      <sheetName val="??_x0000__x0000__x0000__x0000__x0000__x0000__x0000__x0000_??_x0000__x0000__x0013__x0000__x0000__x0000__x0000__x0000__x0000__x0000__x0000__x0000__x0000__x0000__x000e_[IBA"/>
      <sheetName val="17_x0000__x0000__x0000__x0000__x0000__x0000__x0000__x0000__x0000__x0000__x0000_??_x0000__x0004__x0000__x0000__x0000__x0000__x0000__x0000_??_x0000__x0000__x0000__x0000__x0000__x0000_"/>
      <sheetName val="~~~~~~~~~~~~~~~~~~~~~~~~~~~~~~~"/>
      <sheetName val="17?㏘ĳ?_x0004_?⣬ĳ?㏸ĳ?_x0015_?_x000e_[IBASE2.XLS]21"/>
      <sheetName val="17_x0000_??_x0000__x0004__x0000_??_x0000_??_x0000__x0015__x0000__x000e_[IBASE2.XLS]21"/>
      <sheetName val="??????????????_x0013_???????????_x000e_[IBA"/>
      <sheetName val="17????_x0004_???????_x0015_?_x000e_[IBASE2.XLS]21"/>
      <sheetName val="VE Estimate"/>
      <sheetName val="__"/>
      <sheetName val="17___________㏘ĳ__x0004_______⣬ĳ______"/>
      <sheetName val="T²"/>
      <sheetName val="17_̃̃̃̃̃̃̃̃̃̃̃̃̃̃̃̃̃̃̃̃̃̃̃̃̃̃̃̃"/>
      <sheetName val="GioiThieu"/>
      <sheetName val="DanhMuc_SoDu"/>
      <sheetName val="Phat_Sinh"/>
      <sheetName val="SoTSCD"/>
      <sheetName val="So_KHQuiII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bang_thong_ke"/>
      <sheetName val="bang_chuan"/>
      <sheetName val="bien_&lt;200_m2"/>
      <sheetName val="bang_chuan_(2)"/>
      <sheetName val="thue_(chinh_thuc)"/>
      <sheetName val="thue_(2)"/>
      <sheetName val="bang_doi_chieu"/>
      <sheetName val="KHNH_T3-T10"/>
      <sheetName val="KHNH_T4-T10"/>
      <sheetName val="KL_khu_A"/>
      <sheetName val="T_H_d_ong"/>
      <sheetName val="Gia_Ban"/>
      <sheetName val="Gia_DSRs"/>
      <sheetName val="Gia_NTD"/>
      <sheetName val="Summary_(USD)"/>
      <sheetName val="Summary_(VND)"/>
      <sheetName val="3rd_party"/>
      <sheetName val="interco_"/>
      <sheetName val="Thuchi_"/>
      <sheetName val="THNHA_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17㏘ĳ⣬ĳ"/>
      <sheetName val="thanh_toan"/>
      <sheetName val="Sheet2_(2)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17㏘ĳ⣬ĳ㏸ĳ[IBASE2_XLS]21"/>
      <sheetName val="17?㏘ĳ??⣬ĳ?㏸ĳ??[IBASE2_XLS]21"/>
      <sheetName val="????[IBA"/>
      <sheetName val="17??????[IBASE2_XLS]21"/>
      <sheetName val="?????????????????????????[IBA"/>
      <sheetName val="17????????????[IBASE2_XLS]21"/>
      <sheetName val="17????"/>
      <sheetName val="T_LBD"/>
      <sheetName val="CL_BD"/>
      <sheetName val="T_L_Dien"/>
      <sheetName val="T_LSan"/>
      <sheetName val="T_LWC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T01"/>
      <sheetName val="T02"/>
      <sheetName val="T03"/>
      <sheetName val="T04"/>
      <sheetName val="t05"/>
      <sheetName val="TONGHOP "/>
      <sheetName val="TINH THUE (2)"/>
      <sheetName val="TINH THUE"/>
      <sheetName val="TH-NOPTHUE"/>
      <sheetName val="BS-LUONG"/>
      <sheetName val="17_㏘ĳ__x0004__⣬ĳ_㏸ĳ__x0015___x000e__IBASE2.XLS_21"/>
      <sheetName val="_______________x0013_____________x000e__IBA"/>
      <sheetName val="17_____x0004_________x0015___x000e__IBASE2.XLS_21"/>
      <sheetName val="UTSBSPC1"/>
      <sheetName val="BD"/>
      <sheetName val="17_x005f_x0000__x005f_x0000__x005f_x0000__x005f_x0000__"/>
      <sheetName val="17_x005f_x0000_̃̃̃̃̃̃̃̃̃̃̃̃̃̃̃̃̃̃̃̃̃̃"/>
      <sheetName val="17???????????㏘ĳ?_x005f_x0004_??????⣬ĳ"/>
      <sheetName val="17_x005f_x0000_㏘ĳ_x005f_x0000__x005f_x0004__x0000"/>
      <sheetName val="17___________㏘ĳ__x005f_x0004_______⣬ĳ"/>
      <sheetName val="Tinh san"/>
      <sheetName val="??"/>
      <sheetName val="P&amp;L"/>
      <sheetName val="TTTram"/>
      <sheetName val="細目"/>
      <sheetName val="III.10. Road"/>
      <sheetName val="PHU LUC2"/>
      <sheetName val="lt"/>
      <sheetName val="PL1"/>
      <sheetName val="PL2"/>
      <sheetName val="PL3"/>
      <sheetName val="PL4"/>
      <sheetName val="IBASE2.XLS"/>
      <sheetName val="DM-AGC"/>
      <sheetName val="F6"/>
      <sheetName val="DM-BXD"/>
      <sheetName val="Thep"/>
      <sheetName val="6F-W3"/>
      <sheetName val="Tuan"/>
      <sheetName val="Phiếu luân chuyển"/>
      <sheetName val="IPC 0      2"/>
      <sheetName val="ngày"/>
      <sheetName val="IPC"/>
      <sheetName val="GIA TRI-AGC"/>
      <sheetName val="THKL NC"/>
      <sheetName val="GTKT NTTD"/>
      <sheetName val="XNKL"/>
      <sheetName val="SS NHÂN CÔNG"/>
      <sheetName val="KL NC"/>
      <sheetName val="GTKT"/>
      <sheetName val="KLKT"/>
      <sheetName val="THPLCN"/>
      <sheetName val="P.BAN"/>
      <sheetName val="Makekup"/>
      <sheetName val="NKC6"/>
      <sheetName val="BCNXT"/>
      <sheetName val="M+MC"/>
      <sheetName val="MHSCT"/>
      <sheetName val="summarize"/>
      <sheetName val="CT00"/>
      <sheetName val="CT01"/>
      <sheetName val="TKTK"/>
      <sheetName val="ONG"/>
      <sheetName val="TERMINAL"/>
      <sheetName val="JOINT"/>
      <sheetName val="Hồ sơ"/>
      <sheetName val="Mua"/>
      <sheetName val="월별손익Net PL전"/>
      <sheetName val="Sampling Table"/>
      <sheetName val="Total Cost"/>
      <sheetName val="NHAP VT"/>
      <sheetName val="YCP046-4"/>
      <sheetName val="PCB Assy Condition List"/>
      <sheetName val="回路組立費"/>
      <sheetName val="gngT2"/>
      <sheetName val="OT-Oct"/>
      <sheetName val="_IBASE2.XLS_TNHNoi"/>
      <sheetName val="XXXXXX_X"/>
      <sheetName val="Km282-Km_x0003__3"/>
      <sheetName val="L_gngT2"/>
      <sheetName val="__x0000__x0000_0_x0000__x0000__x0000__x0000__x0000__x0000__x0000__x0000__x0000__x0000__x0000__x0000__x0000__x0000__x0000__x001d__IBASE2.XLS"/>
      <sheetName val="_"/>
      <sheetName val="Km282-Km_3"/>
      <sheetName val="_IBASE2_XLS_TNHNoi"/>
      <sheetName val="_0_IBASE2_XLS"/>
      <sheetName val="T6-99_x0000__x0000__x0000__x0000__x0000__x0000__x0000__x0000__x0000__x0000__x0009__x0000__x0012__IBASE2.XLS_T"/>
      <sheetName val="_IBASE2_XLS_TNHNoi1"/>
      <sheetName val="Cong_tron_D7_"/>
      <sheetName val="_IBASE2_XLS_TNHNoi2"/>
      <sheetName val="T6-99_x0000__x0000__x0000__x0000__x0000__x0000__x0000__x0000__x0000__x0000_ _x0000__x0012__IBASE2.XLS_T"/>
      <sheetName val="_IBASE2.XLS뭝êm283-Km284"/>
      <sheetName val="Tþ"/>
      <sheetName val="실행비교"/>
      <sheetName val="steam table"/>
      <sheetName val="F GialԀ_x0000_"/>
      <sheetName val="MOB-MAN1"/>
      <sheetName val="C¸"/>
      <sheetName val="계실"/>
      <sheetName val="견적 집계"/>
      <sheetName val="ex-shell"/>
      <sheetName val="Piping Design Data"/>
      <sheetName val="DJ1"/>
      <sheetName val="6MONTHS"/>
      <sheetName val="ELEMENT SUM"/>
      <sheetName val="TOSHIBA-Structure"/>
      <sheetName val="pile and pile cap"/>
      <sheetName val="Tke"/>
      <sheetName val="Sheet"/>
      <sheetName val="TLG Type"/>
      <sheetName val="KABPREIS"/>
      <sheetName val="DSTP"/>
      <sheetName val="PTDM"/>
      <sheetName val="KABPREIS.XLS"/>
      <sheetName val="dg-VTu"/>
      <sheetName val="LEGEND"/>
      <sheetName val="PART_DISCOUNT"/>
      <sheetName val="FD"/>
      <sheetName val="GI"/>
      <sheetName val="EE (3)"/>
      <sheetName val="PAVEMENT"/>
      <sheetName val="TRAFFIC"/>
      <sheetName val="Abutment"/>
      <sheetName val="Thong so"/>
      <sheetName val="vatu nhan cua dlBG"/>
      <sheetName val="Danh mục"/>
      <sheetName val="khung ten TD"/>
      <sheetName val="LBControl"/>
      <sheetName val="DSGT"/>
      <sheetName val="DSNT"/>
      <sheetName val="soHD"/>
      <sheetName val="Ma Phu"/>
      <sheetName val="HD_x0000_"/>
      <sheetName val="GIA-VAT-LIEU"/>
      <sheetName val="PT MAY"/>
      <sheetName val="t? r?iDY"/>
      <sheetName val="nsu"/>
      <sheetName val="9cauTV"/>
      <sheetName val="Tien_luong_(2)"/>
      <sheetName val="DTX-NGG_XLS"/>
      <sheetName val="chenh_lech"/>
      <sheetName val="CL_Hµ_t©y"/>
      <sheetName val="CL_Bæ_tóc"/>
      <sheetName val="DT_Ph­¬ng_mai_1"/>
      <sheetName val="Ma_Phu"/>
      <sheetName val="PT_MAY"/>
      <sheetName val="TNghi?m_TB_"/>
      <sheetName val="V?t_li?u"/>
      <sheetName val="Lap_?at_?i?n"/>
      <sheetName val="TNghi?m_VL"/>
      <sheetName val="t?_r?iDY"/>
      <sheetName val="TH vat tu"/>
      <sheetName val="Bill of Qty MEP"/>
      <sheetName val="Ｎｏ.13"/>
      <sheetName val="차액보증"/>
      <sheetName val="Base M&amp;E"/>
      <sheetName val="Villa A"/>
      <sheetName val="HRG BHN"/>
      <sheetName val="전기"/>
      <sheetName val="Thuc thanh"/>
      <sheetName val="個案9411"/>
      <sheetName val="coctuatrenda"/>
      <sheetName val="Packing_type_23"/>
      <sheetName val="QDcua_TGD_(0)"/>
      <sheetName val="NKChung_"/>
      <sheetName val="setter_RIM"/>
      <sheetName val="setter_KAKI"/>
      <sheetName val="setter_KAKI__2_"/>
      <sheetName val="su2nrim__2_"/>
      <sheetName val="RENCANA_"/>
      <sheetName val="Sept_01_(2)"/>
      <sheetName val="Aug_"/>
      <sheetName val="200000000헾】"/>
      <sheetName val="INOVASI_TOTAL1"/>
      <sheetName val="FITTINGS_EXP_PRICE_LIST1"/>
      <sheetName val="Fit_Exp1"/>
      <sheetName val="San_Exp1"/>
      <sheetName val="Total_(revision)"/>
      <sheetName val="PL_2004"/>
      <sheetName val="PL_2005"/>
      <sheetName val="Page_3"/>
      <sheetName val="Page_23_(a)"/>
      <sheetName val="Tong hop CP"/>
      <sheetName val="Chi tientrano"/>
      <sheetName val="機種單價"/>
      <sheetName val="Bang luong"/>
      <sheetName val="Database"/>
      <sheetName val="Deals Losts"/>
      <sheetName val="btraR,f"/>
      <sheetName val="Parameters"/>
      <sheetName val="MAHANG"/>
      <sheetName val="PRO.OT1"/>
      <sheetName val="OB-checking"/>
      <sheetName val="NewPOS"/>
      <sheetName val="Input data"/>
      <sheetName val="Daily JI"/>
      <sheetName val="Creditor Inquiry"/>
      <sheetName val="Data-INPUT"/>
      <sheetName val="DMHH"/>
      <sheetName val="Present"/>
      <sheetName val="PARTS"/>
      <sheetName val="ThangÅ"/>
      <sheetName val="Thangø"/>
      <sheetName val="3課"/>
      <sheetName val="TT KH"/>
      <sheetName val="BB"/>
      <sheetName val="KH 08 - CT giao "/>
      <sheetName val="chi tiết khu vực"/>
      <sheetName val="Mẫu KH"/>
      <sheetName val="Tỷ lệ BH tuần CN"/>
      <sheetName val="Tỷ lệ BH - QLV"/>
      <sheetName val="Cong_ban_11yx1,2"/>
      <sheetName val="Bao_cao_DD_31_5_06_1"/>
      <sheetName val="Bao_cao_Quy_I-061"/>
      <sheetName val="Bao_cao_DD_30_6_061"/>
      <sheetName val="Bao_cao_DD_31_7_061"/>
      <sheetName val="Cong_ban_11yx1,21"/>
      <sheetName val="Tong_hop_xuat_kho_nvl15"/>
      <sheetName val="Xuat_kho15"/>
      <sheetName val="Tong_hop_so_lieu_tai_nhap_kho15"/>
      <sheetName val="tai_nhap_kho15"/>
      <sheetName val="Nhap_kho15"/>
      <sheetName val="Tong_ket_nhap_kho15"/>
      <sheetName val="Tong_ket15"/>
      <sheetName val="cac_ma_can_huy15"/>
      <sheetName val="Hang_hong15"/>
      <sheetName val="Tham_khao15"/>
      <sheetName val="hang_khong_co_packing15"/>
      <sheetName val="Bao_cao_DD_31_5_06_2"/>
      <sheetName val="Bao_cao_Quy_I-062"/>
      <sheetName val="Bao_cao_DD_30_6_062"/>
      <sheetName val="Bao_cao_DD_31_7_062"/>
      <sheetName val="Cong_ban_11yx1,22"/>
      <sheetName val="_IBASE2_XLSѝTNHNoi15"/>
      <sheetName val="_IBASE2_XLS䁝BC6tT1714"/>
      <sheetName val="_IBASE2_XLS}BHXH14"/>
      <sheetName val="_IBASE2_XLS_Tong_hop_Matduong14"/>
      <sheetName val="BTHDT_TBA_14"/>
      <sheetName val="Tong_hop_xuat_kho_nvl16"/>
      <sheetName val="Xuat_kho16"/>
      <sheetName val="Tong_hop_so_lieu_tai_nhap_kho16"/>
      <sheetName val="tai_nhap_kho16"/>
      <sheetName val="Nhap_kho16"/>
      <sheetName val="Tong_ket_nhap_kho16"/>
      <sheetName val="Tong_ket16"/>
      <sheetName val="cac_ma_can_huy16"/>
      <sheetName val="Hang_hong16"/>
      <sheetName val="Tham_khao16"/>
      <sheetName val="hang_khong_co_packing16"/>
      <sheetName val="Tuan_1_013"/>
      <sheetName val="Tuan_3_01_3"/>
      <sheetName val="Tuan_5_06_3"/>
      <sheetName val="Tuan_6_06__3"/>
      <sheetName val="Tuan_7_06_3"/>
      <sheetName val="Tuan_7_06__(2)3"/>
      <sheetName val="Tuan10,06_3"/>
      <sheetName val="Tuan11,06__3"/>
      <sheetName val="Bao_cao_DD_31_3_063"/>
      <sheetName val="Bao_cao_DD_30_4_063"/>
      <sheetName val="Bao_cao_DD_31_5_06_3"/>
      <sheetName val="Bao_cao_Quy_I-063"/>
      <sheetName val="Bao_cao_DD_30_6_063"/>
      <sheetName val="Bao_cao_DD_31_7_063"/>
      <sheetName val="Cong_ban_11yx1,23"/>
      <sheetName val="det_VP15"/>
      <sheetName val="det_hn15"/>
      <sheetName val="chi_Hieu15"/>
      <sheetName val="c_thoa15"/>
      <sheetName val="A_thanh_-_DL15"/>
      <sheetName val="A_Tuyen15"/>
      <sheetName val="A_Tien_-laphu15"/>
      <sheetName val="A_Thang-_laphu15"/>
      <sheetName val="A_Dong15"/>
      <sheetName val="27-7_NB15"/>
      <sheetName val="xn_515"/>
      <sheetName val="PKD_X2015"/>
      <sheetName val="da_giay_SG15"/>
      <sheetName val="dagiay_XK15"/>
      <sheetName val="DK_Dong_xuan15"/>
      <sheetName val="chu_Ton15"/>
      <sheetName val="minh_tri15"/>
      <sheetName val="viet_huy15"/>
      <sheetName val="thanh_ha15"/>
      <sheetName val="O_Su15"/>
      <sheetName val="A_Ha-DL15"/>
      <sheetName val="Vinh_oanh15"/>
      <sheetName val="chi_Thuy15"/>
      <sheetName val="chu_Hong15"/>
      <sheetName val="thuy-_may15"/>
      <sheetName val="vu_yen15"/>
      <sheetName val="OPERATING_HEAD15"/>
      <sheetName val="31_12_0115"/>
      <sheetName val="THU_T715"/>
      <sheetName val="CHI_T715"/>
      <sheetName val="THU_T615"/>
      <sheetName val="CHI_T615"/>
      <sheetName val="THU_T515"/>
      <sheetName val="CHI_T515"/>
      <sheetName val="THU_T415"/>
      <sheetName val="CHI_T415"/>
      <sheetName val="THU_T315"/>
      <sheetName val="CHI_T315"/>
      <sheetName val="THU_T215"/>
      <sheetName val="CHI_T215"/>
      <sheetName val="THU_T135"/>
      <sheetName val="CHI_T135"/>
      <sheetName val="CVden_ngoai_TCT_(1)18"/>
      <sheetName val="CV_den_ngoai_TCT_(2)18"/>
      <sheetName val="CV_den_ngoai_TCT_(3)18"/>
      <sheetName val="QDcua_TGD18"/>
      <sheetName val="QD_cua_HDQT18"/>
      <sheetName val="QD_cua_HDQT_(2)18"/>
      <sheetName val="CV_di_ngoai_tong18"/>
      <sheetName val="CV_di_ngoai_tong_(2)18"/>
      <sheetName val="To_trinh18"/>
      <sheetName val="Giao_nhiem_vu18"/>
      <sheetName val="QDcua_TGD_(2)18"/>
      <sheetName val="Thong_tu18"/>
      <sheetName val="CV_di_trong__tong18"/>
      <sheetName val="nghi_dinh-CP18"/>
      <sheetName val="CV_den_trong_tong18"/>
      <sheetName val="KHVt_18"/>
      <sheetName val="KHVt_XL18"/>
      <sheetName val="KHVt_XLT418"/>
      <sheetName val="T_K_H_T_T518"/>
      <sheetName val="T_K_T718"/>
      <sheetName val="TK_T618"/>
      <sheetName val="T_K_T518"/>
      <sheetName val="Bang_thong_ke_hang_ton18"/>
      <sheetName val="thong_ke_18"/>
      <sheetName val="T_KT0418"/>
      <sheetName val="lapdat_TB_18"/>
      <sheetName val="TNghiªm_TB_18"/>
      <sheetName val="VËt_liÖu18"/>
      <sheetName val="Lap_®at_®iÖn18"/>
      <sheetName val="TNghiÖm_VL18"/>
      <sheetName val="th_18"/>
      <sheetName val="tien_luong18"/>
      <sheetName val="142201-T1_18"/>
      <sheetName val="142201-T2-th_18"/>
      <sheetName val="142201-T3-th_18"/>
      <sheetName val="142201-T4-th__18"/>
      <sheetName val="Thep_be18"/>
      <sheetName val="Thep_than18"/>
      <sheetName val="Thep_xa_mu18"/>
      <sheetName val="Kluong_phu18"/>
      <sheetName val="Lan_can18"/>
      <sheetName val="Ho_lan18"/>
      <sheetName val="Coc_tieu18"/>
      <sheetName val="Bien_bao18"/>
      <sheetName val="Op_mai_27418"/>
      <sheetName val="Op_mai_27518"/>
      <sheetName val="Op_mai_27618"/>
      <sheetName val="Op_mai_27718"/>
      <sheetName val="Op_mai_27818"/>
      <sheetName val="Op_mai_27918"/>
      <sheetName val="Op_mai_28018"/>
      <sheetName val="Op_mai_28118"/>
      <sheetName val="Op_mai_28218"/>
      <sheetName val="Op_mai_28318"/>
      <sheetName val="Op_mai_28418"/>
      <sheetName val="Op_mai18"/>
      <sheetName val="Km274_-_Km27518"/>
      <sheetName val="Km275_-_Km27618"/>
      <sheetName val="Km276_-_Km27718"/>
      <sheetName val="Km277_-_Km278_18"/>
      <sheetName val="Km278_-_Km27918"/>
      <sheetName val="Km279_-_Km28018"/>
      <sheetName val="Km280_-_Km28118"/>
      <sheetName val="Km281_-_Km28218"/>
      <sheetName val="Km282_-_Km28318"/>
      <sheetName val="Km283_-_Km28418"/>
      <sheetName val="Km284_-_Km28518"/>
      <sheetName val="Tong_hop_Matduong18"/>
      <sheetName val="Cong_D7518"/>
      <sheetName val="Cong_D10018"/>
      <sheetName val="Cong_D15018"/>
      <sheetName val="Cong_2D15018"/>
      <sheetName val="Cong_ban_0,7x0,718"/>
      <sheetName val="Cong_ban_0,8x0,818"/>
      <sheetName val="Cong_ban_1x118"/>
      <sheetName val="Cong_ban_1x1,218"/>
      <sheetName val="Cong_ban_1,5x1,518"/>
      <sheetName val="Cong_ban_2x1,518"/>
      <sheetName val="Cong_ban_2x218"/>
      <sheetName val="Tong_hop18"/>
      <sheetName val="Tong_hop_(2)18"/>
      <sheetName val="Cong_cu18"/>
      <sheetName val="Cot_thep18"/>
      <sheetName val="Cong_tron_D7518"/>
      <sheetName val="Cong_tron_D10018"/>
      <sheetName val="Cong_tron_D15018"/>
      <sheetName val="Cong_tron_2D15018"/>
      <sheetName val="Cong_ban_1,0x1,018"/>
      <sheetName val="Cong_ban_1,0x1,218"/>
      <sheetName val="Cong_hop_1,5x1,518"/>
      <sheetName val="Cong_hop_2,0x1,518"/>
      <sheetName val="Cong_hop_2,0x2,018"/>
      <sheetName val="TK_11218"/>
      <sheetName val="TK_13118"/>
      <sheetName val="TK_14118"/>
      <sheetName val="TK_15318"/>
      <sheetName val="TK_21118"/>
      <sheetName val="TK_24218"/>
      <sheetName val="TK_33418"/>
      <sheetName val="TK_51118"/>
      <sheetName val="TK_51518"/>
      <sheetName val="TK_91118"/>
      <sheetName val="KQKD02-2_(2)18"/>
      <sheetName val="KQKD-2_(2)18"/>
      <sheetName val="KQKD_thu200418"/>
      <sheetName val="_t518"/>
      <sheetName val="t_418"/>
      <sheetName val="_t3_18"/>
      <sheetName val="_TH33118"/>
      <sheetName val="_Minh_ha18"/>
      <sheetName val="_Ha_Tay18"/>
      <sheetName val="_Vinhphuc18"/>
      <sheetName val="_Nbinh18"/>
      <sheetName val="_QVinh18"/>
      <sheetName val="_TW118"/>
      <sheetName val="DOANH_SO18"/>
      <sheetName val="BD-SINH_VIEN18"/>
      <sheetName val="VtuHaTheSauTBABenThuy1_(2)18"/>
      <sheetName val="Song_trai18"/>
      <sheetName val="Dinh+ha_nha18"/>
      <sheetName val="NG_k18"/>
      <sheetName val="T_so_thay_doi18"/>
      <sheetName val="b_THchitietDZCT18"/>
      <sheetName val="b_THchitietTBA18"/>
      <sheetName val="Khao_sat18"/>
      <sheetName val="TT_khao_sat18"/>
      <sheetName val="thkl_(2)18"/>
      <sheetName val="long_tec18"/>
      <sheetName val="phan_tich_DG18"/>
      <sheetName val="gia_vat_lieu18"/>
      <sheetName val="gia_xe_may18"/>
      <sheetName val="gia_nhan_cong18"/>
      <sheetName val="CDSL_(2)18"/>
      <sheetName val="F_ThanhTri18"/>
      <sheetName val="F_Gialam18"/>
      <sheetName val="TH_dam18"/>
      <sheetName val="SX_dam18"/>
      <sheetName val="LD_dam18"/>
      <sheetName val="Bang_gia_VL18"/>
      <sheetName val="Gia_NC18"/>
      <sheetName val="Gia_may18"/>
      <sheetName val="Trich_Ngang18"/>
      <sheetName val="Danh_sach_Rieng18"/>
      <sheetName val="Dia_Diem_Thuc_Tap18"/>
      <sheetName val="De_Tai_Thuc_Tap18"/>
      <sheetName val="Dancau-Q_Ninh18"/>
      <sheetName val="BaTrieu-L_son18"/>
      <sheetName val="K249_K9818"/>
      <sheetName val="K249_K98_(2)18"/>
      <sheetName val="K251_K9818"/>
      <sheetName val="K251_SBase18"/>
      <sheetName val="K251_AC18"/>
      <sheetName val="K252_K9818"/>
      <sheetName val="K252_SBase18"/>
      <sheetName val="K252_AC18"/>
      <sheetName val="K253_K9818"/>
      <sheetName val="K253_Subbase18"/>
      <sheetName val="K253_Base_18"/>
      <sheetName val="K253_SBase18"/>
      <sheetName val="K253_AC18"/>
      <sheetName val="K255_SBase18"/>
      <sheetName val="K259_K9818"/>
      <sheetName val="K259_Subbase18"/>
      <sheetName val="K259_Base_18"/>
      <sheetName val="K259_AC18"/>
      <sheetName val="K260_K9818"/>
      <sheetName val="K260_Subbase18"/>
      <sheetName val="K260_Base18"/>
      <sheetName val="K260_AC18"/>
      <sheetName val="K261_K9818"/>
      <sheetName val="K261_Base18"/>
      <sheetName val="K261_AC18"/>
      <sheetName val="HHVt_18"/>
      <sheetName val="Tay_ninh18"/>
      <sheetName val="A_Duc18"/>
      <sheetName val="giai_thich18"/>
      <sheetName val="DT_-_Ro18"/>
      <sheetName val="TH_-_Ro_18"/>
      <sheetName val="GDT_-_Ro18"/>
      <sheetName val="DT_-_TB18"/>
      <sheetName val="TH_-_TB18"/>
      <sheetName val="GDT_-_TB18"/>
      <sheetName val="DT_-_NT18"/>
      <sheetName val="TH_-_NT18"/>
      <sheetName val="GDT_-_NT18"/>
      <sheetName val="SCT_Cong_trinh18"/>
      <sheetName val="06-2003_(2)18"/>
      <sheetName val="CDPS_6tc18"/>
      <sheetName val="SCT_Nha_thau18"/>
      <sheetName val="socai2003_(6tc)dp18"/>
      <sheetName val="socai2003_(6tc)18"/>
      <sheetName val="CDPS_6tc_(2)18"/>
      <sheetName val="TH_du_toan_18"/>
      <sheetName val="Du_toan_18"/>
      <sheetName val="C_Tinh18"/>
      <sheetName val="CT_0317"/>
      <sheetName val="TH_0317"/>
      <sheetName val="Don_gia_CPM18"/>
      <sheetName val="Tong_Thieu_HD_cac_CT-200118"/>
      <sheetName val="VL_thieu_HD_-_200118"/>
      <sheetName val="Tong_thieu_HD_cac_CT_-_200218"/>
      <sheetName val="Lan_trai18"/>
      <sheetName val="Van_chuyen18"/>
      <sheetName val="HDong_VC18"/>
      <sheetName val="ThieuHD_nam_200118"/>
      <sheetName val="Bang_TH18"/>
      <sheetName val="Tong_Chinh18"/>
      <sheetName val="So_sanh18"/>
      <sheetName val="Xaylap_18"/>
      <sheetName val="Nhan_cong18"/>
      <sheetName val="_KQTH_quy_hoach_13517"/>
      <sheetName val="Bao_cao_KQTH_quy_hoach_13517"/>
      <sheetName val="Co~g_hop_1,5x1,518"/>
      <sheetName val="Tong_hop_xuat_kho_nvl17"/>
      <sheetName val="Xuat_kho17"/>
      <sheetName val="Tong_hop_so_lieu_tai_nhap_kho17"/>
      <sheetName val="tai_nhap_kho17"/>
      <sheetName val="Nhap_kho17"/>
      <sheetName val="Tong_ket_nhap_kho17"/>
      <sheetName val="Tong_ket17"/>
      <sheetName val="cac_ma_can_huy17"/>
      <sheetName val="Hang_hong17"/>
      <sheetName val="Tham_khao17"/>
      <sheetName val="hang_khong_co_packing17"/>
      <sheetName val="GIA_NUOC18"/>
      <sheetName val="GIA_DIEN_THOAI18"/>
      <sheetName val="GIA_DIEN18"/>
      <sheetName val="chiet_tinh_XD18"/>
      <sheetName val="Triet_T18"/>
      <sheetName val="Phan_tich_gia18"/>
      <sheetName val="pHAN_CONG18"/>
      <sheetName val="GIA_XD18"/>
      <sheetName val="Coc_618"/>
      <sheetName val="Deo_nai18"/>
      <sheetName val="CKD_than18"/>
      <sheetName val="CTT_Thong_nhat18"/>
      <sheetName val="CTT_Nui_beo18"/>
      <sheetName val="CTT_cao_son18"/>
      <sheetName val="CTT_Khe_cham18"/>
      <sheetName val="XNxlva_sxthanKCII18"/>
      <sheetName val="Cam_Y_ut_KC18"/>
      <sheetName val="CTxay_lap_mo_CP18"/>
      <sheetName val="CTdo_luong_GDSP18"/>
      <sheetName val="Dong_bac18"/>
      <sheetName val="Cac_cang_UT_mua_than_Dong_bac18"/>
      <sheetName val="cua_hang_vtu18"/>
      <sheetName val="Khach_hang_le_18"/>
      <sheetName val="nhat_ky_518"/>
      <sheetName val="cac_cong_ty_van_tai18"/>
      <sheetName val="[IBASE2_XLSѝTNHNoi18"/>
      <sheetName val="Thang_417"/>
      <sheetName val="BC_TH_CK_(2)18"/>
      <sheetName val="BC_TH_CK18"/>
      <sheetName val="BC6tT19_food18"/>
      <sheetName val="BC6tT18_-_Food18"/>
      <sheetName val="BCCK_418"/>
      <sheetName val="BCFood-_T1618"/>
      <sheetName val="BCFood-_T1518"/>
      <sheetName val="BCFood-_T1418"/>
      <sheetName val="BCFood-_T1318"/>
      <sheetName val="TH_CK218"/>
      <sheetName val="BC6tT52_(3)18"/>
      <sheetName val="BC6tT52_(2)18"/>
      <sheetName val="TCK_1218"/>
      <sheetName val="Tong_CK18"/>
      <sheetName val="T03_-_0318"/>
      <sheetName val="THL_T0318"/>
      <sheetName val="TTBC_T0318"/>
      <sheetName val="Luong_noi_Bo_-_T318"/>
      <sheetName val="Tong_hop_-_T318"/>
      <sheetName val="Thuong_Quy_318"/>
      <sheetName val="Phu_cap_trach_nhiem18"/>
      <sheetName val="Tuan_1_014"/>
      <sheetName val="Tuan_3_01_4"/>
      <sheetName val="Tuan_5_06_4"/>
      <sheetName val="Tuan_6_06__4"/>
      <sheetName val="Tuan_7_06_4"/>
      <sheetName val="Tuan_7_06__(2)4"/>
      <sheetName val="Tuan10,06_4"/>
      <sheetName val="Tuan11,06__4"/>
      <sheetName val="Bao_cao_DD_31_3_064"/>
      <sheetName val="Bao_cao_DD_30_4_064"/>
      <sheetName val="Bao_cao_DD_31_5_06_4"/>
      <sheetName val="Bao_cao_Quy_I-064"/>
      <sheetName val="Bao_cao_DD_30_6_064"/>
      <sheetName val="Bao_cao_DD_31_7_064"/>
      <sheetName val="Cong_ban_11yx1,24"/>
      <sheetName val="det_VP16"/>
      <sheetName val="det_hn16"/>
      <sheetName val="chi_Hieu16"/>
      <sheetName val="c_thoa16"/>
      <sheetName val="A_thanh_-_DL16"/>
      <sheetName val="A_Tuyen16"/>
      <sheetName val="A_Tien_-laphu16"/>
      <sheetName val="A_Thang-_laphu16"/>
      <sheetName val="A_Dong16"/>
      <sheetName val="27-7_NB16"/>
      <sheetName val="xn_516"/>
      <sheetName val="PKD_X2016"/>
      <sheetName val="da_giay_SG16"/>
      <sheetName val="dagiay_XK16"/>
      <sheetName val="DK_Dong_xuan16"/>
      <sheetName val="chu_Ton16"/>
      <sheetName val="minh_tri16"/>
      <sheetName val="viet_huy16"/>
      <sheetName val="thanh_ha16"/>
      <sheetName val="O_Su16"/>
      <sheetName val="A_Ha-DL16"/>
      <sheetName val="Vinh_oanh16"/>
      <sheetName val="chi_Thuy16"/>
      <sheetName val="chu_Hong16"/>
      <sheetName val="thuy-_may16"/>
      <sheetName val="vu_yen16"/>
      <sheetName val="Cong_hop_2,0ࡸ2,016"/>
      <sheetName val="OPERATING_HEAD16"/>
      <sheetName val="31_12_0116"/>
      <sheetName val="Sat_tron16"/>
      <sheetName val="THU_T716"/>
      <sheetName val="CHI_T716"/>
      <sheetName val="THU_T616"/>
      <sheetName val="CHI_T616"/>
      <sheetName val="THU_T516"/>
      <sheetName val="CHI_T516"/>
      <sheetName val="THU_T416"/>
      <sheetName val="CHI_T416"/>
      <sheetName val="THU_T316"/>
      <sheetName val="CHI_T316"/>
      <sheetName val="THU_T216"/>
      <sheetName val="CHI_T216"/>
      <sheetName val="THU_T136"/>
      <sheetName val="CHI_T136"/>
      <sheetName val="CVden_ngoai_TCT_(1)19"/>
      <sheetName val="CV_den_ngoai_TCT_(2)19"/>
      <sheetName val="CV_den_ngoai_TCT_(3)19"/>
      <sheetName val="QDcua_TGD19"/>
      <sheetName val="QD_cua_HDQT19"/>
      <sheetName val="QD_cua_HDQT_(2)19"/>
      <sheetName val="CV_di_ngoai_tong19"/>
      <sheetName val="CV_di_ngoai_tong_(2)19"/>
      <sheetName val="To_trinh19"/>
      <sheetName val="Giao_nhiem_vu19"/>
      <sheetName val="QDcua_TGD_(2)19"/>
      <sheetName val="Thong_tu19"/>
      <sheetName val="CV_di_trong__tong19"/>
      <sheetName val="nghi_dinh-CP19"/>
      <sheetName val="CV_den_trong_tong19"/>
      <sheetName val="KHVt_19"/>
      <sheetName val="KHVt_XL19"/>
      <sheetName val="KHVt_XLT419"/>
      <sheetName val="T_K_H_T_T519"/>
      <sheetName val="T_K_T719"/>
      <sheetName val="TK_T619"/>
      <sheetName val="T_K_T519"/>
      <sheetName val="Bang_thong_ke_hang_ton19"/>
      <sheetName val="thong_ke_19"/>
      <sheetName val="T_KT0419"/>
      <sheetName val="lapdat_TB_19"/>
      <sheetName val="TNghiªm_TB_19"/>
      <sheetName val="VËt_liÖu19"/>
      <sheetName val="Lap_®at_®iÖn19"/>
      <sheetName val="TNghiÖm_VL19"/>
      <sheetName val="th_19"/>
      <sheetName val="tien_luong19"/>
      <sheetName val="142201-T1_19"/>
      <sheetName val="142201-T2-th_19"/>
      <sheetName val="142201-T3-th_19"/>
      <sheetName val="142201-T4-th__19"/>
      <sheetName val="Thep_be19"/>
      <sheetName val="Thep_than19"/>
      <sheetName val="Thep_xa_mu19"/>
      <sheetName val="Kluong_phu19"/>
      <sheetName val="Lan_can19"/>
      <sheetName val="Ho_lan19"/>
      <sheetName val="Coc_tieu19"/>
      <sheetName val="Bien_bao19"/>
      <sheetName val="Op_mai_27419"/>
      <sheetName val="Op_mai_27519"/>
      <sheetName val="Op_mai_27619"/>
      <sheetName val="Op_mai_27719"/>
      <sheetName val="Op_mai_27819"/>
      <sheetName val="Op_mai_27919"/>
      <sheetName val="Op_mai_28019"/>
      <sheetName val="Op_mai_28119"/>
      <sheetName val="Op_mai_28219"/>
      <sheetName val="Op_mai_28319"/>
      <sheetName val="Op_mai_28419"/>
      <sheetName val="Op_mai19"/>
      <sheetName val="Km274_-_Km27519"/>
      <sheetName val="Km275_-_Km27619"/>
      <sheetName val="Km276_-_Km27719"/>
      <sheetName val="Km277_-_Km278_19"/>
      <sheetName val="Km278_-_Km27919"/>
      <sheetName val="Km279_-_Km28019"/>
      <sheetName val="Km280_-_Km28119"/>
      <sheetName val="Km281_-_Km28219"/>
      <sheetName val="Km282_-_Km28319"/>
      <sheetName val="Km283_-_Km28419"/>
      <sheetName val="Km284_-_Km28519"/>
      <sheetName val="Tong_hop_Matduong19"/>
      <sheetName val="Cong_D7519"/>
      <sheetName val="Cong_D10019"/>
      <sheetName val="Cong_D15019"/>
      <sheetName val="Cong_2D15019"/>
      <sheetName val="Cong_ban_0,7x0,719"/>
      <sheetName val="Cong_ban_0,8x0,819"/>
      <sheetName val="Cong_ban_1x119"/>
      <sheetName val="Cong_ban_1x1,219"/>
      <sheetName val="Cong_ban_1,5x1,519"/>
      <sheetName val="Cong_ban_2x1,519"/>
      <sheetName val="Cong_ban_2x219"/>
      <sheetName val="Tong_hop19"/>
      <sheetName val="Tong_hop_(2)19"/>
      <sheetName val="Cong_cu19"/>
      <sheetName val="Cot_thep19"/>
      <sheetName val="Cong_tron_D7519"/>
      <sheetName val="Cong_tron_D10019"/>
      <sheetName val="Cong_tron_D15019"/>
      <sheetName val="Cong_tron_2D15019"/>
      <sheetName val="Cong_ban_1,0x1,019"/>
      <sheetName val="Cong_ban_1,0x1,219"/>
      <sheetName val="Cong_hop_1,5x1,519"/>
      <sheetName val="Cong_hop_2,0x1,519"/>
      <sheetName val="Cong_hop_2,0x2,019"/>
      <sheetName val="TK_11219"/>
      <sheetName val="TK_13119"/>
      <sheetName val="TK_14119"/>
      <sheetName val="TK_15319"/>
      <sheetName val="TK_21119"/>
      <sheetName val="TK_24219"/>
      <sheetName val="TK_33419"/>
      <sheetName val="TK_51119"/>
      <sheetName val="TK_51519"/>
      <sheetName val="TK_91119"/>
      <sheetName val="KQKD02-2_(2)19"/>
      <sheetName val="KQKD-2_(2)19"/>
      <sheetName val="KQKD_thu200419"/>
      <sheetName val="_t519"/>
      <sheetName val="t_419"/>
      <sheetName val="_t3_19"/>
      <sheetName val="_TH33119"/>
      <sheetName val="_Minh_ha19"/>
      <sheetName val="_Ha_Tay19"/>
      <sheetName val="_Vinhphuc19"/>
      <sheetName val="_Nbinh19"/>
      <sheetName val="_QVinh19"/>
      <sheetName val="_TW119"/>
      <sheetName val="DOANH_SO19"/>
      <sheetName val="BD-SINH_VIEN19"/>
      <sheetName val="VtuHaTheSauTBABenThuy1_(2)19"/>
      <sheetName val="Song_trai19"/>
      <sheetName val="Dinh+ha_nha19"/>
      <sheetName val="NG_k19"/>
      <sheetName val="T_so_thay_doi19"/>
      <sheetName val="b_THchitietDZCT19"/>
      <sheetName val="b_THchitietTBA19"/>
      <sheetName val="Khao_sat19"/>
      <sheetName val="TT_khao_sat19"/>
      <sheetName val="thkl_(2)19"/>
      <sheetName val="long_tec19"/>
      <sheetName val="phan_tich_DG19"/>
      <sheetName val="gia_vat_lieu19"/>
      <sheetName val="gia_xe_may19"/>
      <sheetName val="gia_nhan_cong19"/>
      <sheetName val="CDSL_(2)19"/>
      <sheetName val="F_ThanhTri19"/>
      <sheetName val="F_Gialam19"/>
      <sheetName val="TH_dam19"/>
      <sheetName val="SX_dam19"/>
      <sheetName val="LD_dam19"/>
      <sheetName val="Bang_gia_VL19"/>
      <sheetName val="Gia_NC19"/>
      <sheetName val="Gia_may19"/>
      <sheetName val="Trich_Ngang19"/>
      <sheetName val="Danh_sach_Rieng19"/>
      <sheetName val="Dia_Diem_Thuc_Tap19"/>
      <sheetName val="De_Tai_Thuc_Tap19"/>
      <sheetName val="Dancau-Q_Ninh19"/>
      <sheetName val="BaTrieu-L_son19"/>
      <sheetName val="K249_K9819"/>
      <sheetName val="K249_K98_(2)19"/>
      <sheetName val="K251_K9819"/>
      <sheetName val="K251_SBase19"/>
      <sheetName val="K251_AC19"/>
      <sheetName val="K252_K9819"/>
      <sheetName val="K252_SBase19"/>
      <sheetName val="K252_AC19"/>
      <sheetName val="K253_K9819"/>
      <sheetName val="K253_Subbase19"/>
      <sheetName val="K253_Base_19"/>
      <sheetName val="K253_SBase19"/>
      <sheetName val="K253_AC19"/>
      <sheetName val="K255_SBase19"/>
      <sheetName val="K259_K9819"/>
      <sheetName val="K259_Subbase19"/>
      <sheetName val="K259_Base_19"/>
      <sheetName val="K259_AC19"/>
      <sheetName val="K260_K9819"/>
      <sheetName val="K260_Subbase19"/>
      <sheetName val="K260_Base19"/>
      <sheetName val="K260_AC19"/>
      <sheetName val="K261_K9819"/>
      <sheetName val="K261_Base19"/>
      <sheetName val="K261_AC19"/>
      <sheetName val="HHVt_19"/>
      <sheetName val="Tay_ninh19"/>
      <sheetName val="A_Duc19"/>
      <sheetName val="giai_thich19"/>
      <sheetName val="DT_-_Ro19"/>
      <sheetName val="TH_-_Ro_19"/>
      <sheetName val="GDT_-_Ro19"/>
      <sheetName val="DT_-_TB19"/>
      <sheetName val="TH_-_TB19"/>
      <sheetName val="GDT_-_TB19"/>
      <sheetName val="DT_-_NT19"/>
      <sheetName val="TH_-_NT19"/>
      <sheetName val="GDT_-_NT19"/>
      <sheetName val="SCT_Cong_trinh19"/>
      <sheetName val="06-2003_(2)19"/>
      <sheetName val="CDPS_6tc19"/>
      <sheetName val="SCT_Nha_thau19"/>
      <sheetName val="socai2003_(6tc)dp19"/>
      <sheetName val="socai2003_(6tc)19"/>
      <sheetName val="CDPS_6tc_(2)19"/>
      <sheetName val="TH_du_toan_19"/>
      <sheetName val="Du_toan_19"/>
      <sheetName val="C_Tinh19"/>
      <sheetName val="CT_0318"/>
      <sheetName val="TH_0318"/>
      <sheetName val="Don_gia_CPM19"/>
      <sheetName val="Tong_Thieu_HD_cac_CT-200119"/>
      <sheetName val="VL_thieu_HD_-_200119"/>
      <sheetName val="Tong_thieu_HD_cac_CT_-_200219"/>
      <sheetName val="Lan_trai19"/>
      <sheetName val="Van_chuyen19"/>
      <sheetName val="HDong_VC19"/>
      <sheetName val="ThieuHD_nam_200119"/>
      <sheetName val="Bang_TH19"/>
      <sheetName val="Tong_Chinh19"/>
      <sheetName val="So_sanh19"/>
      <sheetName val="Xaylap_19"/>
      <sheetName val="Nhan_cong19"/>
      <sheetName val="_KQTH_quy_hoach_13518"/>
      <sheetName val="Bao_cao_KQTH_quy_hoach_13518"/>
      <sheetName val="Co~g_hop_1,5x1,519"/>
      <sheetName val="Tong_hop_xuat_kho_nvl18"/>
      <sheetName val="Xuat_kho18"/>
      <sheetName val="Tong_hop_so_lieu_tai_nhap_kho18"/>
      <sheetName val="tai_nhap_kho18"/>
      <sheetName val="Nhap_kho18"/>
      <sheetName val="Tong_ket_nhap_kho18"/>
      <sheetName val="Tong_ket18"/>
      <sheetName val="cac_ma_can_huy18"/>
      <sheetName val="Hang_hong18"/>
      <sheetName val="Tham_khao18"/>
      <sheetName val="hang_khong_co_packing18"/>
      <sheetName val="GIA_NUOC19"/>
      <sheetName val="GIA_DIEN_THOAI19"/>
      <sheetName val="GIA_DIEN19"/>
      <sheetName val="chiet_tinh_XD19"/>
      <sheetName val="Triet_T19"/>
      <sheetName val="Phan_tich_gia19"/>
      <sheetName val="pHAN_CONG19"/>
      <sheetName val="GIA_XD19"/>
      <sheetName val="Coc_619"/>
      <sheetName val="Deo_nai19"/>
      <sheetName val="CKD_than19"/>
      <sheetName val="CTT_Thong_nhat19"/>
      <sheetName val="CTT_Nui_beo19"/>
      <sheetName val="CTT_cao_son19"/>
      <sheetName val="CTT_Khe_cham19"/>
      <sheetName val="XNxlva_sxthanKCII19"/>
      <sheetName val="Cam_Y_ut_KC19"/>
      <sheetName val="CTxay_lap_mo_CP19"/>
      <sheetName val="CTdo_luong_GDSP19"/>
      <sheetName val="Dong_bac19"/>
      <sheetName val="Cac_cang_UT_mua_than_Dong_bac19"/>
      <sheetName val="cua_hang_vtu19"/>
      <sheetName val="Khach_hang_le_19"/>
      <sheetName val="nhat_ky_519"/>
      <sheetName val="cac_cong_ty_van_tai19"/>
      <sheetName val="[IBASE2_XLSѝTNHNoi19"/>
      <sheetName val="Thang_418"/>
      <sheetName val="BC_TH_CK_(2)19"/>
      <sheetName val="BC_TH_CK19"/>
      <sheetName val="BC6tT19_food19"/>
      <sheetName val="BC6tT18_-_Food19"/>
      <sheetName val="BCCK_419"/>
      <sheetName val="BCFood-_T1619"/>
      <sheetName val="BCFood-_T1519"/>
      <sheetName val="BCFood-_T1419"/>
      <sheetName val="BCFood-_T1319"/>
      <sheetName val="TH_CK219"/>
      <sheetName val="BC6tT52_(3)19"/>
      <sheetName val="BC6tT52_(2)19"/>
      <sheetName val="TCK_1219"/>
      <sheetName val="Tong_CK19"/>
      <sheetName val="T03_-_0319"/>
      <sheetName val="THL_T0319"/>
      <sheetName val="TTBC_T0319"/>
      <sheetName val="Luong_noi_Bo_-_T319"/>
      <sheetName val="Tong_hop_-_T319"/>
      <sheetName val="Thuong_Quy_319"/>
      <sheetName val="Phu_cap_trach_nhiem19"/>
      <sheetName val="Co_quan_TCT18"/>
      <sheetName val="BOT_(PA_chon)18"/>
      <sheetName val="Yaly_&amp;_Ri_Ninh18"/>
      <sheetName val="Thuy_dien_Na_Loi18"/>
      <sheetName val="bang_so_sanh_tong_hop18"/>
      <sheetName val="bang_so_sanh_tong_hop_(ty_le)18"/>
      <sheetName val="thu_nhap_binh_quan_(2)18"/>
      <sheetName val="dang_huong18"/>
      <sheetName val="phuong_an_118"/>
      <sheetName val="phuong_an_1_(2)18"/>
      <sheetName val="phuong_an218"/>
      <sheetName val="tong_hop_BQ18"/>
      <sheetName val="tong_hop_BQ-118"/>
      <sheetName val="phuong_an_chon18"/>
      <sheetName val="bang_so_sanh_tong_hop_(_PA_ch17"/>
      <sheetName val="dang_ap_dung17"/>
      <sheetName val="bang_tong_hop_(dang_huong)17"/>
      <sheetName val="THT_nam_0417"/>
      <sheetName val="CV_di_trong__dong18"/>
      <sheetName val="ql_(2)17"/>
      <sheetName val="Heso_3-2004_(3)17"/>
      <sheetName val="Luong_(2)17"/>
      <sheetName val="heso_T317"/>
      <sheetName val="heso_T417"/>
      <sheetName val="heso_T517"/>
      <sheetName val="Heso_T617"/>
      <sheetName val="Heso_T717"/>
      <sheetName val="Heso_T817"/>
      <sheetName val="Heso_T917"/>
      <sheetName val="Heso_2-200417"/>
      <sheetName val="Heso_3-200417"/>
      <sheetName val="Heso_3-2004_(2)17"/>
      <sheetName val="tô_rôiDY17"/>
      <sheetName val="Nhap_lieu18"/>
      <sheetName val="Tien_dien17"/>
      <sheetName val="Thue_GTGT17"/>
      <sheetName val="bcth_05-0417"/>
      <sheetName val="baocao_05-0417"/>
      <sheetName val="nhan_su17"/>
      <sheetName val="luong_cty17"/>
      <sheetName val="TK__TK17"/>
      <sheetName val="THANG7_17"/>
      <sheetName val="THANG_1117"/>
      <sheetName val="THANG_1217"/>
      <sheetName val="Tuan_1_015"/>
      <sheetName val="Tuan_3_01_5"/>
      <sheetName val="Tuan_5_06_5"/>
      <sheetName val="Tuan_6_06__5"/>
      <sheetName val="Tuan_7_06_5"/>
      <sheetName val="Tuan_7_06__(2)5"/>
      <sheetName val="Tuan10,06_5"/>
      <sheetName val="Tuan11,06__5"/>
      <sheetName val="Bao_cao_DD_31_3_065"/>
      <sheetName val="Bao_cao_DD_30_4_065"/>
      <sheetName val="Bao_cao_DD_31_5_06_5"/>
      <sheetName val="Bao_cao_Quy_I-065"/>
      <sheetName val="Bao_cao_DD_30_6_065"/>
      <sheetName val="Bao_cao_DD_31_7_065"/>
      <sheetName val="Cong_ban_11yx1,25"/>
      <sheetName val="Luu_goc17"/>
      <sheetName val="km22+93_86-km22+121_8617"/>
      <sheetName val="km22+177_14-km22+205_6417"/>
      <sheetName val="Bang_20-2517"/>
      <sheetName val="km22+267_96-km22+283_9617"/>
      <sheetName val="km22+304_31-km22+344_3117"/>
      <sheetName val="km22+460_92-km22+614_5717"/>
      <sheetName val="km22+671_78-km22+713_3217"/>
      <sheetName val="Dinh_ha_nha17"/>
      <sheetName val="_tuanM17"/>
      <sheetName val="[IBASE2_XLS_Tong_hop_Matduong17"/>
      <sheetName val="THU_T1217"/>
      <sheetName val="CHI_T1217"/>
      <sheetName val="THU_T1117"/>
      <sheetName val="CHI_T1117"/>
      <sheetName val="THU_T1017"/>
      <sheetName val="CHI_T1017"/>
      <sheetName val="THU_T917"/>
      <sheetName val="CHI_T917"/>
      <sheetName val="THU_T817"/>
      <sheetName val="CHI_T817"/>
      <sheetName val="BC§_200117"/>
      <sheetName val="BBC§_200217"/>
      <sheetName val="TSC§_200117"/>
      <sheetName val="TSc®_200217"/>
      <sheetName val="BaTrieu-L_con17"/>
      <sheetName val="EDT_-_Ro17"/>
      <sheetName val="KHVô_XL17"/>
      <sheetName val="TD_khao_sat17"/>
      <sheetName val="chi_phi_cap_tien17"/>
      <sheetName val="[IBASE2_XLS}BHXH17"/>
      <sheetName val="chuong_phu17"/>
      <sheetName val="phuong_aL_117"/>
      <sheetName val="[IBASE2_XLS䁝BC6tT1717"/>
      <sheetName val="Khac_DP17"/>
      <sheetName val="Khoi_than_17"/>
      <sheetName val="De_Tai_Vhuc_Tap17"/>
      <sheetName val="02_117"/>
      <sheetName val="2_117"/>
      <sheetName val="2_317"/>
      <sheetName val="02_317"/>
      <sheetName val="B_0117"/>
      <sheetName val="B_0317"/>
      <sheetName val="D_1317"/>
      <sheetName val="det_VP17"/>
      <sheetName val="det_hn17"/>
      <sheetName val="chi_Hieu17"/>
      <sheetName val="c_thoa17"/>
      <sheetName val="A_thanh_-_DL17"/>
      <sheetName val="A_Tuyen17"/>
      <sheetName val="A_Tien_-laphu17"/>
      <sheetName val="A_Thang-_laphu17"/>
      <sheetName val="A_Dong17"/>
      <sheetName val="27-7_NB17"/>
      <sheetName val="xn_517"/>
      <sheetName val="PKD_X2017"/>
      <sheetName val="da_giay_SG17"/>
      <sheetName val="dagiay_XK17"/>
      <sheetName val="DK_Dong_xuan17"/>
      <sheetName val="chu_Ton17"/>
      <sheetName val="minh_tri17"/>
      <sheetName val="viet_huy17"/>
      <sheetName val="thanh_ha17"/>
      <sheetName val="O_Su17"/>
      <sheetName val="A_Ha-DL17"/>
      <sheetName val="Vinh_oanh17"/>
      <sheetName val="chi_Thuy17"/>
      <sheetName val="chu_Hong17"/>
      <sheetName val="thuy-_may17"/>
      <sheetName val="vu_yen17"/>
      <sheetName val="[IBASE2_XLS?TNHNoi17"/>
      <sheetName val="HD_CTrinh117"/>
      <sheetName val="HD_benA17"/>
      <sheetName val="Theodoi_HD17"/>
      <sheetName val="Theodoi_HD_(2)17"/>
      <sheetName val="_GT_CPhi_tung_dot17"/>
      <sheetName val="Cong_hop_2,0ࡸ2,017"/>
      <sheetName val="OPERATING_HEAD17"/>
      <sheetName val="31_12_0117"/>
      <sheetName val="Sat_tron17"/>
      <sheetName val="Bang_can_doi_17"/>
      <sheetName val="Tinh_hinh_cat_lang17"/>
      <sheetName val="Tinh_hinh_SX_phu17"/>
      <sheetName val="Tinh_hinh_do_xop17"/>
      <sheetName val="THU_T717"/>
      <sheetName val="CHI_T717"/>
      <sheetName val="THU_T617"/>
      <sheetName val="CHI_T617"/>
      <sheetName val="THU_T517"/>
      <sheetName val="CHI_T517"/>
      <sheetName val="THU_T417"/>
      <sheetName val="CHI_T417"/>
      <sheetName val="THU_T317"/>
      <sheetName val="CHI_T317"/>
      <sheetName val="THU_T217"/>
      <sheetName val="CHI_T217"/>
      <sheetName val="THU_T137"/>
      <sheetName val="CHI_T137"/>
      <sheetName val="_IBASE2_XLSѝTNHNoi17"/>
      <sheetName val="_IBASE2_XLS䁝BC6tT1716"/>
      <sheetName val="_IBASE2_XLS}BHXH16"/>
      <sheetName val="_IBASE2_XLS_Tong_hop_Matduong16"/>
      <sheetName val="BTHDT_TBA_16"/>
      <sheetName val="(9_30)_IP16"/>
      <sheetName val="_IBASE2_XLSѝTNHNoi16"/>
      <sheetName val="_IBASE2_XLS䁝BC6tT1715"/>
      <sheetName val="_IBASE2_XLS}BHXH15"/>
      <sheetName val="_IBASE2_XLS_Tong_hop_Matduong15"/>
      <sheetName val="BTHDT_TBA_15"/>
      <sheetName val="_IBASE2_XLSѝTNHNoi18"/>
      <sheetName val="_IBASE2_XLS䁝BC6tT1717"/>
      <sheetName val="_IBASE2_XLS}BHXH17"/>
      <sheetName val="_IBASE2_XLS_Tong_hop_Matduong17"/>
      <sheetName val="BTHDT_TBA_17"/>
      <sheetName val="(9_30)_IP17"/>
      <sheetName val="CVden_ngoai_TCT_(1)20"/>
      <sheetName val="CV_den_ngoai_TCT_(2)20"/>
      <sheetName val="CV_den_ngoai_TCT_(3)20"/>
      <sheetName val="QDcua_TGD20"/>
      <sheetName val="QD_cua_HDQT20"/>
      <sheetName val="QD_cua_HDQT_(2)20"/>
      <sheetName val="CV_di_ngoai_tong20"/>
      <sheetName val="CV_di_ngoai_tong_(2)20"/>
      <sheetName val="To_trinh20"/>
      <sheetName val="Giao_nhiem_vu20"/>
      <sheetName val="QDcua_TGD_(2)20"/>
      <sheetName val="Thong_tu20"/>
      <sheetName val="CV_di_trong__tong20"/>
      <sheetName val="nghi_dinh-CP20"/>
      <sheetName val="CV_den_trong_tong20"/>
      <sheetName val="KHVt_20"/>
      <sheetName val="KHVt_XL20"/>
      <sheetName val="KHVt_XLT420"/>
      <sheetName val="T_K_H_T_T520"/>
      <sheetName val="T_K_T720"/>
      <sheetName val="TK_T620"/>
      <sheetName val="T_K_T520"/>
      <sheetName val="Bang_thong_ke_hang_ton20"/>
      <sheetName val="thong_ke_20"/>
      <sheetName val="T_KT0420"/>
      <sheetName val="lapdat_TB_20"/>
      <sheetName val="TNghiªm_TB_20"/>
      <sheetName val="VËt_liÖu20"/>
      <sheetName val="Lap_®at_®iÖn20"/>
      <sheetName val="TNghiÖm_VL20"/>
      <sheetName val="th_20"/>
      <sheetName val="tien_luong20"/>
      <sheetName val="142201-T1_20"/>
      <sheetName val="142201-T2-th_20"/>
      <sheetName val="142201-T3-th_20"/>
      <sheetName val="142201-T4-th__20"/>
      <sheetName val="Thep_be20"/>
      <sheetName val="Thep_than20"/>
      <sheetName val="Thep_xa_mu20"/>
      <sheetName val="Kluong_phu20"/>
      <sheetName val="Lan_can20"/>
      <sheetName val="Ho_lan20"/>
      <sheetName val="Coc_tieu20"/>
      <sheetName val="Bien_bao20"/>
      <sheetName val="Op_mai_27420"/>
      <sheetName val="Op_mai_27520"/>
      <sheetName val="Op_mai_27620"/>
      <sheetName val="Op_mai_27720"/>
      <sheetName val="Op_mai_27820"/>
      <sheetName val="Op_mai_27920"/>
      <sheetName val="Op_mai_28020"/>
      <sheetName val="Op_mai_28120"/>
      <sheetName val="Op_mai_28220"/>
      <sheetName val="Op_mai_28320"/>
      <sheetName val="Op_mai_28420"/>
      <sheetName val="Op_mai20"/>
      <sheetName val="Km274_-_Km27520"/>
      <sheetName val="Km275_-_Km27620"/>
      <sheetName val="Km276_-_Km27720"/>
      <sheetName val="Km277_-_Km278_20"/>
      <sheetName val="Km278_-_Km27920"/>
      <sheetName val="Km279_-_Km28020"/>
      <sheetName val="Km280_-_Km28120"/>
      <sheetName val="Km281_-_Km28220"/>
      <sheetName val="Km282_-_Km28320"/>
      <sheetName val="Km283_-_Km28420"/>
      <sheetName val="Km284_-_Km28520"/>
      <sheetName val="Tong_hop_Matduong20"/>
      <sheetName val="Cong_D7520"/>
      <sheetName val="Cong_D10020"/>
      <sheetName val="Cong_D15020"/>
      <sheetName val="Cong_2D15020"/>
      <sheetName val="Cong_ban_0,7x0,720"/>
      <sheetName val="Cong_ban_0,8x0,820"/>
      <sheetName val="Cong_ban_1x120"/>
      <sheetName val="Cong_ban_1x1,220"/>
      <sheetName val="Cong_ban_1,5x1,520"/>
      <sheetName val="Cong_ban_2x1,520"/>
      <sheetName val="Cong_ban_2x220"/>
      <sheetName val="Tong_hop20"/>
      <sheetName val="Tong_hop_(2)20"/>
      <sheetName val="Cong_cu20"/>
      <sheetName val="Cot_thep20"/>
      <sheetName val="Cong_tron_D7520"/>
      <sheetName val="Cong_tron_D10020"/>
      <sheetName val="Cong_tron_D15020"/>
      <sheetName val="Cong_tron_2D15020"/>
      <sheetName val="Cong_ban_1,0x1,020"/>
      <sheetName val="Cong_ban_1,0x1,220"/>
      <sheetName val="Cong_hop_1,5x1,520"/>
      <sheetName val="Cong_hop_2,0x1,520"/>
      <sheetName val="Cong_hop_2,0x2,020"/>
      <sheetName val="TK_11220"/>
      <sheetName val="TK_13120"/>
      <sheetName val="TK_14120"/>
      <sheetName val="TK_15320"/>
      <sheetName val="TK_21120"/>
      <sheetName val="TK_24220"/>
      <sheetName val="TK_33420"/>
      <sheetName val="TK_51120"/>
      <sheetName val="TK_51520"/>
      <sheetName val="TK_91120"/>
      <sheetName val="KQKD02-2_(2)20"/>
      <sheetName val="KQKD-2_(2)20"/>
      <sheetName val="KQKD_thu200420"/>
      <sheetName val="_t520"/>
      <sheetName val="t_420"/>
      <sheetName val="_t3_20"/>
      <sheetName val="_TH33120"/>
      <sheetName val="_Minh_ha20"/>
      <sheetName val="_Ha_Tay20"/>
      <sheetName val="_Vinhphuc20"/>
      <sheetName val="_Nbinh20"/>
      <sheetName val="_QVinh20"/>
      <sheetName val="_TW120"/>
      <sheetName val="DOANH_SO20"/>
      <sheetName val="BD-SINH_VIEN20"/>
      <sheetName val="VtuHaTheSauTBABenThuy1_(2)20"/>
      <sheetName val="Song_trai20"/>
      <sheetName val="Dinh+ha_nha20"/>
      <sheetName val="NG_k20"/>
      <sheetName val="T_so_thay_doi20"/>
      <sheetName val="b_THchitietDZCT20"/>
      <sheetName val="b_THchitietTBA20"/>
      <sheetName val="Khao_sat20"/>
      <sheetName val="TT_khao_sat20"/>
      <sheetName val="thkl_(2)20"/>
      <sheetName val="long_tec20"/>
      <sheetName val="phan_tich_DG20"/>
      <sheetName val="gia_vat_lieu20"/>
      <sheetName val="gia_xe_may20"/>
      <sheetName val="gia_nhan_cong20"/>
      <sheetName val="CDSL_(2)20"/>
      <sheetName val="F_ThanhTri20"/>
      <sheetName val="F_Gialam20"/>
      <sheetName val="TH_dam20"/>
      <sheetName val="SX_dam20"/>
      <sheetName val="LD_dam20"/>
      <sheetName val="Bang_gia_VL20"/>
      <sheetName val="Gia_NC20"/>
      <sheetName val="Gia_may20"/>
      <sheetName val="Trich_Ngang20"/>
      <sheetName val="Danh_sach_Rieng20"/>
      <sheetName val="Dia_Diem_Thuc_Tap20"/>
      <sheetName val="De_Tai_Thuc_Tap20"/>
      <sheetName val="Dancau-Q_Ninh20"/>
      <sheetName val="BaTrieu-L_son20"/>
      <sheetName val="K249_K9820"/>
      <sheetName val="K249_K98_(2)20"/>
      <sheetName val="K251_K9820"/>
      <sheetName val="K251_SBase20"/>
      <sheetName val="K251_AC20"/>
      <sheetName val="K252_K9820"/>
      <sheetName val="K252_SBase20"/>
      <sheetName val="K252_AC20"/>
      <sheetName val="K253_K9820"/>
      <sheetName val="K253_Subbase20"/>
      <sheetName val="K253_Base_20"/>
      <sheetName val="K253_SBase20"/>
      <sheetName val="K253_AC20"/>
      <sheetName val="K255_SBase20"/>
      <sheetName val="K259_K9820"/>
      <sheetName val="K259_Subbase20"/>
      <sheetName val="K259_Base_20"/>
      <sheetName val="K259_AC20"/>
      <sheetName val="K260_K9820"/>
      <sheetName val="K260_Subbase20"/>
      <sheetName val="K260_Base20"/>
      <sheetName val="K260_AC20"/>
      <sheetName val="K261_K9820"/>
      <sheetName val="K261_Base20"/>
      <sheetName val="K261_AC20"/>
      <sheetName val="HHVt_20"/>
      <sheetName val="Tay_ninh20"/>
      <sheetName val="A_Duc20"/>
      <sheetName val="giai_thich20"/>
      <sheetName val="DT_-_Ro20"/>
      <sheetName val="TH_-_Ro_20"/>
      <sheetName val="GDT_-_Ro20"/>
      <sheetName val="DT_-_TB20"/>
      <sheetName val="TH_-_TB20"/>
      <sheetName val="GDT_-_TB20"/>
      <sheetName val="DT_-_NT20"/>
      <sheetName val="TH_-_NT20"/>
      <sheetName val="GDT_-_NT20"/>
      <sheetName val="SCT_Cong_trinh20"/>
      <sheetName val="06-2003_(2)20"/>
      <sheetName val="CDPS_6tc20"/>
      <sheetName val="SCT_Nha_thau20"/>
      <sheetName val="socai2003_(6tc)dp20"/>
      <sheetName val="socai2003_(6tc)20"/>
      <sheetName val="CDPS_6tc_(2)20"/>
      <sheetName val="TH_du_toan_20"/>
      <sheetName val="Du_toan_20"/>
      <sheetName val="C_Tinh20"/>
      <sheetName val="CT_0319"/>
      <sheetName val="TH_0319"/>
      <sheetName val="Don_gia_CPM20"/>
      <sheetName val="Tong_Thieu_HD_cac_CT-200120"/>
      <sheetName val="VL_thieu_HD_-_200120"/>
      <sheetName val="Tong_thieu_HD_cac_CT_-_200220"/>
      <sheetName val="Lan_trai20"/>
      <sheetName val="Van_chuyen20"/>
      <sheetName val="HDong_VC20"/>
      <sheetName val="ThieuHD_nam_200120"/>
      <sheetName val="Bang_TH20"/>
      <sheetName val="Tong_Chinh20"/>
      <sheetName val="So_sanh20"/>
      <sheetName val="Xaylap_20"/>
      <sheetName val="Nhan_cong20"/>
      <sheetName val="_KQTH_quy_hoach_13519"/>
      <sheetName val="Bao_cao_KQTH_quy_hoach_13519"/>
      <sheetName val="Co~g_hop_1,5x1,520"/>
      <sheetName val="Tong_hop_xuat_kho_nvl19"/>
      <sheetName val="Xuat_kho19"/>
      <sheetName val="Tong_hop_so_lieu_tai_nhap_kho19"/>
      <sheetName val="tai_nhap_kho19"/>
      <sheetName val="Nhap_kho19"/>
      <sheetName val="Tong_ket_nhap_kho19"/>
      <sheetName val="Tong_ket19"/>
      <sheetName val="cac_ma_can_huy19"/>
      <sheetName val="Hang_hong19"/>
      <sheetName val="Tham_khao19"/>
      <sheetName val="hang_khong_co_packing19"/>
      <sheetName val="GIA_NUOC20"/>
      <sheetName val="GIA_DIEN_THOAI20"/>
      <sheetName val="GIA_DIEN20"/>
      <sheetName val="chiet_tinh_XD20"/>
      <sheetName val="Triet_T20"/>
      <sheetName val="Phan_tich_gia20"/>
      <sheetName val="pHAN_CONG20"/>
      <sheetName val="GIA_XD20"/>
      <sheetName val="Coc_620"/>
      <sheetName val="Deo_nai20"/>
      <sheetName val="CKD_than20"/>
      <sheetName val="CTT_Thong_nhat20"/>
      <sheetName val="CTT_Nui_beo20"/>
      <sheetName val="CTT_cao_son20"/>
      <sheetName val="CTT_Khe_cham20"/>
      <sheetName val="XNxlva_sxthanKCII20"/>
      <sheetName val="Cam_Y_ut_KC20"/>
      <sheetName val="CTxay_lap_mo_CP20"/>
      <sheetName val="CTdo_luong_GDSP20"/>
      <sheetName val="Dong_bac20"/>
      <sheetName val="Cac_cang_UT_mua_than_Dong_bac20"/>
      <sheetName val="cua_hang_vtu20"/>
      <sheetName val="Khach_hang_le_20"/>
      <sheetName val="nhat_ky_520"/>
      <sheetName val="cac_cong_ty_van_tai20"/>
      <sheetName val="[IBASE2_XLSѝTNHNoi20"/>
      <sheetName val="Thang_419"/>
      <sheetName val="BC_TH_CK_(2)20"/>
      <sheetName val="BC_TH_CK20"/>
      <sheetName val="BC6tT19_food20"/>
      <sheetName val="BC6tT18_-_Food20"/>
      <sheetName val="BCCK_420"/>
      <sheetName val="BCFood-_T1620"/>
      <sheetName val="BCFood-_T1520"/>
      <sheetName val="BCFood-_T1420"/>
      <sheetName val="BCFood-_T1320"/>
      <sheetName val="TH_CK220"/>
      <sheetName val="BC6tT52_(3)20"/>
      <sheetName val="BC6tT52_(2)20"/>
      <sheetName val="TCK_1220"/>
      <sheetName val="Tong_CK20"/>
      <sheetName val="T03_-_0320"/>
      <sheetName val="THL_T0320"/>
      <sheetName val="TTBC_T0320"/>
      <sheetName val="Luong_noi_Bo_-_T320"/>
      <sheetName val="Tong_hop_-_T320"/>
      <sheetName val="Thuong_Quy_320"/>
      <sheetName val="Phu_cap_trach_nhiem20"/>
      <sheetName val="Co_quan_TCT19"/>
      <sheetName val="BOT_(PA_chon)19"/>
      <sheetName val="Yaly_&amp;_Ri_Ninh19"/>
      <sheetName val="Thuy_dien_Na_Loi19"/>
      <sheetName val="bang_so_sanh_tong_hop19"/>
      <sheetName val="bang_so_sanh_tong_hop_(ty_le)19"/>
      <sheetName val="thu_nhap_binh_quan_(2)19"/>
      <sheetName val="dang_huong19"/>
      <sheetName val="phuong_an_119"/>
      <sheetName val="phuong_an_1_(2)19"/>
      <sheetName val="phuong_an219"/>
      <sheetName val="tong_hop_BQ19"/>
      <sheetName val="tong_hop_BQ-119"/>
      <sheetName val="phuong_an_chon19"/>
      <sheetName val="bang_so_sanh_tong_hop_(_PA_ch18"/>
      <sheetName val="dang_ap_dung18"/>
      <sheetName val="bang_tong_hop_(dang_huong)18"/>
      <sheetName val="THT_nam_0418"/>
      <sheetName val="CV_di_trong__dong19"/>
      <sheetName val="ql_(2)18"/>
      <sheetName val="Heso_3-2004_(3)18"/>
      <sheetName val="Luong_(2)18"/>
      <sheetName val="heso_T318"/>
      <sheetName val="heso_T418"/>
      <sheetName val="heso_T518"/>
      <sheetName val="Heso_T618"/>
      <sheetName val="Heso_T718"/>
      <sheetName val="Heso_T818"/>
      <sheetName val="Heso_T918"/>
      <sheetName val="Heso_2-200418"/>
      <sheetName val="Heso_3-200418"/>
      <sheetName val="Heso_3-2004_(2)18"/>
      <sheetName val="tô_rôiDY18"/>
      <sheetName val="Nhap_lieu19"/>
      <sheetName val="Tien_dien18"/>
      <sheetName val="Thue_GTGT18"/>
      <sheetName val="bcth_05-0418"/>
      <sheetName val="baocao_05-0418"/>
      <sheetName val="nhan_su18"/>
      <sheetName val="luong_cty18"/>
      <sheetName val="TK__TK18"/>
      <sheetName val="THANG7_18"/>
      <sheetName val="THANG_1118"/>
      <sheetName val="THANG_1218"/>
      <sheetName val="Tuan_1_016"/>
      <sheetName val="Tuan_3_01_6"/>
      <sheetName val="Tuan_5_06_6"/>
      <sheetName val="Tuan_6_06__6"/>
      <sheetName val="Tuan_7_06_6"/>
      <sheetName val="Tuan_7_06__(2)6"/>
      <sheetName val="Tuan10,06_6"/>
      <sheetName val="Tuan11,06__6"/>
      <sheetName val="Bao_cao_DD_31_3_066"/>
      <sheetName val="Bao_cao_DD_30_4_066"/>
      <sheetName val="Bao_cao_DD_31_5_06_6"/>
      <sheetName val="Bao_cao_Quy_I-066"/>
      <sheetName val="Bao_cao_DD_30_6_066"/>
      <sheetName val="Bao_cao_DD_31_7_066"/>
      <sheetName val="Cong_ban_11yx1,26"/>
      <sheetName val="Luu_goc18"/>
      <sheetName val="km22+93_86-km22+121_8618"/>
      <sheetName val="km22+177_14-km22+205_6418"/>
      <sheetName val="Bang_20-2518"/>
      <sheetName val="km22+267_96-km22+283_9618"/>
      <sheetName val="km22+304_31-km22+344_3118"/>
      <sheetName val="km22+460_92-km22+614_5718"/>
      <sheetName val="km22+671_78-km22+713_3218"/>
      <sheetName val="Dinh_ha_nha18"/>
      <sheetName val="_tuanM18"/>
      <sheetName val="[IBASE2_XLS_Tong_hop_Matduong18"/>
      <sheetName val="THU_T1218"/>
      <sheetName val="CHI_T1218"/>
      <sheetName val="THU_T1118"/>
      <sheetName val="CHI_T1118"/>
      <sheetName val="THU_T1018"/>
      <sheetName val="CHI_T1018"/>
      <sheetName val="THU_T918"/>
      <sheetName val="CHI_T918"/>
      <sheetName val="THU_T818"/>
      <sheetName val="CHI_T818"/>
      <sheetName val="BC§_200118"/>
      <sheetName val="BBC§_200218"/>
      <sheetName val="TSC§_200118"/>
      <sheetName val="TSc®_200218"/>
      <sheetName val="BaTrieu-L_con18"/>
      <sheetName val="EDT_-_Ro18"/>
      <sheetName val="KHVô_XL18"/>
      <sheetName val="TD_khao_sat18"/>
      <sheetName val="chi_phi_cap_tien18"/>
      <sheetName val="[IBASE2_XLS}BHXH18"/>
      <sheetName val="chuong_phu18"/>
      <sheetName val="phuong_aL_118"/>
      <sheetName val="[IBASE2_XLS䁝BC6tT1718"/>
      <sheetName val="Khac_DP18"/>
      <sheetName val="Khoi_than_18"/>
      <sheetName val="De_Tai_Vhuc_Tap18"/>
      <sheetName val="02_118"/>
      <sheetName val="2_118"/>
      <sheetName val="2_318"/>
      <sheetName val="02_318"/>
      <sheetName val="B_0118"/>
      <sheetName val="B_0318"/>
      <sheetName val="D_1318"/>
      <sheetName val="det_VP18"/>
      <sheetName val="det_hn18"/>
      <sheetName val="chi_Hieu18"/>
      <sheetName val="c_thoa18"/>
      <sheetName val="A_thanh_-_DL18"/>
      <sheetName val="A_Tuyen18"/>
      <sheetName val="A_Tien_-laphu18"/>
      <sheetName val="A_Thang-_laphu18"/>
      <sheetName val="A_Dong18"/>
      <sheetName val="27-7_NB18"/>
      <sheetName val="xn_518"/>
      <sheetName val="PKD_X2018"/>
      <sheetName val="da_giay_SG18"/>
      <sheetName val="dagiay_XK18"/>
      <sheetName val="DK_Dong_xuan18"/>
      <sheetName val="chu_Ton18"/>
      <sheetName val="minh_tri18"/>
      <sheetName val="viet_huy18"/>
      <sheetName val="thanh_ha18"/>
      <sheetName val="O_Su18"/>
      <sheetName val="A_Ha-DL18"/>
      <sheetName val="Vinh_oanh18"/>
      <sheetName val="chi_Thuy18"/>
      <sheetName val="chu_Hong18"/>
      <sheetName val="thuy-_may18"/>
      <sheetName val="vu_yen18"/>
      <sheetName val="[IBASE2_XLS?TNHNoi18"/>
      <sheetName val="HD_CTrinh118"/>
      <sheetName val="HD_benA18"/>
      <sheetName val="Theodoi_HD18"/>
      <sheetName val="Theodoi_HD_(2)18"/>
      <sheetName val="_GT_CPhi_tung_dot18"/>
      <sheetName val="Cong_hop_2,0ࡸ2,018"/>
      <sheetName val="OPERATING_HEAD18"/>
      <sheetName val="31_12_0118"/>
      <sheetName val="Sat_tron18"/>
      <sheetName val="Bang_can_doi_18"/>
      <sheetName val="Tinh_hinh_cat_lang18"/>
      <sheetName val="Tinh_hinh_SX_phu18"/>
      <sheetName val="Tinh_hinh_do_xop18"/>
      <sheetName val="THU_T718"/>
      <sheetName val="CHI_T718"/>
      <sheetName val="THU_T618"/>
      <sheetName val="CHI_T618"/>
      <sheetName val="THU_T518"/>
      <sheetName val="CHI_T518"/>
      <sheetName val="THU_T418"/>
      <sheetName val="CHI_T418"/>
      <sheetName val="THU_T318"/>
      <sheetName val="CHI_T318"/>
      <sheetName val="THU_T218"/>
      <sheetName val="CHI_T218"/>
      <sheetName val="THU_T138"/>
      <sheetName val="CHI_T138"/>
      <sheetName val="_IBASE2_XLSѝTNHNoi19"/>
      <sheetName val="_IBASE2_XLS䁝BC6tT1718"/>
      <sheetName val="_IBASE2_XLS}BHXH18"/>
      <sheetName val="_IBASE2_XLS_Tong_hop_Matduong18"/>
      <sheetName val="BTHDT_TBA_18"/>
      <sheetName val="(9_30)_IP18"/>
      <sheetName val="CVden_ngoai_TCT_(1)21"/>
      <sheetName val="CV_den_ngoai_TCT_(2)21"/>
      <sheetName val="CV_den_ngoai_TCT_(3)21"/>
      <sheetName val="QDcua_TGD21"/>
      <sheetName val="QD_cua_HDQT21"/>
      <sheetName val="QD_cua_HDQT_(2)21"/>
      <sheetName val="CV_di_ngoai_tong21"/>
      <sheetName val="CV_di_ngoai_tong_(2)21"/>
      <sheetName val="To_trinh21"/>
      <sheetName val="Giao_nhiem_vu21"/>
      <sheetName val="QDcua_TGD_(2)21"/>
      <sheetName val="Thong_tu21"/>
      <sheetName val="CV_di_trong__tong21"/>
      <sheetName val="nghi_dinh-CP21"/>
      <sheetName val="CV_den_trong_tong21"/>
      <sheetName val="KHVt_21"/>
      <sheetName val="KHVt_XL21"/>
      <sheetName val="KHVt_XLT421"/>
      <sheetName val="T_K_H_T_T521"/>
      <sheetName val="T_K_T721"/>
      <sheetName val="TK_T621"/>
      <sheetName val="T_K_T521"/>
      <sheetName val="Bang_thong_ke_hang_ton21"/>
      <sheetName val="thong_ke_21"/>
      <sheetName val="T_KT0421"/>
      <sheetName val="lapdat_TB_21"/>
      <sheetName val="TNghiªm_TB_21"/>
      <sheetName val="VËt_liÖu21"/>
      <sheetName val="Lap_®at_®iÖn21"/>
      <sheetName val="TNghiÖm_VL21"/>
      <sheetName val="th_21"/>
      <sheetName val="tien_luong21"/>
      <sheetName val="142201-T1_21"/>
      <sheetName val="142201-T2-th_21"/>
      <sheetName val="142201-T3-th_21"/>
      <sheetName val="142201-T4-th__21"/>
      <sheetName val="Thep_be21"/>
      <sheetName val="Thep_than21"/>
      <sheetName val="Thep_xa_mu21"/>
      <sheetName val="Kluong_phu21"/>
      <sheetName val="Lan_can21"/>
      <sheetName val="Ho_lan21"/>
      <sheetName val="Coc_tieu21"/>
      <sheetName val="Bien_bao21"/>
      <sheetName val="Op_mai_27421"/>
      <sheetName val="Op_mai_27521"/>
      <sheetName val="Op_mai_27621"/>
      <sheetName val="Op_mai_27721"/>
      <sheetName val="Op_mai_27821"/>
      <sheetName val="Op_mai_27921"/>
      <sheetName val="Op_mai_28021"/>
      <sheetName val="Op_mai_28121"/>
      <sheetName val="Op_mai_28221"/>
      <sheetName val="Op_mai_28321"/>
      <sheetName val="Op_mai_28421"/>
      <sheetName val="Op_mai21"/>
      <sheetName val="Km274_-_Km27521"/>
      <sheetName val="Km275_-_Km27621"/>
      <sheetName val="Km276_-_Km27721"/>
      <sheetName val="Km277_-_Km278_21"/>
      <sheetName val="Km278_-_Km27921"/>
      <sheetName val="Km279_-_Km28021"/>
      <sheetName val="Km280_-_Km28121"/>
      <sheetName val="Km281_-_Km28221"/>
      <sheetName val="Km282_-_Km28321"/>
      <sheetName val="Km283_-_Km28421"/>
      <sheetName val="Km284_-_Km28521"/>
      <sheetName val="Tong_hop_Matduong21"/>
      <sheetName val="Cong_D7521"/>
      <sheetName val="Cong_D10021"/>
      <sheetName val="Cong_D15021"/>
      <sheetName val="Cong_2D15021"/>
      <sheetName val="Cong_ban_0,7x0,721"/>
      <sheetName val="Cong_ban_0,8x0,821"/>
      <sheetName val="Cong_ban_1x121"/>
      <sheetName val="Cong_ban_1x1,221"/>
      <sheetName val="Cong_ban_1,5x1,521"/>
      <sheetName val="Cong_ban_2x1,521"/>
      <sheetName val="Cong_ban_2x221"/>
      <sheetName val="Tong_hop21"/>
      <sheetName val="Tong_hop_(2)21"/>
      <sheetName val="Cong_cu21"/>
      <sheetName val="Cot_thep21"/>
      <sheetName val="Cong_tron_D7521"/>
      <sheetName val="Cong_tron_D10021"/>
      <sheetName val="Cong_tron_D15021"/>
      <sheetName val="Cong_tron_2D15021"/>
      <sheetName val="Cong_ban_1,0x1,021"/>
      <sheetName val="Cong_ban_1,0x1,221"/>
      <sheetName val="Cong_hop_1,5x1,521"/>
      <sheetName val="Cong_hop_2,0x1,521"/>
      <sheetName val="Cong_hop_2,0x2,021"/>
      <sheetName val="TK_11221"/>
      <sheetName val="TK_13121"/>
      <sheetName val="TK_14121"/>
      <sheetName val="TK_15321"/>
      <sheetName val="TK_21121"/>
      <sheetName val="TK_24221"/>
      <sheetName val="TK_33421"/>
      <sheetName val="TK_51121"/>
      <sheetName val="TK_51521"/>
      <sheetName val="TK_91121"/>
      <sheetName val="KQKD02-2_(2)21"/>
      <sheetName val="KQKD-2_(2)21"/>
      <sheetName val="KQKD_thu200421"/>
      <sheetName val="_t521"/>
      <sheetName val="t_421"/>
      <sheetName val="_t3_21"/>
      <sheetName val="_TH33121"/>
      <sheetName val="_Minh_ha21"/>
      <sheetName val="_Ha_Tay21"/>
      <sheetName val="_Vinhphuc21"/>
      <sheetName val="_Nbinh21"/>
      <sheetName val="_QVinh21"/>
      <sheetName val="_TW121"/>
      <sheetName val="DOANH_SO21"/>
      <sheetName val="BD-SINH_VIEN21"/>
      <sheetName val="VtuHaTheSauTBABenThuy1_(2)21"/>
      <sheetName val="Song_trai21"/>
      <sheetName val="Dinh+ha_nha21"/>
      <sheetName val="NG_k21"/>
      <sheetName val="T_so_thay_doi21"/>
      <sheetName val="b_THchitietDZCT21"/>
      <sheetName val="b_THchitietTBA21"/>
      <sheetName val="Khao_sat21"/>
      <sheetName val="TT_khao_sat21"/>
      <sheetName val="thkl_(2)21"/>
      <sheetName val="long_tec21"/>
      <sheetName val="phan_tich_DG21"/>
      <sheetName val="gia_vat_lieu21"/>
      <sheetName val="gia_xe_may21"/>
      <sheetName val="gia_nhan_cong21"/>
      <sheetName val="CDSL_(2)21"/>
      <sheetName val="F_ThanhTri21"/>
      <sheetName val="F_Gialam21"/>
      <sheetName val="TH_dam21"/>
      <sheetName val="SX_dam21"/>
      <sheetName val="LD_dam21"/>
      <sheetName val="Bang_gia_VL21"/>
      <sheetName val="Gia_NC21"/>
      <sheetName val="Gia_may21"/>
      <sheetName val="Trich_Ngang21"/>
      <sheetName val="Danh_sach_Rieng21"/>
      <sheetName val="Dia_Diem_Thuc_Tap21"/>
      <sheetName val="De_Tai_Thuc_Tap21"/>
      <sheetName val="Dancau-Q_Ninh21"/>
      <sheetName val="BaTrieu-L_son21"/>
      <sheetName val="K249_K9821"/>
      <sheetName val="K249_K98_(2)21"/>
      <sheetName val="K251_K9821"/>
      <sheetName val="K251_SBase21"/>
      <sheetName val="K251_AC21"/>
      <sheetName val="K252_K9821"/>
      <sheetName val="K252_SBase21"/>
      <sheetName val="K252_AC21"/>
      <sheetName val="K253_K9821"/>
      <sheetName val="K253_Subbase21"/>
      <sheetName val="K253_Base_21"/>
      <sheetName val="K253_SBase21"/>
      <sheetName val="K253_AC21"/>
      <sheetName val="K255_SBase21"/>
      <sheetName val="K259_K9821"/>
      <sheetName val="K259_Subbase21"/>
      <sheetName val="K259_Base_21"/>
      <sheetName val="K259_AC21"/>
      <sheetName val="K260_K9821"/>
      <sheetName val="K260_Subbase21"/>
      <sheetName val="K260_Base21"/>
      <sheetName val="K260_AC21"/>
      <sheetName val="K261_K9821"/>
      <sheetName val="K261_Base21"/>
      <sheetName val="K261_AC21"/>
      <sheetName val="HHVt_21"/>
      <sheetName val="Tay_ninh21"/>
      <sheetName val="A_Duc21"/>
      <sheetName val="giai_thich21"/>
      <sheetName val="DT_-_Ro21"/>
      <sheetName val="TH_-_Ro_21"/>
      <sheetName val="GDT_-_Ro21"/>
      <sheetName val="DT_-_TB21"/>
      <sheetName val="TH_-_TB21"/>
      <sheetName val="GDT_-_TB21"/>
      <sheetName val="DT_-_NT21"/>
      <sheetName val="TH_-_NT21"/>
      <sheetName val="GDT_-_NT21"/>
      <sheetName val="SCT_Cong_trinh21"/>
      <sheetName val="06-2003_(2)21"/>
      <sheetName val="CDPS_6tc21"/>
      <sheetName val="SCT_Nha_thau21"/>
      <sheetName val="socai2003_(6tc)dp21"/>
      <sheetName val="socai2003_(6tc)21"/>
      <sheetName val="CDPS_6tc_(2)21"/>
      <sheetName val="TH_du_toan_21"/>
      <sheetName val="Du_toan_21"/>
      <sheetName val="C_Tinh21"/>
      <sheetName val="CT_0320"/>
      <sheetName val="TH_0320"/>
      <sheetName val="Don_gia_CPM21"/>
      <sheetName val="Tong_Thieu_HD_cac_CT-200121"/>
      <sheetName val="VL_thieu_HD_-_200121"/>
      <sheetName val="Tong_thieu_HD_cac_CT_-_200221"/>
      <sheetName val="Lan_trai21"/>
      <sheetName val="Van_chuyen21"/>
      <sheetName val="HDong_VC21"/>
      <sheetName val="ThieuHD_nam_200121"/>
      <sheetName val="Bang_TH21"/>
      <sheetName val="Tong_Chinh21"/>
      <sheetName val="So_sanh21"/>
      <sheetName val="Xaylap_21"/>
      <sheetName val="Nhan_cong21"/>
      <sheetName val="_KQTH_quy_hoach_13520"/>
      <sheetName val="Bao_cao_KQTH_quy_hoach_13520"/>
      <sheetName val="Co~g_hop_1,5x1,521"/>
      <sheetName val="Tong_hop_xuat_kho_nvl20"/>
      <sheetName val="Xuat_kho20"/>
      <sheetName val="Tong_hop_so_lieu_tai_nhap_kho20"/>
      <sheetName val="tai_nhap_kho20"/>
      <sheetName val="Nhap_kho20"/>
      <sheetName val="Tong_ket_nhap_kho20"/>
      <sheetName val="Tong_ket20"/>
      <sheetName val="cac_ma_can_huy20"/>
      <sheetName val="Hang_hong20"/>
      <sheetName val="Tham_khao20"/>
      <sheetName val="hang_khong_co_packing20"/>
      <sheetName val="GIA_NUOC21"/>
      <sheetName val="GIA_DIEN_THOAI21"/>
      <sheetName val="GIA_DIEN21"/>
      <sheetName val="chiet_tinh_XD21"/>
      <sheetName val="Triet_T21"/>
      <sheetName val="Phan_tich_gia21"/>
      <sheetName val="pHAN_CONG21"/>
      <sheetName val="GIA_XD21"/>
      <sheetName val="Coc_621"/>
      <sheetName val="Deo_nai21"/>
      <sheetName val="CKD_than21"/>
      <sheetName val="CTT_Thong_nhat21"/>
      <sheetName val="CTT_Nui_beo21"/>
      <sheetName val="CTT_cao_son21"/>
      <sheetName val="CTT_Khe_cham21"/>
      <sheetName val="XNxlva_sxthanKCII21"/>
      <sheetName val="Cam_Y_ut_KC21"/>
      <sheetName val="CTxay_lap_mo_CP21"/>
      <sheetName val="CTdo_luong_GDSP21"/>
      <sheetName val="Dong_bac21"/>
      <sheetName val="Cac_cang_UT_mua_than_Dong_bac21"/>
      <sheetName val="cua_hang_vtu21"/>
      <sheetName val="Khach_hang_le_21"/>
      <sheetName val="nhat_ky_521"/>
      <sheetName val="cac_cong_ty_van_tai21"/>
      <sheetName val="[IBASE2_XLSѝTNHNoi21"/>
      <sheetName val="Thang_420"/>
      <sheetName val="BC_TH_CK_(2)21"/>
      <sheetName val="BC_TH_CK21"/>
      <sheetName val="BC6tT19_food21"/>
      <sheetName val="BC6tT18_-_Food21"/>
      <sheetName val="BCCK_421"/>
      <sheetName val="BCFood-_T1621"/>
      <sheetName val="BCFood-_T1521"/>
      <sheetName val="BCFood-_T1421"/>
      <sheetName val="BCFood-_T1321"/>
      <sheetName val="TH_CK221"/>
      <sheetName val="BC6tT52_(3)21"/>
      <sheetName val="BC6tT52_(2)21"/>
      <sheetName val="TCK_1221"/>
      <sheetName val="Tong_CK21"/>
      <sheetName val="T03_-_0321"/>
      <sheetName val="THL_T0321"/>
      <sheetName val="TTBC_T0321"/>
      <sheetName val="Luong_noi_Bo_-_T321"/>
      <sheetName val="Tong_hop_-_T321"/>
      <sheetName val="Thuong_Quy_321"/>
      <sheetName val="Phu_cap_trach_nhiem21"/>
      <sheetName val="Co_quan_TCT20"/>
      <sheetName val="BOT_(PA_chon)20"/>
      <sheetName val="Yaly_&amp;_Ri_Ninh20"/>
      <sheetName val="Thuy_dien_Na_Loi20"/>
      <sheetName val="bang_so_sanh_tong_hop20"/>
      <sheetName val="bang_so_sanh_tong_hop_(ty_le)20"/>
      <sheetName val="thu_nhap_binh_quan_(2)20"/>
      <sheetName val="dang_huong20"/>
      <sheetName val="phuong_an_120"/>
      <sheetName val="phuong_an_1_(2)20"/>
      <sheetName val="phuong_an220"/>
      <sheetName val="tong_hop_BQ20"/>
      <sheetName val="tong_hop_BQ-120"/>
      <sheetName val="phuong_an_chon20"/>
      <sheetName val="bang_so_sanh_tong_hop_(_PA_ch19"/>
      <sheetName val="dang_ap_dung19"/>
      <sheetName val="bang_tong_hop_(dang_huong)19"/>
      <sheetName val="THT_nam_0419"/>
      <sheetName val="CV_di_trong__dong20"/>
      <sheetName val="ql_(2)19"/>
      <sheetName val="Heso_3-2004_(3)19"/>
      <sheetName val="Luong_(2)19"/>
      <sheetName val="heso_T319"/>
      <sheetName val="heso_T419"/>
      <sheetName val="heso_T519"/>
      <sheetName val="Heso_T619"/>
      <sheetName val="Heso_T719"/>
      <sheetName val="Heso_T819"/>
      <sheetName val="Heso_T919"/>
      <sheetName val="Heso_2-200419"/>
      <sheetName val="Heso_3-200419"/>
      <sheetName val="Heso_3-2004_(2)19"/>
      <sheetName val="tô_rôiDY19"/>
      <sheetName val="Nhap_lieu20"/>
      <sheetName val="Tien_dien19"/>
      <sheetName val="Thue_GTGT19"/>
      <sheetName val="bcth_05-0419"/>
      <sheetName val="baocao_05-0419"/>
      <sheetName val="nhan_su19"/>
      <sheetName val="luong_cty19"/>
      <sheetName val="TK__TK19"/>
      <sheetName val="THANG7_19"/>
      <sheetName val="THANG_1119"/>
      <sheetName val="THANG_1219"/>
      <sheetName val="Tuan_1_017"/>
      <sheetName val="Tuan_3_01_7"/>
      <sheetName val="Tuan_5_06_7"/>
      <sheetName val="Tuan_6_06__7"/>
      <sheetName val="Tuan_7_06_7"/>
      <sheetName val="Tuan_7_06__(2)7"/>
      <sheetName val="Tuan10,06_7"/>
      <sheetName val="Tuan11,06__7"/>
      <sheetName val="Bao_cao_DD_31_3_067"/>
      <sheetName val="Bao_cao_DD_30_4_067"/>
      <sheetName val="Bao_cao_DD_31_5_06_7"/>
      <sheetName val="Bao_cao_Quy_I-067"/>
      <sheetName val="Bao_cao_DD_30_6_067"/>
      <sheetName val="Bao_cao_DD_31_7_067"/>
      <sheetName val="Cong_ban_11yx1,27"/>
      <sheetName val="Luu_goc19"/>
      <sheetName val="km22+93_86-km22+121_8619"/>
      <sheetName val="km22+177_14-km22+205_6419"/>
      <sheetName val="Bang_20-2519"/>
      <sheetName val="km22+267_96-km22+283_9619"/>
      <sheetName val="km22+304_31-km22+344_3119"/>
      <sheetName val="km22+460_92-km22+614_5719"/>
      <sheetName val="km22+671_78-km22+713_3219"/>
      <sheetName val="Dinh_ha_nha19"/>
      <sheetName val="_tuanM19"/>
      <sheetName val="[IBASE2_XLS_Tong_hop_Matduong19"/>
      <sheetName val="THU_T1219"/>
      <sheetName val="CHI_T1219"/>
      <sheetName val="THU_T1119"/>
      <sheetName val="CHI_T1119"/>
      <sheetName val="THU_T1019"/>
      <sheetName val="CHI_T1019"/>
      <sheetName val="THU_T919"/>
      <sheetName val="CHI_T919"/>
      <sheetName val="THU_T819"/>
      <sheetName val="CHI_T819"/>
      <sheetName val="BC§_200119"/>
      <sheetName val="BBC§_200219"/>
      <sheetName val="TSC§_200119"/>
      <sheetName val="TSc®_200219"/>
      <sheetName val="BaTrieu-L_con19"/>
      <sheetName val="EDT_-_Ro19"/>
      <sheetName val="KHVô_XL19"/>
      <sheetName val="TD_khao_sat19"/>
      <sheetName val="chi_phi_cap_tien19"/>
      <sheetName val="[IBASE2_XLS}BHXH19"/>
      <sheetName val="chuong_phu19"/>
      <sheetName val="phuong_aL_119"/>
      <sheetName val="[IBASE2_XLS䁝BC6tT1719"/>
      <sheetName val="Khac_DP19"/>
      <sheetName val="Khoi_than_19"/>
      <sheetName val="De_Tai_Vhuc_Tap19"/>
      <sheetName val="02_119"/>
      <sheetName val="2_119"/>
      <sheetName val="2_319"/>
      <sheetName val="02_319"/>
      <sheetName val="B_0119"/>
      <sheetName val="B_0319"/>
      <sheetName val="D_1319"/>
      <sheetName val="det_VP19"/>
      <sheetName val="det_hn19"/>
      <sheetName val="chi_Hieu19"/>
      <sheetName val="c_thoa19"/>
      <sheetName val="A_thanh_-_DL19"/>
      <sheetName val="A_Tuyen19"/>
      <sheetName val="A_Tien_-laphu19"/>
      <sheetName val="A_Thang-_laphu19"/>
      <sheetName val="A_Dong19"/>
      <sheetName val="27-7_NB19"/>
      <sheetName val="xn_519"/>
      <sheetName val="PKD_X2019"/>
      <sheetName val="da_giay_SG19"/>
      <sheetName val="dagiay_XK19"/>
      <sheetName val="DK_Dong_xuan19"/>
      <sheetName val="chu_Ton19"/>
      <sheetName val="minh_tri19"/>
      <sheetName val="viet_huy19"/>
      <sheetName val="thanh_ha19"/>
      <sheetName val="O_Su19"/>
      <sheetName val="A_Ha-DL19"/>
      <sheetName val="Vinh_oanh19"/>
      <sheetName val="chi_Thuy19"/>
      <sheetName val="chu_Hong19"/>
      <sheetName val="thuy-_may19"/>
      <sheetName val="vu_yen19"/>
      <sheetName val="[IBASE2_XLS?TNHNoi19"/>
      <sheetName val="HD_CTrinh119"/>
      <sheetName val="HD_benA19"/>
      <sheetName val="Theodoi_HD19"/>
      <sheetName val="Theodoi_HD_(2)19"/>
      <sheetName val="_GT_CPhi_tung_dot19"/>
      <sheetName val="Cong_hop_2,0ࡸ2,019"/>
      <sheetName val="OPERATING_HEAD19"/>
      <sheetName val="31_12_0119"/>
      <sheetName val="Sat_tron19"/>
      <sheetName val="Bang_can_doi_19"/>
      <sheetName val="Tinh_hinh_cat_lang19"/>
      <sheetName val="Tinh_hinh_SX_phu19"/>
      <sheetName val="Tinh_hinh_do_xop19"/>
      <sheetName val="THU_T719"/>
      <sheetName val="CHI_T719"/>
      <sheetName val="THU_T619"/>
      <sheetName val="CHI_T619"/>
      <sheetName val="THU_T519"/>
      <sheetName val="CHI_T519"/>
      <sheetName val="THU_T419"/>
      <sheetName val="CHI_T419"/>
      <sheetName val="THU_T319"/>
      <sheetName val="CHI_T319"/>
      <sheetName val="THU_T219"/>
      <sheetName val="CHI_T219"/>
      <sheetName val="THU_T139"/>
      <sheetName val="CHI_T139"/>
      <sheetName val="_IBASE2_XLSѝTNHNoi20"/>
      <sheetName val="_IBASE2_XLS䁝BC6tT1719"/>
      <sheetName val="_IBASE2_XLS}BHXH19"/>
      <sheetName val="_IBASE2_XLS_Tong_hop_Matduong19"/>
      <sheetName val="BTHDT_TBA_19"/>
      <sheetName val="(9_30)_IP19"/>
      <sheetName val="CVden_ngoai_TCT_(1)22"/>
      <sheetName val="CV_den_ngoai_TCT_(2)22"/>
      <sheetName val="CV_den_ngoai_TCT_(3)22"/>
      <sheetName val="QDcua_TGD22"/>
      <sheetName val="QD_cua_HDQT22"/>
      <sheetName val="QD_cua_HDQT_(2)22"/>
      <sheetName val="CV_di_ngoai_tong22"/>
      <sheetName val="CV_di_ngoai_tong_(2)22"/>
      <sheetName val="To_trinh22"/>
      <sheetName val="Giao_nhiem_vu22"/>
      <sheetName val="QDcua_TGD_(2)22"/>
      <sheetName val="Thong_tu22"/>
      <sheetName val="CV_di_trong__tong22"/>
      <sheetName val="nghi_dinh-CP22"/>
      <sheetName val="CV_den_trong_tong22"/>
      <sheetName val="KHVt_22"/>
      <sheetName val="KHVt_XL22"/>
      <sheetName val="KHVt_XLT422"/>
      <sheetName val="T_K_H_T_T522"/>
      <sheetName val="T_K_T722"/>
      <sheetName val="TK_T622"/>
      <sheetName val="T_K_T522"/>
      <sheetName val="Bang_thong_ke_hang_ton22"/>
      <sheetName val="thong_ke_22"/>
      <sheetName val="T_KT0422"/>
      <sheetName val="lapdat_TB_22"/>
      <sheetName val="TNghiªm_TB_22"/>
      <sheetName val="VËt_liÖu22"/>
      <sheetName val="Lap_®at_®iÖn22"/>
      <sheetName val="TNghiÖm_VL22"/>
      <sheetName val="th_22"/>
      <sheetName val="tien_luong22"/>
      <sheetName val="142201-T1_22"/>
      <sheetName val="142201-T2-th_22"/>
      <sheetName val="142201-T3-th_22"/>
      <sheetName val="142201-T4-th__22"/>
      <sheetName val="Thep_be22"/>
      <sheetName val="Thep_than22"/>
      <sheetName val="Thep_xa_mu22"/>
      <sheetName val="Kluong_phu22"/>
      <sheetName val="Lan_can22"/>
      <sheetName val="Ho_lan22"/>
      <sheetName val="Coc_tieu22"/>
      <sheetName val="Bien_bao22"/>
      <sheetName val="Op_mai_27422"/>
      <sheetName val="Op_mai_27522"/>
      <sheetName val="Op_mai_27622"/>
      <sheetName val="Op_mai_27722"/>
      <sheetName val="Op_mai_27822"/>
      <sheetName val="Op_mai_27922"/>
      <sheetName val="Op_mai_28022"/>
      <sheetName val="Op_mai_28122"/>
      <sheetName val="Op_mai_28222"/>
      <sheetName val="Op_mai_28322"/>
      <sheetName val="Op_mai_28422"/>
      <sheetName val="Op_mai22"/>
      <sheetName val="Km274_-_Km27522"/>
      <sheetName val="Km275_-_Km27622"/>
      <sheetName val="Km276_-_Km27722"/>
      <sheetName val="Km277_-_Km278_22"/>
      <sheetName val="Km278_-_Km27922"/>
      <sheetName val="Km279_-_Km28022"/>
      <sheetName val="Km280_-_Km28122"/>
      <sheetName val="Km281_-_Km28222"/>
      <sheetName val="Km282_-_Km28322"/>
      <sheetName val="Km283_-_Km28422"/>
      <sheetName val="Km284_-_Km28522"/>
      <sheetName val="Tong_hop_Matduong22"/>
      <sheetName val="Cong_D7522"/>
      <sheetName val="Cong_D10022"/>
      <sheetName val="Cong_D15022"/>
      <sheetName val="Cong_2D15022"/>
      <sheetName val="Cong_ban_0,7x0,722"/>
      <sheetName val="Cong_ban_0,8x0,822"/>
      <sheetName val="Cong_ban_1x122"/>
      <sheetName val="Cong_ban_1x1,222"/>
      <sheetName val="Cong_ban_1,5x1,522"/>
      <sheetName val="Cong_ban_2x1,522"/>
      <sheetName val="Cong_ban_2x222"/>
      <sheetName val="Tong_hop22"/>
      <sheetName val="Tong_hop_(2)22"/>
      <sheetName val="Cong_cu22"/>
      <sheetName val="Cot_thep22"/>
      <sheetName val="Cong_tron_D7522"/>
      <sheetName val="Cong_tron_D10022"/>
      <sheetName val="Cong_tron_D15022"/>
      <sheetName val="Cong_tron_2D15022"/>
      <sheetName val="Cong_ban_1,0x1,022"/>
      <sheetName val="Cong_ban_1,0x1,222"/>
      <sheetName val="Cong_hop_1,5x1,522"/>
      <sheetName val="Cong_hop_2,0x1,522"/>
      <sheetName val="Cong_hop_2,0x2,022"/>
      <sheetName val="TK_11222"/>
      <sheetName val="TK_13122"/>
      <sheetName val="TK_14122"/>
      <sheetName val="TK_15322"/>
      <sheetName val="TK_21122"/>
      <sheetName val="TK_24222"/>
      <sheetName val="TK_33422"/>
      <sheetName val="TK_51122"/>
      <sheetName val="TK_51522"/>
      <sheetName val="TK_91122"/>
      <sheetName val="KQKD02-2_(2)22"/>
      <sheetName val="KQKD-2_(2)22"/>
      <sheetName val="KQKD_thu200422"/>
      <sheetName val="_t522"/>
      <sheetName val="t_422"/>
      <sheetName val="_t3_22"/>
      <sheetName val="_TH33122"/>
      <sheetName val="_Minh_ha22"/>
      <sheetName val="_Ha_Tay22"/>
      <sheetName val="_Vinhphuc22"/>
      <sheetName val="_Nbinh22"/>
      <sheetName val="_QVinh22"/>
      <sheetName val="_TW122"/>
      <sheetName val="DOANH_SO22"/>
      <sheetName val="BD-SINH_VIEN22"/>
      <sheetName val="VtuHaTheSauTBABenThuy1_(2)22"/>
      <sheetName val="Song_trai22"/>
      <sheetName val="Dinh+ha_nha22"/>
      <sheetName val="NG_k22"/>
      <sheetName val="T_so_thay_doi22"/>
      <sheetName val="b_THchitietDZCT22"/>
      <sheetName val="b_THchitietTBA22"/>
      <sheetName val="Khao_sat22"/>
      <sheetName val="TT_khao_sat22"/>
      <sheetName val="thkl_(2)22"/>
      <sheetName val="long_tec22"/>
      <sheetName val="phan_tich_DG22"/>
      <sheetName val="gia_vat_lieu22"/>
      <sheetName val="gia_xe_may22"/>
      <sheetName val="gia_nhan_cong22"/>
      <sheetName val="CDSL_(2)22"/>
      <sheetName val="F_ThanhTri22"/>
      <sheetName val="F_Gialam22"/>
      <sheetName val="TH_dam22"/>
      <sheetName val="SX_dam22"/>
      <sheetName val="LD_dam22"/>
      <sheetName val="Bang_gia_VL22"/>
      <sheetName val="Gia_NC22"/>
      <sheetName val="Gia_may22"/>
      <sheetName val="Trich_Ngang22"/>
      <sheetName val="Danh_sach_Rieng22"/>
      <sheetName val="Dia_Diem_Thuc_Tap22"/>
      <sheetName val="De_Tai_Thuc_Tap22"/>
      <sheetName val="Dancau-Q_Ninh22"/>
      <sheetName val="BaTrieu-L_son22"/>
      <sheetName val="K249_K9822"/>
      <sheetName val="K249_K98_(2)22"/>
      <sheetName val="K251_K9822"/>
      <sheetName val="K251_SBase22"/>
      <sheetName val="K251_AC22"/>
      <sheetName val="K252_K9822"/>
      <sheetName val="K252_SBase22"/>
      <sheetName val="K252_AC22"/>
      <sheetName val="K253_K9822"/>
      <sheetName val="K253_Subbase22"/>
      <sheetName val="K253_Base_22"/>
      <sheetName val="K253_SBase22"/>
      <sheetName val="K253_AC22"/>
      <sheetName val="K255_SBase22"/>
      <sheetName val="K259_K9822"/>
      <sheetName val="K259_Subbase22"/>
      <sheetName val="K259_Base_22"/>
      <sheetName val="K259_AC22"/>
      <sheetName val="K260_K9822"/>
      <sheetName val="K260_Subbase22"/>
      <sheetName val="K260_Base22"/>
      <sheetName val="K260_AC22"/>
      <sheetName val="K261_K9822"/>
      <sheetName val="K261_Base22"/>
      <sheetName val="K261_AC22"/>
      <sheetName val="HHVt_22"/>
      <sheetName val="Tay_ninh22"/>
      <sheetName val="A_Duc22"/>
      <sheetName val="giai_thich22"/>
      <sheetName val="DT_-_Ro22"/>
      <sheetName val="TH_-_Ro_22"/>
      <sheetName val="GDT_-_Ro22"/>
      <sheetName val="DT_-_TB22"/>
      <sheetName val="TH_-_TB22"/>
      <sheetName val="GDT_-_TB22"/>
      <sheetName val="DT_-_NT22"/>
      <sheetName val="TH_-_NT22"/>
      <sheetName val="GDT_-_NT22"/>
      <sheetName val="SCT_Cong_trinh22"/>
      <sheetName val="06-2003_(2)22"/>
      <sheetName val="CDPS_6tc22"/>
      <sheetName val="SCT_Nha_thau22"/>
      <sheetName val="socai2003_(6tc)dp22"/>
      <sheetName val="socai2003_(6tc)22"/>
      <sheetName val="CDPS_6tc_(2)22"/>
      <sheetName val="TH_du_toan_22"/>
      <sheetName val="Du_toan_22"/>
      <sheetName val="C_Tinh22"/>
      <sheetName val="CT_0321"/>
      <sheetName val="TH_0321"/>
      <sheetName val="Don_gia_CPM22"/>
      <sheetName val="Tong_Thieu_HD_cac_CT-200122"/>
      <sheetName val="VL_thieu_HD_-_200122"/>
      <sheetName val="Tong_thieu_HD_cac_CT_-_200222"/>
      <sheetName val="Lan_trai22"/>
      <sheetName val="Van_chuyen22"/>
      <sheetName val="HDong_VC22"/>
      <sheetName val="ThieuHD_nam_200122"/>
      <sheetName val="Bang_TH22"/>
      <sheetName val="Tong_Chinh22"/>
      <sheetName val="So_sanh22"/>
      <sheetName val="Xaylap_22"/>
      <sheetName val="Nhan_cong22"/>
      <sheetName val="_KQTH_quy_hoach_13521"/>
      <sheetName val="Bao_cao_KQTH_quy_hoach_13521"/>
      <sheetName val="Co~g_hop_1,5x1,522"/>
      <sheetName val="Tong_hop_xuat_kho_nvl21"/>
      <sheetName val="Xuat_kho21"/>
      <sheetName val="Tong_hop_so_lieu_tai_nhap_kho21"/>
      <sheetName val="tai_nhap_kho21"/>
      <sheetName val="Nhap_kho21"/>
      <sheetName val="Tong_ket_nhap_kho21"/>
      <sheetName val="Tong_ket21"/>
      <sheetName val="cac_ma_can_huy21"/>
      <sheetName val="Hang_hong21"/>
      <sheetName val="Tham_khao21"/>
      <sheetName val="hang_khong_co_packing21"/>
      <sheetName val="GIA_NUOC22"/>
      <sheetName val="GIA_DIEN_THOAI22"/>
      <sheetName val="GIA_DIEN22"/>
      <sheetName val="chiet_tinh_XD22"/>
      <sheetName val="Triet_T22"/>
      <sheetName val="Phan_tich_gia22"/>
      <sheetName val="pHAN_CONG22"/>
      <sheetName val="GIA_XD22"/>
      <sheetName val="Coc_622"/>
      <sheetName val="Deo_nai22"/>
      <sheetName val="CKD_than22"/>
      <sheetName val="CTT_Thong_nhat22"/>
      <sheetName val="CTT_Nui_beo22"/>
      <sheetName val="CTT_cao_son22"/>
      <sheetName val="CTT_Khe_cham22"/>
      <sheetName val="XNxlva_sxthanKCII22"/>
      <sheetName val="Cam_Y_ut_KC22"/>
      <sheetName val="CTxay_lap_mo_CP22"/>
      <sheetName val="CTdo_luong_GDSP22"/>
      <sheetName val="Dong_bac22"/>
      <sheetName val="Cac_cang_UT_mua_than_Dong_bac22"/>
      <sheetName val="cua_hang_vtu22"/>
      <sheetName val="Khach_hang_le_22"/>
      <sheetName val="nhat_ky_522"/>
      <sheetName val="cac_cong_ty_van_tai22"/>
      <sheetName val="[IBASE2_XLSѝTNHNoi22"/>
      <sheetName val="Thang_421"/>
      <sheetName val="BC_TH_CK_(2)22"/>
      <sheetName val="BC_TH_CK22"/>
      <sheetName val="BC6tT19_food22"/>
      <sheetName val="BC6tT18_-_Food22"/>
      <sheetName val="BCCK_422"/>
      <sheetName val="BCFood-_T1622"/>
      <sheetName val="BCFood-_T1522"/>
      <sheetName val="BCFood-_T1422"/>
      <sheetName val="BCFood-_T1322"/>
      <sheetName val="TH_CK222"/>
      <sheetName val="BC6tT52_(3)22"/>
      <sheetName val="BC6tT52_(2)22"/>
      <sheetName val="TCK_1222"/>
      <sheetName val="Tong_CK22"/>
      <sheetName val="T03_-_0322"/>
      <sheetName val="THL_T0322"/>
      <sheetName val="TTBC_T0322"/>
      <sheetName val="Luong_noi_Bo_-_T322"/>
      <sheetName val="Tong_hop_-_T322"/>
      <sheetName val="Thuong_Quy_322"/>
      <sheetName val="Phu_cap_trach_nhiem22"/>
      <sheetName val="CVden_ngoai_TCT_(1)24"/>
      <sheetName val="CV_den_ngoai_TCT_(2)24"/>
      <sheetName val="CV_den_ngoai_TCT_(3)24"/>
      <sheetName val="QDcua_TGD24"/>
      <sheetName val="QD_cua_HDQT24"/>
      <sheetName val="QD_cua_HDQT_(2)24"/>
      <sheetName val="CV_di_ngoai_tong24"/>
      <sheetName val="CV_di_ngoai_tong_(2)24"/>
      <sheetName val="To_trinh24"/>
      <sheetName val="Giao_nhiem_vu24"/>
      <sheetName val="QDcua_TGD_(2)24"/>
      <sheetName val="Thong_tu24"/>
      <sheetName val="CV_di_trong__tong24"/>
      <sheetName val="nghi_dinh-CP24"/>
      <sheetName val="CV_den_trong_tong24"/>
      <sheetName val="KHVt_24"/>
      <sheetName val="KHVt_XL24"/>
      <sheetName val="KHVt_XLT424"/>
      <sheetName val="T_K_H_T_T524"/>
      <sheetName val="T_K_T724"/>
      <sheetName val="TK_T624"/>
      <sheetName val="T_K_T524"/>
      <sheetName val="Bang_thong_ke_hang_ton24"/>
      <sheetName val="thong_ke_24"/>
      <sheetName val="T_KT0424"/>
      <sheetName val="lapdat_TB_24"/>
      <sheetName val="TNghiªm_TB_24"/>
      <sheetName val="VËt_liÖu24"/>
      <sheetName val="Lap_®at_®iÖn24"/>
      <sheetName val="TNghiÖm_VL24"/>
      <sheetName val="th_24"/>
      <sheetName val="tien_luong24"/>
      <sheetName val="142201-T1_24"/>
      <sheetName val="142201-T2-th_24"/>
      <sheetName val="142201-T3-th_24"/>
      <sheetName val="142201-T4-th__24"/>
      <sheetName val="Thep_be24"/>
      <sheetName val="Thep_than24"/>
      <sheetName val="Thep_xa_mu24"/>
      <sheetName val="Kluong_phu24"/>
      <sheetName val="Lan_can24"/>
      <sheetName val="Ho_lan24"/>
      <sheetName val="Coc_tieu24"/>
      <sheetName val="Bien_bao24"/>
      <sheetName val="Op_mai_27424"/>
      <sheetName val="Op_mai_27524"/>
      <sheetName val="Op_mai_27624"/>
      <sheetName val="Op_mai_27724"/>
      <sheetName val="Op_mai_27824"/>
      <sheetName val="Op_mai_27924"/>
      <sheetName val="Op_mai_28024"/>
      <sheetName val="Op_mai_28124"/>
      <sheetName val="Op_mai_28224"/>
      <sheetName val="Op_mai_28324"/>
      <sheetName val="Op_mai_28424"/>
      <sheetName val="Op_mai24"/>
      <sheetName val="Km274_-_Km27524"/>
      <sheetName val="Km275_-_Km27624"/>
      <sheetName val="Km276_-_Km27724"/>
      <sheetName val="Km277_-_Km278_24"/>
      <sheetName val="Km278_-_Km27924"/>
      <sheetName val="Km279_-_Km28024"/>
      <sheetName val="Km280_-_Km28124"/>
      <sheetName val="Km281_-_Km28224"/>
      <sheetName val="Km282_-_Km28324"/>
      <sheetName val="Km283_-_Km28424"/>
      <sheetName val="Km284_-_Km28524"/>
      <sheetName val="Tong_hop_Matduong24"/>
      <sheetName val="Cong_D7524"/>
      <sheetName val="Cong_D10024"/>
      <sheetName val="Cong_D15024"/>
      <sheetName val="Cong_2D15024"/>
      <sheetName val="Cong_ban_0,7x0,724"/>
      <sheetName val="Cong_ban_0,8x0,824"/>
      <sheetName val="Cong_ban_1x124"/>
      <sheetName val="Cong_ban_1x1,224"/>
      <sheetName val="Cong_ban_1,5x1,524"/>
      <sheetName val="Cong_ban_2x1,524"/>
      <sheetName val="Cong_ban_2x224"/>
      <sheetName val="Tong_hop24"/>
      <sheetName val="Tong_hop_(2)24"/>
      <sheetName val="Cong_cu24"/>
      <sheetName val="Cot_thep24"/>
      <sheetName val="Cong_tron_D7524"/>
      <sheetName val="Cong_tron_D10024"/>
      <sheetName val="Cong_tron_D15024"/>
      <sheetName val="Cong_tron_2D15024"/>
      <sheetName val="Cong_ban_1,0x1,024"/>
      <sheetName val="Cong_ban_1,0x1,224"/>
      <sheetName val="Cong_hop_1,5x1,524"/>
      <sheetName val="Cong_hop_2,0x1,524"/>
      <sheetName val="Cong_hop_2,0x2,024"/>
      <sheetName val="TK_11224"/>
      <sheetName val="TK_13124"/>
      <sheetName val="TK_14124"/>
      <sheetName val="TK_15324"/>
      <sheetName val="TK_21124"/>
      <sheetName val="TK_24224"/>
      <sheetName val="TK_33424"/>
      <sheetName val="TK_51124"/>
      <sheetName val="TK_51524"/>
      <sheetName val="TK_91124"/>
      <sheetName val="KQKD02-2_(2)24"/>
      <sheetName val="KQKD-2_(2)24"/>
      <sheetName val="KQKD_thu200424"/>
      <sheetName val="_t524"/>
      <sheetName val="t_424"/>
      <sheetName val="_t3_24"/>
      <sheetName val="_TH33124"/>
      <sheetName val="_Minh_ha24"/>
      <sheetName val="_Ha_Tay24"/>
      <sheetName val="_Vinhphuc24"/>
      <sheetName val="_Nbinh24"/>
      <sheetName val="_QVinh24"/>
      <sheetName val="_TW124"/>
      <sheetName val="DOANH_SO24"/>
      <sheetName val="BD-SINH_VIEN24"/>
      <sheetName val="VtuHaTheSauTBABenThuy1_(2)24"/>
      <sheetName val="Song_trai24"/>
      <sheetName val="Dinh+ha_nha24"/>
      <sheetName val="NG_k24"/>
      <sheetName val="T_so_thay_doi24"/>
      <sheetName val="b_THchitietDZCT24"/>
      <sheetName val="b_THchitietTBA24"/>
      <sheetName val="Khao_sat24"/>
      <sheetName val="TT_khao_sat24"/>
      <sheetName val="thkl_(2)24"/>
      <sheetName val="long_tec24"/>
      <sheetName val="phan_tich_DG24"/>
      <sheetName val="gia_vat_lieu24"/>
      <sheetName val="gia_xe_may24"/>
      <sheetName val="gia_nhan_cong24"/>
      <sheetName val="CDSL_(2)24"/>
      <sheetName val="F_ThanhTri24"/>
      <sheetName val="F_Gialam24"/>
      <sheetName val="TH_dam24"/>
      <sheetName val="SX_dam24"/>
      <sheetName val="LD_dam24"/>
      <sheetName val="Bang_gia_VL24"/>
      <sheetName val="Gia_NC24"/>
      <sheetName val="Gia_may24"/>
      <sheetName val="Trich_Ngang24"/>
      <sheetName val="Danh_sach_Rieng24"/>
      <sheetName val="Dia_Diem_Thuc_Tap24"/>
      <sheetName val="De_Tai_Thuc_Tap24"/>
      <sheetName val="Dancau-Q_Ninh24"/>
      <sheetName val="BaTrieu-L_son24"/>
      <sheetName val="K249_K9824"/>
      <sheetName val="K249_K98_(2)24"/>
      <sheetName val="K251_K9824"/>
      <sheetName val="K251_SBase24"/>
      <sheetName val="K251_AC24"/>
      <sheetName val="K252_K9824"/>
      <sheetName val="K252_SBase24"/>
      <sheetName val="K252_AC24"/>
      <sheetName val="K253_K9824"/>
      <sheetName val="K253_Subbase24"/>
      <sheetName val="K253_Base_24"/>
      <sheetName val="K253_SBase24"/>
      <sheetName val="K253_AC24"/>
      <sheetName val="K255_SBase24"/>
      <sheetName val="K259_K9824"/>
      <sheetName val="K259_Subbase24"/>
      <sheetName val="K259_Base_24"/>
      <sheetName val="K259_AC24"/>
      <sheetName val="K260_K9824"/>
      <sheetName val="K260_Subbase24"/>
      <sheetName val="K260_Base24"/>
      <sheetName val="K260_AC24"/>
      <sheetName val="K261_K9824"/>
      <sheetName val="K261_Base24"/>
      <sheetName val="K261_AC24"/>
      <sheetName val="HHVt_24"/>
      <sheetName val="Tay_ninh24"/>
      <sheetName val="A_Duc24"/>
      <sheetName val="giai_thich24"/>
      <sheetName val="DT_-_Ro24"/>
      <sheetName val="TH_-_Ro_24"/>
      <sheetName val="GDT_-_Ro24"/>
      <sheetName val="DT_-_TB24"/>
      <sheetName val="TH_-_TB24"/>
      <sheetName val="GDT_-_TB24"/>
      <sheetName val="DT_-_NT24"/>
      <sheetName val="TH_-_NT24"/>
      <sheetName val="GDT_-_NT24"/>
      <sheetName val="SCT_Cong_trinh24"/>
      <sheetName val="06-2003_(2)24"/>
      <sheetName val="CDPS_6tc24"/>
      <sheetName val="SCT_Nha_thau24"/>
      <sheetName val="socai2003_(6tc)dp24"/>
      <sheetName val="socai2003_(6tc)24"/>
      <sheetName val="CDPS_6tc_(2)24"/>
      <sheetName val="TH_du_toan_24"/>
      <sheetName val="Du_toan_24"/>
      <sheetName val="C_Tinh24"/>
      <sheetName val="CT_0323"/>
      <sheetName val="TH_0323"/>
      <sheetName val="Don_gia_CPM24"/>
      <sheetName val="Tong_Thieu_HD_cac_CT-200124"/>
      <sheetName val="VL_thieu_HD_-_200124"/>
      <sheetName val="Tong_thieu_HD_cac_CT_-_200224"/>
      <sheetName val="Lan_trai24"/>
      <sheetName val="Van_chuyen24"/>
      <sheetName val="HDong_VC24"/>
      <sheetName val="ThieuHD_nam_200124"/>
      <sheetName val="Bang_TH24"/>
      <sheetName val="Tong_Chinh24"/>
      <sheetName val="So_sanh24"/>
      <sheetName val="Xaylap_24"/>
      <sheetName val="Nhan_cong24"/>
      <sheetName val="_KQTH_quy_hoach_13523"/>
      <sheetName val="Bao_cao_KQTH_quy_hoach_13523"/>
      <sheetName val="Co~g_hop_1,5x1,524"/>
      <sheetName val="Tong_hop_xuat_kho_nvl23"/>
      <sheetName val="Xuat_kho23"/>
      <sheetName val="Tong_hop_so_lieu_tai_nhap_kho23"/>
      <sheetName val="tai_nhap_kho23"/>
      <sheetName val="Nhap_kho23"/>
      <sheetName val="Tong_ket_nhap_kho23"/>
      <sheetName val="Tong_ket23"/>
      <sheetName val="cac_ma_can_huy23"/>
      <sheetName val="Hang_hong23"/>
      <sheetName val="Tham_khao23"/>
      <sheetName val="hang_khong_co_packing23"/>
      <sheetName val="GIA_NUOC24"/>
      <sheetName val="GIA_DIEN_THOAI24"/>
      <sheetName val="GIA_DIEN24"/>
      <sheetName val="chiet_tinh_XD24"/>
      <sheetName val="Triet_T24"/>
      <sheetName val="Phan_tich_gia24"/>
      <sheetName val="pHAN_CONG24"/>
      <sheetName val="GIA_XD24"/>
      <sheetName val="Coc_624"/>
      <sheetName val="Deo_nai24"/>
      <sheetName val="CKD_than24"/>
      <sheetName val="CTT_Thong_nhat24"/>
      <sheetName val="CTT_Nui_beo24"/>
      <sheetName val="CTT_cao_son24"/>
      <sheetName val="CTT_Khe_cham24"/>
      <sheetName val="XNxlva_sxthanKCII24"/>
      <sheetName val="Cam_Y_ut_KC24"/>
      <sheetName val="CTxay_lap_mo_CP24"/>
      <sheetName val="CTdo_luong_GDSP24"/>
      <sheetName val="Dong_bac24"/>
      <sheetName val="Cac_cang_UT_mua_than_Dong_bac24"/>
      <sheetName val="cua_hang_vtu24"/>
      <sheetName val="Khach_hang_le_24"/>
      <sheetName val="nhat_ky_524"/>
      <sheetName val="cac_cong_ty_van_tai24"/>
      <sheetName val="[IBASE2_XLSѝTNHNoi24"/>
      <sheetName val="Thang_423"/>
      <sheetName val="BC_TH_CK_(2)24"/>
      <sheetName val="BC_TH_CK24"/>
      <sheetName val="BC6tT19_food24"/>
      <sheetName val="BC6tT18_-_Food24"/>
      <sheetName val="BCCK_424"/>
      <sheetName val="BCFood-_T1624"/>
      <sheetName val="BCFood-_T1524"/>
      <sheetName val="BCFood-_T1424"/>
      <sheetName val="BCFood-_T1324"/>
      <sheetName val="TH_CK224"/>
      <sheetName val="BC6tT52_(3)24"/>
      <sheetName val="BC6tT52_(2)24"/>
      <sheetName val="TCK_1224"/>
      <sheetName val="Tong_CK24"/>
      <sheetName val="T03_-_0324"/>
      <sheetName val="THL_T0324"/>
      <sheetName val="TTBC_T0324"/>
      <sheetName val="Luong_noi_Bo_-_T324"/>
      <sheetName val="Tong_hop_-_T324"/>
      <sheetName val="Thuong_Quy_324"/>
      <sheetName val="Phu_cap_trach_nhiem24"/>
      <sheetName val="Co_quan_TCT22"/>
      <sheetName val="BOT_(PA_chon)22"/>
      <sheetName val="Yaly_&amp;_Ri_Ninh22"/>
      <sheetName val="Thuy_dien_Na_Loi22"/>
      <sheetName val="bang_so_sanh_tong_hop22"/>
      <sheetName val="bang_so_sanh_tong_hop_(ty_le)22"/>
      <sheetName val="thu_nhap_binh_quan_(2)22"/>
      <sheetName val="dang_huong22"/>
      <sheetName val="phuong_an_122"/>
      <sheetName val="phuong_an_1_(2)22"/>
      <sheetName val="phuong_an222"/>
      <sheetName val="tong_hop_BQ22"/>
      <sheetName val="tong_hop_BQ-122"/>
      <sheetName val="phuong_an_chon22"/>
      <sheetName val="bang_so_sanh_tong_hop_(_PA_ch21"/>
      <sheetName val="dang_ap_dung21"/>
      <sheetName val="bang_tong_hop_(dang_huong)21"/>
      <sheetName val="THT_nam_0421"/>
      <sheetName val="CV_di_trong__dong22"/>
      <sheetName val="ql_(2)21"/>
      <sheetName val="Heso_3-2004_(3)21"/>
      <sheetName val="Luong_(2)21"/>
      <sheetName val="heso_T321"/>
      <sheetName val="heso_T421"/>
      <sheetName val="heso_T521"/>
      <sheetName val="Heso_T621"/>
      <sheetName val="Heso_T721"/>
      <sheetName val="Heso_T821"/>
      <sheetName val="Heso_T921"/>
      <sheetName val="Heso_2-200421"/>
      <sheetName val="Heso_3-200421"/>
      <sheetName val="Heso_3-2004_(2)21"/>
      <sheetName val="tô_rôiDY21"/>
      <sheetName val="Nhap_lieu22"/>
      <sheetName val="Tien_dien21"/>
      <sheetName val="Thue_GTGT21"/>
      <sheetName val="bcth_05-0421"/>
      <sheetName val="baocao_05-0421"/>
      <sheetName val="nhan_su21"/>
      <sheetName val="luong_cty21"/>
      <sheetName val="TK__TK21"/>
      <sheetName val="THANG7_21"/>
      <sheetName val="THANG_1121"/>
      <sheetName val="THANG_1221"/>
      <sheetName val="Tuan_1_019"/>
      <sheetName val="Tuan_3_01_9"/>
      <sheetName val="Tuan_5_06_9"/>
      <sheetName val="Tuan_6_06__9"/>
      <sheetName val="Tuan_7_06_9"/>
      <sheetName val="Tuan_7_06__(2)9"/>
      <sheetName val="Tuan10,06_9"/>
      <sheetName val="Tuan11,06__9"/>
      <sheetName val="Bao_cao_DD_31_3_069"/>
      <sheetName val="Bao_cao_DD_30_4_069"/>
      <sheetName val="Bao_cao_DD_31_5_06_9"/>
      <sheetName val="Bao_cao_Quy_I-069"/>
      <sheetName val="Bao_cao_DD_30_6_069"/>
      <sheetName val="Bao_cao_DD_31_7_069"/>
      <sheetName val="Cong_ban_11yx1,29"/>
      <sheetName val="Luu_goc21"/>
      <sheetName val="km22+93_86-km22+121_8621"/>
      <sheetName val="km22+177_14-km22+205_6421"/>
      <sheetName val="Bang_20-2521"/>
      <sheetName val="km22+267_96-km22+283_9621"/>
      <sheetName val="km22+304_31-km22+344_3121"/>
      <sheetName val="km22+460_92-km22+614_5721"/>
      <sheetName val="km22+671_78-km22+713_3221"/>
      <sheetName val="Dinh_ha_nha21"/>
      <sheetName val="_tuanM21"/>
      <sheetName val="[IBASE2_XLS_Tong_hop_Matduong21"/>
      <sheetName val="THU_T1221"/>
      <sheetName val="CHI_T1221"/>
      <sheetName val="THU_T1121"/>
      <sheetName val="CHI_T1121"/>
      <sheetName val="THU_T1021"/>
      <sheetName val="CHI_T1021"/>
      <sheetName val="THU_T921"/>
      <sheetName val="CHI_T921"/>
      <sheetName val="THU_T821"/>
      <sheetName val="CHI_T821"/>
      <sheetName val="BC§_200121"/>
      <sheetName val="BBC§_200221"/>
      <sheetName val="TSC§_200121"/>
      <sheetName val="TSc®_200221"/>
      <sheetName val="BaTrieu-L_con21"/>
      <sheetName val="EDT_-_Ro21"/>
      <sheetName val="KHVô_XL21"/>
      <sheetName val="TD_khao_sat21"/>
      <sheetName val="chi_phi_cap_tien21"/>
      <sheetName val="[IBASE2_XLS}BHXH21"/>
      <sheetName val="chuong_phu21"/>
      <sheetName val="phuong_aL_121"/>
      <sheetName val="[IBASE2_XLS䁝BC6tT1721"/>
      <sheetName val="Khac_DP21"/>
      <sheetName val="Khoi_than_21"/>
      <sheetName val="De_Tai_Vhuc_Tap21"/>
      <sheetName val="02_121"/>
      <sheetName val="2_121"/>
      <sheetName val="2_321"/>
      <sheetName val="02_321"/>
      <sheetName val="B_0121"/>
      <sheetName val="B_0321"/>
      <sheetName val="D_1321"/>
      <sheetName val="det_VP21"/>
      <sheetName val="det_hn21"/>
      <sheetName val="chi_Hieu21"/>
      <sheetName val="c_thoa21"/>
      <sheetName val="A_thanh_-_DL21"/>
      <sheetName val="A_Tuyen21"/>
      <sheetName val="A_Tien_-laphu21"/>
      <sheetName val="A_Thang-_laphu21"/>
      <sheetName val="A_Dong21"/>
      <sheetName val="27-7_NB21"/>
      <sheetName val="xn_521"/>
      <sheetName val="PKD_X2021"/>
      <sheetName val="da_giay_SG21"/>
      <sheetName val="dagiay_XK21"/>
      <sheetName val="DK_Dong_xuan21"/>
      <sheetName val="chu_Ton21"/>
      <sheetName val="minh_tri21"/>
      <sheetName val="viet_huy21"/>
      <sheetName val="thanh_ha21"/>
      <sheetName val="O_Su21"/>
      <sheetName val="A_Ha-DL21"/>
      <sheetName val="Vinh_oanh21"/>
      <sheetName val="chi_Thuy21"/>
      <sheetName val="chu_Hong21"/>
      <sheetName val="thuy-_may21"/>
      <sheetName val="vu_yen21"/>
      <sheetName val="[IBASE2_XLS?TNHNoi21"/>
      <sheetName val="HD_CTrinh121"/>
      <sheetName val="HD_benA21"/>
      <sheetName val="Theodoi_HD21"/>
      <sheetName val="Theodoi_HD_(2)21"/>
      <sheetName val="_GT_CPhi_tung_dot21"/>
      <sheetName val="Cong_hop_2,0ࡸ2,021"/>
      <sheetName val="OPERATING_HEAD21"/>
      <sheetName val="31_12_0121"/>
      <sheetName val="Sat_tron21"/>
      <sheetName val="Bang_can_doi_21"/>
      <sheetName val="Tinh_hinh_cat_lang21"/>
      <sheetName val="Tinh_hinh_SX_phu21"/>
      <sheetName val="Tinh_hinh_do_xop21"/>
      <sheetName val="THU_T721"/>
      <sheetName val="CHI_T721"/>
      <sheetName val="THU_T621"/>
      <sheetName val="CHI_T621"/>
      <sheetName val="THU_T521"/>
      <sheetName val="CHI_T521"/>
      <sheetName val="THU_T421"/>
      <sheetName val="CHI_T421"/>
      <sheetName val="THU_T321"/>
      <sheetName val="CHI_T321"/>
      <sheetName val="THU_T221"/>
      <sheetName val="CHI_T221"/>
      <sheetName val="THU_T141"/>
      <sheetName val="CHI_T141"/>
      <sheetName val="_IBASE2_XLSѝTNHNoi22"/>
      <sheetName val="_IBASE2_XLS䁝BC6tT1721"/>
      <sheetName val="_IBASE2_XLS}BHXH21"/>
      <sheetName val="_IBASE2_XLS_Tong_hop_Matduong21"/>
      <sheetName val="BTHDT_TBA_21"/>
      <sheetName val="(9_30)_IP21"/>
      <sheetName val="CVden_ngoai_TCT_(1)23"/>
      <sheetName val="CV_den_ngoai_TCT_(2)23"/>
      <sheetName val="CV_den_ngoai_TCT_(3)23"/>
      <sheetName val="QDcua_TGD23"/>
      <sheetName val="QD_cua_HDQT23"/>
      <sheetName val="QD_cua_HDQT_(2)23"/>
      <sheetName val="CV_di_ngoai_tong23"/>
      <sheetName val="CV_di_ngoai_tong_(2)23"/>
      <sheetName val="To_trinh23"/>
      <sheetName val="Giao_nhiem_vu23"/>
      <sheetName val="QDcua_TGD_(2)23"/>
      <sheetName val="Thong_tu23"/>
      <sheetName val="CV_di_trong__tong23"/>
      <sheetName val="nghi_dinh-CP23"/>
      <sheetName val="CV_den_trong_tong23"/>
      <sheetName val="KHVt_23"/>
      <sheetName val="KHVt_XL23"/>
      <sheetName val="KHVt_XLT423"/>
      <sheetName val="T_K_H_T_T523"/>
      <sheetName val="T_K_T723"/>
      <sheetName val="TK_T623"/>
      <sheetName val="T_K_T523"/>
      <sheetName val="Bang_thong_ke_hang_ton23"/>
      <sheetName val="thong_ke_23"/>
      <sheetName val="T_KT0423"/>
      <sheetName val="lapdat_TB_23"/>
      <sheetName val="TNghiªm_TB_23"/>
      <sheetName val="VËt_liÖu23"/>
      <sheetName val="Lap_®at_®iÖn23"/>
      <sheetName val="TNghiÖm_VL23"/>
      <sheetName val="th_23"/>
      <sheetName val="tien_luong23"/>
      <sheetName val="142201-T1_23"/>
      <sheetName val="142201-T2-th_23"/>
      <sheetName val="142201-T3-th_23"/>
      <sheetName val="142201-T4-th__23"/>
      <sheetName val="Thep_be23"/>
      <sheetName val="Thep_than23"/>
      <sheetName val="Thep_xa_mu23"/>
      <sheetName val="Kluong_phu23"/>
      <sheetName val="Lan_can23"/>
      <sheetName val="Ho_lan23"/>
      <sheetName val="Coc_tieu23"/>
      <sheetName val="Bien_bao23"/>
      <sheetName val="Op_mai_27423"/>
      <sheetName val="Op_mai_27523"/>
      <sheetName val="Op_mai_27623"/>
      <sheetName val="Op_mai_27723"/>
      <sheetName val="Op_mai_27823"/>
      <sheetName val="Op_mai_27923"/>
      <sheetName val="Op_mai_28023"/>
      <sheetName val="Op_mai_28123"/>
      <sheetName val="Op_mai_28223"/>
      <sheetName val="Op_mai_28323"/>
      <sheetName val="Op_mai_28423"/>
      <sheetName val="Op_mai23"/>
      <sheetName val="Km274_-_Km27523"/>
      <sheetName val="Km275_-_Km27623"/>
      <sheetName val="Km276_-_Km27723"/>
      <sheetName val="Km277_-_Km278_23"/>
      <sheetName val="Km278_-_Km27923"/>
      <sheetName val="Km279_-_Km28023"/>
      <sheetName val="Km280_-_Km28123"/>
      <sheetName val="Km281_-_Km28223"/>
      <sheetName val="Km282_-_Km28323"/>
      <sheetName val="Km283_-_Km28423"/>
      <sheetName val="Km284_-_Km28523"/>
      <sheetName val="Tong_hop_Matduong23"/>
      <sheetName val="Cong_D7523"/>
      <sheetName val="Cong_D10023"/>
      <sheetName val="Cong_D15023"/>
      <sheetName val="Cong_2D15023"/>
      <sheetName val="Cong_ban_0,7x0,723"/>
      <sheetName val="Cong_ban_0,8x0,823"/>
      <sheetName val="Cong_ban_1x123"/>
      <sheetName val="Cong_ban_1x1,223"/>
      <sheetName val="Cong_ban_1,5x1,523"/>
      <sheetName val="Cong_ban_2x1,523"/>
      <sheetName val="Cong_ban_2x223"/>
      <sheetName val="Tong_hop23"/>
      <sheetName val="Tong_hop_(2)23"/>
      <sheetName val="Cong_cu23"/>
      <sheetName val="Cot_thep23"/>
      <sheetName val="Cong_tron_D7523"/>
      <sheetName val="Cong_tron_D10023"/>
      <sheetName val="Cong_tron_D15023"/>
      <sheetName val="Cong_tron_2D15023"/>
      <sheetName val="Cong_ban_1,0x1,023"/>
      <sheetName val="Cong_ban_1,0x1,223"/>
      <sheetName val="Cong_hop_1,5x1,523"/>
      <sheetName val="Cong_hop_2,0x1,523"/>
      <sheetName val="Cong_hop_2,0x2,023"/>
      <sheetName val="TK_11223"/>
      <sheetName val="TK_13123"/>
      <sheetName val="TK_14123"/>
      <sheetName val="TK_15323"/>
      <sheetName val="TK_21123"/>
      <sheetName val="TK_24223"/>
      <sheetName val="TK_33423"/>
      <sheetName val="TK_51123"/>
      <sheetName val="TK_51523"/>
      <sheetName val="TK_91123"/>
      <sheetName val="KQKD02-2_(2)23"/>
      <sheetName val="KQKD-2_(2)23"/>
      <sheetName val="KQKD_thu200423"/>
      <sheetName val="_t523"/>
      <sheetName val="t_423"/>
      <sheetName val="_t3_23"/>
      <sheetName val="_TH33123"/>
      <sheetName val="_Minh_ha23"/>
      <sheetName val="_Ha_Tay23"/>
      <sheetName val="_Vinhphuc23"/>
      <sheetName val="_Nbinh23"/>
      <sheetName val="_QVinh23"/>
      <sheetName val="_TW123"/>
      <sheetName val="DOANH_SO23"/>
      <sheetName val="BD-SINH_VIEN23"/>
      <sheetName val="VtuHaTheSauTBABenThuy1_(2)23"/>
      <sheetName val="Song_trai23"/>
      <sheetName val="Dinh+ha_nha23"/>
      <sheetName val="NG_k23"/>
      <sheetName val="T_so_thay_doi23"/>
      <sheetName val="b_THchitietDZCT23"/>
      <sheetName val="b_THchitietTBA23"/>
      <sheetName val="Khao_sat23"/>
      <sheetName val="TT_khao_sat23"/>
      <sheetName val="thkl_(2)23"/>
      <sheetName val="long_tec23"/>
      <sheetName val="phan_tich_DG23"/>
      <sheetName val="gia_vat_lieu23"/>
      <sheetName val="gia_xe_may23"/>
      <sheetName val="gia_nhan_cong23"/>
      <sheetName val="CDSL_(2)23"/>
      <sheetName val="F_ThanhTri23"/>
      <sheetName val="F_Gialam23"/>
      <sheetName val="TH_dam23"/>
      <sheetName val="SX_dam23"/>
      <sheetName val="LD_dam23"/>
      <sheetName val="Bang_gia_VL23"/>
      <sheetName val="Gia_NC23"/>
      <sheetName val="Gia_may23"/>
      <sheetName val="Trich_Ngang23"/>
      <sheetName val="Danh_sach_Rieng23"/>
      <sheetName val="Dia_Diem_Thuc_Tap23"/>
      <sheetName val="De_Tai_Thuc_Tap23"/>
      <sheetName val="Dancau-Q_Ninh23"/>
      <sheetName val="BaTrieu-L_son23"/>
      <sheetName val="K249_K9823"/>
      <sheetName val="K249_K98_(2)23"/>
      <sheetName val="K251_K9823"/>
      <sheetName val="K251_SBase23"/>
      <sheetName val="K251_AC23"/>
      <sheetName val="K252_K9823"/>
      <sheetName val="K252_SBase23"/>
      <sheetName val="K252_AC23"/>
      <sheetName val="K253_K9823"/>
      <sheetName val="K253_Subbase23"/>
      <sheetName val="K253_Base_23"/>
      <sheetName val="K253_SBase23"/>
      <sheetName val="K253_AC23"/>
      <sheetName val="K255_SBase23"/>
      <sheetName val="K259_K9823"/>
      <sheetName val="K259_Subbase23"/>
      <sheetName val="K259_Base_23"/>
      <sheetName val="K259_AC23"/>
      <sheetName val="K260_K9823"/>
      <sheetName val="K260_Subbase23"/>
      <sheetName val="K260_Base23"/>
      <sheetName val="K260_AC23"/>
      <sheetName val="K261_K9823"/>
      <sheetName val="K261_Base23"/>
      <sheetName val="K261_AC23"/>
      <sheetName val="HHVt_23"/>
      <sheetName val="Tay_ninh23"/>
      <sheetName val="A_Duc23"/>
      <sheetName val="giai_thich23"/>
      <sheetName val="DT_-_Ro23"/>
      <sheetName val="TH_-_Ro_23"/>
      <sheetName val="GDT_-_Ro23"/>
      <sheetName val="DT_-_TB23"/>
      <sheetName val="TH_-_TB23"/>
      <sheetName val="GDT_-_TB23"/>
      <sheetName val="DT_-_NT23"/>
      <sheetName val="TH_-_NT23"/>
      <sheetName val="GDT_-_NT23"/>
      <sheetName val="SCT_Cong_trinh23"/>
      <sheetName val="06-2003_(2)23"/>
      <sheetName val="CDPS_6tc23"/>
      <sheetName val="SCT_Nha_thau23"/>
      <sheetName val="socai2003_(6tc)dp23"/>
      <sheetName val="socai2003_(6tc)23"/>
      <sheetName val="CDPS_6tc_(2)23"/>
      <sheetName val="TH_du_toan_23"/>
      <sheetName val="Du_toan_23"/>
      <sheetName val="C_Tinh23"/>
      <sheetName val="CT_0322"/>
      <sheetName val="TH_0322"/>
      <sheetName val="Don_gia_CPM23"/>
      <sheetName val="Tong_Thieu_HD_cac_CT-200123"/>
      <sheetName val="VL_thieu_HD_-_200123"/>
      <sheetName val="Tong_thieu_HD_cac_CT_-_200223"/>
      <sheetName val="Lan_trai23"/>
      <sheetName val="Van_chuyen23"/>
      <sheetName val="HDong_VC23"/>
      <sheetName val="ThieuHD_nam_200123"/>
      <sheetName val="Bang_TH23"/>
      <sheetName val="Tong_Chinh23"/>
      <sheetName val="So_sanh23"/>
      <sheetName val="Xaylap_23"/>
      <sheetName val="Nhan_cong23"/>
      <sheetName val="_KQTH_quy_hoach_13522"/>
      <sheetName val="Bao_cao_KQTH_quy_hoach_13522"/>
      <sheetName val="Co~g_hop_1,5x1,523"/>
      <sheetName val="Tong_hop_xuat_kho_nvl22"/>
      <sheetName val="Xuat_kho22"/>
      <sheetName val="Tong_hop_so_lieu_tai_nhap_kho22"/>
      <sheetName val="tai_nhap_kho22"/>
      <sheetName val="Nhap_kho22"/>
      <sheetName val="Tong_ket_nhap_kho22"/>
      <sheetName val="Tong_ket22"/>
      <sheetName val="cac_ma_can_huy22"/>
      <sheetName val="Hang_hong22"/>
      <sheetName val="Tham_khao22"/>
      <sheetName val="hang_khong_co_packing22"/>
      <sheetName val="GIA_NUOC23"/>
      <sheetName val="GIA_DIEN_THOAI23"/>
      <sheetName val="GIA_DIEN23"/>
      <sheetName val="chiet_tinh_XD23"/>
      <sheetName val="Triet_T23"/>
      <sheetName val="Phan_tich_gia23"/>
      <sheetName val="pHAN_CONG23"/>
      <sheetName val="GIA_XD23"/>
      <sheetName val="Coc_623"/>
      <sheetName val="Deo_nai23"/>
      <sheetName val="CKD_than23"/>
      <sheetName val="CTT_Thong_nhat23"/>
      <sheetName val="CTT_Nui_beo23"/>
      <sheetName val="CTT_cao_son23"/>
      <sheetName val="CTT_Khe_cham23"/>
      <sheetName val="XNxlva_sxthanKCII23"/>
      <sheetName val="Cam_Y_ut_KC23"/>
      <sheetName val="CTxay_lap_mo_CP23"/>
      <sheetName val="CTdo_luong_GDSP23"/>
      <sheetName val="Dong_bac23"/>
      <sheetName val="Cac_cang_UT_mua_than_Dong_bac23"/>
      <sheetName val="cua_hang_vtu23"/>
      <sheetName val="Khach_hang_le_23"/>
      <sheetName val="nhat_ky_523"/>
      <sheetName val="cac_cong_ty_van_tai23"/>
      <sheetName val="[IBASE2_XLSѝTNHNoi23"/>
      <sheetName val="Thang_422"/>
      <sheetName val="BC_TH_CK_(2)23"/>
      <sheetName val="BC_TH_CK23"/>
      <sheetName val="BC6tT19_food23"/>
      <sheetName val="BC6tT18_-_Food23"/>
      <sheetName val="BCCK_423"/>
      <sheetName val="BCFood-_T1623"/>
      <sheetName val="BCFood-_T1523"/>
      <sheetName val="BCFood-_T1423"/>
      <sheetName val="BCFood-_T1323"/>
      <sheetName val="TH_CK223"/>
      <sheetName val="BC6tT52_(3)23"/>
      <sheetName val="BC6tT52_(2)23"/>
      <sheetName val="TCK_1223"/>
      <sheetName val="Tong_CK23"/>
      <sheetName val="T03_-_0323"/>
      <sheetName val="THL_T0323"/>
      <sheetName val="TTBC_T0323"/>
      <sheetName val="Luong_noi_Bo_-_T323"/>
      <sheetName val="Tong_hop_-_T323"/>
      <sheetName val="Thuong_Quy_323"/>
      <sheetName val="Phu_cap_trach_nhiem23"/>
      <sheetName val="Co_quan_TCT21"/>
      <sheetName val="BOT_(PA_chon)21"/>
      <sheetName val="Yaly_&amp;_Ri_Ninh21"/>
      <sheetName val="Thuy_dien_Na_Loi21"/>
      <sheetName val="bang_so_sanh_tong_hop21"/>
      <sheetName val="bang_so_sanh_tong_hop_(ty_le)21"/>
      <sheetName val="thu_nhap_binh_quan_(2)21"/>
      <sheetName val="dang_huong21"/>
      <sheetName val="phuong_an_121"/>
      <sheetName val="phuong_an_1_(2)21"/>
      <sheetName val="phuong_an221"/>
      <sheetName val="tong_hop_BQ21"/>
      <sheetName val="tong_hop_BQ-121"/>
      <sheetName val="phuong_an_chon21"/>
      <sheetName val="bang_so_sanh_tong_hop_(_PA_ch20"/>
      <sheetName val="dang_ap_dung20"/>
      <sheetName val="bang_tong_hop_(dang_huong)20"/>
      <sheetName val="THT_nam_0420"/>
      <sheetName val="CV_di_trong__dong21"/>
      <sheetName val="ql_(2)20"/>
      <sheetName val="Heso_3-2004_(3)20"/>
      <sheetName val="Luong_(2)20"/>
      <sheetName val="heso_T320"/>
      <sheetName val="heso_T420"/>
      <sheetName val="heso_T520"/>
      <sheetName val="Heso_T620"/>
      <sheetName val="Heso_T720"/>
      <sheetName val="Heso_T820"/>
      <sheetName val="Heso_T920"/>
      <sheetName val="Heso_2-200420"/>
      <sheetName val="Heso_3-200420"/>
      <sheetName val="Heso_3-2004_(2)20"/>
      <sheetName val="tô_rôiDY20"/>
      <sheetName val="Nhap_lieu21"/>
      <sheetName val="Tien_dien20"/>
      <sheetName val="Thue_GTGT20"/>
      <sheetName val="bcth_05-0420"/>
      <sheetName val="baocao_05-0420"/>
      <sheetName val="nhan_su20"/>
      <sheetName val="luong_cty20"/>
      <sheetName val="TK__TK20"/>
      <sheetName val="THANG7_20"/>
      <sheetName val="THANG_1120"/>
      <sheetName val="THANG_1220"/>
      <sheetName val="Tuan_1_018"/>
      <sheetName val="Tuan_3_01_8"/>
      <sheetName val="Tuan_5_06_8"/>
      <sheetName val="Tuan_6_06__8"/>
      <sheetName val="Tuan_7_06_8"/>
      <sheetName val="Tuan_7_06__(2)8"/>
      <sheetName val="Tuan10,06_8"/>
      <sheetName val="Tuan11,06__8"/>
      <sheetName val="Bao_cao_DD_31_3_068"/>
      <sheetName val="Bao_cao_DD_30_4_068"/>
      <sheetName val="Bao_cao_DD_31_5_06_8"/>
      <sheetName val="Bao_cao_Quy_I-068"/>
      <sheetName val="Bao_cao_DD_30_6_068"/>
      <sheetName val="Bao_cao_DD_31_7_068"/>
      <sheetName val="Cong_ban_11yx1,28"/>
      <sheetName val="Luu_goc20"/>
      <sheetName val="km22+93_86-km22+121_8620"/>
      <sheetName val="km22+177_14-km22+205_6420"/>
      <sheetName val="Bang_20-2520"/>
      <sheetName val="km22+267_96-km22+283_9620"/>
      <sheetName val="km22+304_31-km22+344_3120"/>
      <sheetName val="km22+460_92-km22+614_5720"/>
      <sheetName val="km22+671_78-km22+713_3220"/>
      <sheetName val="Dinh_ha_nha20"/>
      <sheetName val="_tuanM20"/>
      <sheetName val="[IBASE2_XLS_Tong_hop_Matduong20"/>
      <sheetName val="THU_T1220"/>
      <sheetName val="CHI_T1220"/>
      <sheetName val="THU_T1120"/>
      <sheetName val="CHI_T1120"/>
      <sheetName val="THU_T1020"/>
      <sheetName val="CHI_T1020"/>
      <sheetName val="THU_T920"/>
      <sheetName val="CHI_T920"/>
      <sheetName val="THU_T820"/>
      <sheetName val="CHI_T820"/>
      <sheetName val="BC§_200120"/>
      <sheetName val="BBC§_200220"/>
      <sheetName val="TSC§_200120"/>
      <sheetName val="TSc®_200220"/>
      <sheetName val="BaTrieu-L_con20"/>
      <sheetName val="EDT_-_Ro20"/>
      <sheetName val="KHVô_XL20"/>
      <sheetName val="TD_khao_sat20"/>
      <sheetName val="chi_phi_cap_tien20"/>
      <sheetName val="[IBASE2_XLS}BHXH20"/>
      <sheetName val="chuong_phu20"/>
      <sheetName val="phuong_aL_120"/>
      <sheetName val="[IBASE2_XLS䁝BC6tT1720"/>
      <sheetName val="Khac_DP20"/>
      <sheetName val="Khoi_than_20"/>
      <sheetName val="De_Tai_Vhuc_Tap20"/>
      <sheetName val="02_120"/>
      <sheetName val="2_120"/>
      <sheetName val="2_320"/>
      <sheetName val="02_320"/>
      <sheetName val="B_0120"/>
      <sheetName val="B_0320"/>
      <sheetName val="D_1320"/>
      <sheetName val="det_VP20"/>
      <sheetName val="det_hn20"/>
      <sheetName val="chi_Hieu20"/>
      <sheetName val="c_thoa20"/>
      <sheetName val="A_thanh_-_DL20"/>
      <sheetName val="A_Tuyen20"/>
      <sheetName val="A_Tien_-laphu20"/>
      <sheetName val="A_Thang-_laphu20"/>
      <sheetName val="A_Dong20"/>
      <sheetName val="27-7_NB20"/>
      <sheetName val="xn_520"/>
      <sheetName val="PKD_X2020"/>
      <sheetName val="da_giay_SG20"/>
      <sheetName val="dagiay_XK20"/>
      <sheetName val="DK_Dong_xuan20"/>
      <sheetName val="chu_Ton20"/>
      <sheetName val="minh_tri20"/>
      <sheetName val="viet_huy20"/>
      <sheetName val="thanh_ha20"/>
      <sheetName val="O_Su20"/>
      <sheetName val="A_Ha-DL20"/>
      <sheetName val="Vinh_oanh20"/>
      <sheetName val="chi_Thuy20"/>
      <sheetName val="chu_Hong20"/>
      <sheetName val="thuy-_may20"/>
      <sheetName val="vu_yen20"/>
      <sheetName val="[IBASE2_XLS?TNHNoi20"/>
      <sheetName val="HD_CTrinh120"/>
      <sheetName val="HD_benA20"/>
      <sheetName val="Theodoi_HD20"/>
      <sheetName val="Theodoi_HD_(2)20"/>
      <sheetName val="_GT_CPhi_tung_dot20"/>
      <sheetName val="Cong_hop_2,0ࡸ2,020"/>
      <sheetName val="OPERATING_HEAD20"/>
      <sheetName val="31_12_0120"/>
      <sheetName val="Sat_tron20"/>
      <sheetName val="Bang_can_doi_20"/>
      <sheetName val="Tinh_hinh_cat_lang20"/>
      <sheetName val="Tinh_hinh_SX_phu20"/>
      <sheetName val="Tinh_hinh_do_xop20"/>
      <sheetName val="THU_T720"/>
      <sheetName val="CHI_T720"/>
      <sheetName val="THU_T620"/>
      <sheetName val="CHI_T620"/>
      <sheetName val="THU_T520"/>
      <sheetName val="CHI_T520"/>
      <sheetName val="THU_T420"/>
      <sheetName val="CHI_T420"/>
      <sheetName val="THU_T320"/>
      <sheetName val="CHI_T320"/>
      <sheetName val="THU_T220"/>
      <sheetName val="CHI_T220"/>
      <sheetName val="THU_T140"/>
      <sheetName val="CHI_T140"/>
      <sheetName val="_IBASE2_XLSѝTNHNoi21"/>
      <sheetName val="_IBASE2_XLS䁝BC6tT1720"/>
      <sheetName val="_IBASE2_XLS}BHXH20"/>
      <sheetName val="_IBASE2_XLS_Tong_hop_Matduong20"/>
      <sheetName val="BTHDT_TBA_20"/>
      <sheetName val="(9_30)_IP20"/>
      <sheetName val="CVden_ngoai_TCT_(1)25"/>
      <sheetName val="CV_den_ngoai_TCT_(2)25"/>
      <sheetName val="CV_den_ngoai_TCT_(3)25"/>
      <sheetName val="QDcua_TGD25"/>
      <sheetName val="QD_cua_HDQT25"/>
      <sheetName val="QD_cua_HDQT_(2)25"/>
      <sheetName val="CV_di_ngoai_tong25"/>
      <sheetName val="CV_di_ngoai_tong_(2)25"/>
      <sheetName val="To_trinh25"/>
      <sheetName val="Giao_nhiem_vu25"/>
      <sheetName val="QDcua_TGD_(2)25"/>
      <sheetName val="Thong_tu25"/>
      <sheetName val="CV_di_trong__tong25"/>
      <sheetName val="nghi_dinh-CP25"/>
      <sheetName val="CV_den_trong_tong25"/>
      <sheetName val="KHVt_25"/>
      <sheetName val="KHVt_XL25"/>
      <sheetName val="KHVt_XLT425"/>
      <sheetName val="T_K_H_T_T525"/>
      <sheetName val="T_K_T725"/>
      <sheetName val="TK_T625"/>
      <sheetName val="T_K_T525"/>
      <sheetName val="Bang_thong_ke_hang_ton25"/>
      <sheetName val="thong_ke_25"/>
      <sheetName val="T_KT0425"/>
      <sheetName val="lapdat_TB_25"/>
      <sheetName val="TNghiªm_TB_25"/>
      <sheetName val="VËt_liÖu25"/>
      <sheetName val="Lap_®at_®iÖn25"/>
      <sheetName val="TNghiÖm_VL25"/>
      <sheetName val="th_25"/>
      <sheetName val="tien_luong25"/>
      <sheetName val="142201-T1_25"/>
      <sheetName val="142201-T2-th_25"/>
      <sheetName val="142201-T3-th_25"/>
      <sheetName val="142201-T4-th__25"/>
      <sheetName val="Thep_be25"/>
      <sheetName val="Thep_than25"/>
      <sheetName val="Thep_xa_mu25"/>
      <sheetName val="Kluong_phu25"/>
      <sheetName val="Lan_can25"/>
      <sheetName val="Ho_lan25"/>
      <sheetName val="Coc_tieu25"/>
      <sheetName val="Bien_bao25"/>
      <sheetName val="Op_mai_27425"/>
      <sheetName val="Op_mai_27525"/>
      <sheetName val="Op_mai_27625"/>
      <sheetName val="Op_mai_27725"/>
      <sheetName val="Op_mai_27825"/>
      <sheetName val="Op_mai_27925"/>
      <sheetName val="Op_mai_28025"/>
      <sheetName val="Op_mai_28125"/>
      <sheetName val="Op_mai_28225"/>
      <sheetName val="Op_mai_28325"/>
      <sheetName val="Op_mai_28425"/>
      <sheetName val="Op_mai25"/>
      <sheetName val="Km274_-_Km27525"/>
      <sheetName val="Km275_-_Km27625"/>
      <sheetName val="Km276_-_Km27725"/>
      <sheetName val="Km277_-_Km278_25"/>
      <sheetName val="Km278_-_Km27925"/>
      <sheetName val="Km279_-_Km28025"/>
      <sheetName val="Km280_-_Km28125"/>
      <sheetName val="Km281_-_Km28225"/>
      <sheetName val="Km282_-_Km28325"/>
      <sheetName val="Km283_-_Km28425"/>
      <sheetName val="Km284_-_Km28525"/>
      <sheetName val="Tong_hop_Matduong25"/>
      <sheetName val="Cong_D7525"/>
      <sheetName val="Cong_D10025"/>
      <sheetName val="Cong_D15025"/>
      <sheetName val="Cong_2D15025"/>
      <sheetName val="Cong_ban_0,7x0,725"/>
      <sheetName val="Cong_ban_0,8x0,825"/>
      <sheetName val="Cong_ban_1x125"/>
      <sheetName val="Cong_ban_1x1,225"/>
      <sheetName val="Cong_ban_1,5x1,525"/>
      <sheetName val="Cong_ban_2x1,525"/>
      <sheetName val="Cong_ban_2x225"/>
      <sheetName val="Tong_hop25"/>
      <sheetName val="Tong_hop_(2)25"/>
      <sheetName val="Cong_cu25"/>
      <sheetName val="Cot_thep25"/>
      <sheetName val="Cong_tron_D7525"/>
      <sheetName val="Cong_tron_D10025"/>
      <sheetName val="Cong_tron_D15025"/>
      <sheetName val="Cong_tron_2D15025"/>
      <sheetName val="Cong_ban_1,0x1,025"/>
      <sheetName val="Cong_ban_1,0x1,225"/>
      <sheetName val="Cong_hop_1,5x1,525"/>
      <sheetName val="Cong_hop_2,0x1,525"/>
      <sheetName val="Cong_hop_2,0x2,025"/>
      <sheetName val="TK_11225"/>
      <sheetName val="TK_13125"/>
      <sheetName val="TK_14125"/>
      <sheetName val="TK_15325"/>
      <sheetName val="TK_21125"/>
      <sheetName val="TK_24225"/>
      <sheetName val="TK_33425"/>
      <sheetName val="TK_51125"/>
      <sheetName val="TK_51525"/>
      <sheetName val="TK_91125"/>
      <sheetName val="KQKD02-2_(2)25"/>
      <sheetName val="KQKD-2_(2)25"/>
      <sheetName val="KQKD_thu200425"/>
      <sheetName val="_t525"/>
      <sheetName val="t_425"/>
      <sheetName val="_t3_25"/>
      <sheetName val="_TH33125"/>
      <sheetName val="_Minh_ha25"/>
      <sheetName val="_Ha_Tay25"/>
      <sheetName val="_Vinhphuc25"/>
      <sheetName val="_Nbinh25"/>
      <sheetName val="_QVinh25"/>
      <sheetName val="_TW125"/>
      <sheetName val="DOANH_SO25"/>
      <sheetName val="BD-SINH_VIEN25"/>
      <sheetName val="VtuHaTheSauTBABenThuy1_(2)25"/>
      <sheetName val="Song_trai25"/>
      <sheetName val="Dinh+ha_nha25"/>
      <sheetName val="NG_k25"/>
      <sheetName val="T_so_thay_doi25"/>
      <sheetName val="b_THchitietDZCT25"/>
      <sheetName val="b_THchitietTBA25"/>
      <sheetName val="Khao_sat25"/>
      <sheetName val="TT_khao_sat25"/>
      <sheetName val="thkl_(2)25"/>
      <sheetName val="long_tec25"/>
      <sheetName val="phan_tich_DG25"/>
      <sheetName val="gia_vat_lieu25"/>
      <sheetName val="gia_xe_may25"/>
      <sheetName val="gia_nhan_cong25"/>
      <sheetName val="CDSL_(2)25"/>
      <sheetName val="F_ThanhTri25"/>
      <sheetName val="F_Gialam25"/>
      <sheetName val="TH_dam25"/>
      <sheetName val="SX_dam25"/>
      <sheetName val="LD_dam25"/>
      <sheetName val="Bang_gia_VL25"/>
      <sheetName val="Gia_NC25"/>
      <sheetName val="Gia_may25"/>
      <sheetName val="Trich_Ngang25"/>
      <sheetName val="Danh_sach_Rieng25"/>
      <sheetName val="Dia_Diem_Thuc_Tap25"/>
      <sheetName val="De_Tai_Thuc_Tap25"/>
      <sheetName val="Dancau-Q_Ninh25"/>
      <sheetName val="BaTrieu-L_son25"/>
      <sheetName val="K249_K9825"/>
      <sheetName val="K249_K98_(2)25"/>
      <sheetName val="K251_K9825"/>
      <sheetName val="K251_SBase25"/>
      <sheetName val="K251_AC25"/>
      <sheetName val="K252_K9825"/>
      <sheetName val="K252_SBase25"/>
      <sheetName val="K252_AC25"/>
      <sheetName val="K253_K9825"/>
      <sheetName val="K253_Subbase25"/>
      <sheetName val="K253_Base_25"/>
      <sheetName val="K253_SBase25"/>
      <sheetName val="K253_AC25"/>
      <sheetName val="K255_SBase25"/>
      <sheetName val="K259_K9825"/>
      <sheetName val="K259_Subbase25"/>
      <sheetName val="K259_Base_25"/>
      <sheetName val="K259_AC25"/>
      <sheetName val="K260_K9825"/>
      <sheetName val="K260_Subbase25"/>
      <sheetName val="K260_Base25"/>
      <sheetName val="K260_AC25"/>
      <sheetName val="K261_K9825"/>
      <sheetName val="K261_Base25"/>
      <sheetName val="K261_AC25"/>
      <sheetName val="HHVt_25"/>
      <sheetName val="Tay_ninh25"/>
      <sheetName val="A_Duc25"/>
      <sheetName val="giai_thich25"/>
      <sheetName val="DT_-_Ro25"/>
      <sheetName val="TH_-_Ro_25"/>
      <sheetName val="GDT_-_Ro25"/>
      <sheetName val="DT_-_TB25"/>
      <sheetName val="TH_-_TB25"/>
      <sheetName val="GDT_-_TB25"/>
      <sheetName val="DT_-_NT25"/>
      <sheetName val="TH_-_NT25"/>
      <sheetName val="GDT_-_NT25"/>
      <sheetName val="SCT_Cong_trinh25"/>
      <sheetName val="06-2003_(2)25"/>
      <sheetName val="CDPS_6tc25"/>
      <sheetName val="SCT_Nha_thau25"/>
      <sheetName val="socai2003_(6tc)dp25"/>
      <sheetName val="socai2003_(6tc)25"/>
      <sheetName val="CDPS_6tc_(2)25"/>
      <sheetName val="TH_du_toan_25"/>
      <sheetName val="Du_toan_25"/>
      <sheetName val="C_Tinh25"/>
      <sheetName val="CT_0324"/>
      <sheetName val="TH_0324"/>
      <sheetName val="Don_gia_CPM25"/>
      <sheetName val="Tong_Thieu_HD_cac_CT-200125"/>
      <sheetName val="VL_thieu_HD_-_200125"/>
      <sheetName val="Tong_thieu_HD_cac_CT_-_200225"/>
      <sheetName val="Lan_trai25"/>
      <sheetName val="Van_chuyen25"/>
      <sheetName val="HDong_VC25"/>
      <sheetName val="ThieuHD_nam_200125"/>
      <sheetName val="Bang_TH25"/>
      <sheetName val="Tong_Chinh25"/>
      <sheetName val="So_sanh25"/>
      <sheetName val="Xaylap_25"/>
      <sheetName val="Nhan_cong25"/>
      <sheetName val="_KQTH_quy_hoach_13524"/>
      <sheetName val="Bao_cao_KQTH_quy_hoach_13524"/>
      <sheetName val="Co~g_hop_1,5x1,525"/>
      <sheetName val="Tong_hop_xuat_kho_nvl24"/>
      <sheetName val="Xuat_kho24"/>
      <sheetName val="Tong_hop_so_lieu_tai_nhap_kho24"/>
      <sheetName val="tai_nhap_kho24"/>
      <sheetName val="Nhap_kho24"/>
      <sheetName val="Tong_ket_nhap_kho24"/>
      <sheetName val="Tong_ket24"/>
      <sheetName val="cac_ma_can_huy24"/>
      <sheetName val="Hang_hong24"/>
      <sheetName val="Tham_khao24"/>
      <sheetName val="hang_khong_co_packing24"/>
      <sheetName val="GIA_NUOC25"/>
      <sheetName val="GIA_DIEN_THOAI25"/>
      <sheetName val="GIA_DIEN25"/>
      <sheetName val="chiet_tinh_XD25"/>
      <sheetName val="Triet_T25"/>
      <sheetName val="Phan_tich_gia25"/>
      <sheetName val="pHAN_CONG25"/>
      <sheetName val="GIA_XD25"/>
      <sheetName val="Coc_625"/>
      <sheetName val="Deo_nai25"/>
      <sheetName val="CKD_than25"/>
      <sheetName val="CTT_Thong_nhat25"/>
      <sheetName val="CTT_Nui_beo25"/>
      <sheetName val="CTT_cao_son25"/>
      <sheetName val="CTT_Khe_cham25"/>
      <sheetName val="XNxlva_sxthanKCII25"/>
      <sheetName val="Cam_Y_ut_KC25"/>
      <sheetName val="CTxay_lap_mo_CP25"/>
      <sheetName val="CTdo_luong_GDSP25"/>
      <sheetName val="Dong_bac25"/>
      <sheetName val="Cac_cang_UT_mua_than_Dong_bac25"/>
      <sheetName val="cua_hang_vtu25"/>
      <sheetName val="Khach_hang_le_25"/>
      <sheetName val="nhat_ky_525"/>
      <sheetName val="cac_cong_ty_van_tai25"/>
      <sheetName val="[IBASE2_XLSѝTNHNoi25"/>
      <sheetName val="Thang_424"/>
      <sheetName val="BC_TH_CK_(2)25"/>
      <sheetName val="BC_TH_CK25"/>
      <sheetName val="BC6tT19_food25"/>
      <sheetName val="BC6tT18_-_Food25"/>
      <sheetName val="BCCK_425"/>
      <sheetName val="BCFood-_T1625"/>
      <sheetName val="BCFood-_T1525"/>
      <sheetName val="BCFood-_T1425"/>
      <sheetName val="BCFood-_T1325"/>
      <sheetName val="TH_CK225"/>
      <sheetName val="BC6tT52_(3)25"/>
      <sheetName val="BC6tT52_(2)25"/>
      <sheetName val="TCK_1225"/>
      <sheetName val="Tong_CK25"/>
      <sheetName val="T03_-_0325"/>
      <sheetName val="THL_T0325"/>
      <sheetName val="TTBC_T0325"/>
      <sheetName val="Luong_noi_Bo_-_T325"/>
      <sheetName val="Tong_hop_-_T325"/>
      <sheetName val="Thuong_Quy_325"/>
      <sheetName val="Phu_cap_trach_nhiem25"/>
      <sheetName val="Co_quan_TCT23"/>
      <sheetName val="BOT_(PA_chon)23"/>
      <sheetName val="Yaly_&amp;_Ri_Ninh23"/>
      <sheetName val="Thuy_dien_Na_Loi23"/>
      <sheetName val="bang_so_sanh_tong_hop23"/>
      <sheetName val="bang_so_sanh_tong_hop_(ty_le)23"/>
      <sheetName val="thu_nhap_binh_quan_(2)23"/>
      <sheetName val="dang_huong23"/>
      <sheetName val="phuong_an_123"/>
      <sheetName val="phuong_an_1_(2)23"/>
      <sheetName val="phuong_an223"/>
      <sheetName val="tong_hop_BQ23"/>
      <sheetName val="tong_hop_BQ-123"/>
      <sheetName val="phuong_an_chon23"/>
      <sheetName val="bang_so_sanh_tong_hop_(_PA_ch22"/>
      <sheetName val="dang_ap_dung22"/>
      <sheetName val="bang_tong_hop_(dang_huong)22"/>
      <sheetName val="THT_nam_0422"/>
      <sheetName val="CV_di_trong__dong23"/>
      <sheetName val="ql_(2)22"/>
      <sheetName val="Heso_3-2004_(3)22"/>
      <sheetName val="Luong_(2)22"/>
      <sheetName val="heso_T322"/>
      <sheetName val="heso_T422"/>
      <sheetName val="heso_T522"/>
      <sheetName val="Heso_T622"/>
      <sheetName val="Heso_T722"/>
      <sheetName val="Heso_T822"/>
      <sheetName val="Heso_T922"/>
      <sheetName val="Heso_2-200422"/>
      <sheetName val="Heso_3-200422"/>
      <sheetName val="Heso_3-2004_(2)22"/>
      <sheetName val="tô_rôiDY22"/>
      <sheetName val="Nhap_lieu23"/>
      <sheetName val="Tien_dien22"/>
      <sheetName val="Thue_GTGT22"/>
      <sheetName val="bcth_05-0422"/>
      <sheetName val="baocao_05-0422"/>
      <sheetName val="nhan_su22"/>
      <sheetName val="luong_cty22"/>
      <sheetName val="TK__TK22"/>
      <sheetName val="THANG7_22"/>
      <sheetName val="THANG_1122"/>
      <sheetName val="THANG_1222"/>
      <sheetName val="Tuan_1_0110"/>
      <sheetName val="Tuan_3_01_10"/>
      <sheetName val="Tuan_5_06_10"/>
      <sheetName val="Tuan_6_06__10"/>
      <sheetName val="Tuan_7_06_10"/>
      <sheetName val="Tuan_7_06__(2)10"/>
      <sheetName val="Tuan10,06_10"/>
      <sheetName val="Tuan11,06__10"/>
      <sheetName val="Bao_cao_DD_31_3_0610"/>
      <sheetName val="Bao_cao_DD_30_4_0610"/>
      <sheetName val="Bao_cao_DD_31_5_06_10"/>
      <sheetName val="Bao_cao_Quy_I-0610"/>
      <sheetName val="Bao_cao_DD_30_6_0610"/>
      <sheetName val="Bao_cao_DD_31_7_0610"/>
      <sheetName val="Cong_ban_11yx1,210"/>
      <sheetName val="Luu_goc22"/>
      <sheetName val="km22+93_86-km22+121_8622"/>
      <sheetName val="km22+177_14-km22+205_6422"/>
      <sheetName val="Bang_20-2522"/>
      <sheetName val="km22+267_96-km22+283_9622"/>
      <sheetName val="km22+304_31-km22+344_3122"/>
      <sheetName val="km22+460_92-km22+614_5722"/>
      <sheetName val="km22+671_78-km22+713_3222"/>
      <sheetName val="Dinh_ha_nha22"/>
      <sheetName val="_tuanM22"/>
      <sheetName val="[IBASE2_XLS_Tong_hop_Matduong22"/>
      <sheetName val="THU_T1222"/>
      <sheetName val="CHI_T1222"/>
      <sheetName val="THU_T1122"/>
      <sheetName val="CHI_T1122"/>
      <sheetName val="THU_T1022"/>
      <sheetName val="CHI_T1022"/>
      <sheetName val="THU_T922"/>
      <sheetName val="CHI_T922"/>
      <sheetName val="THU_T822"/>
      <sheetName val="CHI_T822"/>
      <sheetName val="BC§_200122"/>
      <sheetName val="BBC§_200222"/>
      <sheetName val="TSC§_200122"/>
      <sheetName val="TSc®_200222"/>
      <sheetName val="BaTrieu-L_con22"/>
      <sheetName val="EDT_-_Ro22"/>
      <sheetName val="KHVô_XL22"/>
      <sheetName val="TD_khao_sat22"/>
      <sheetName val="chi_phi_cap_tien22"/>
      <sheetName val="[IBASE2_XLS}BHXH22"/>
      <sheetName val="chuong_phu22"/>
      <sheetName val="phuong_aL_122"/>
      <sheetName val="[IBASE2_XLS䁝BC6tT1722"/>
      <sheetName val="Khac_DP22"/>
      <sheetName val="Khoi_than_22"/>
      <sheetName val="De_Tai_Vhuc_Tap22"/>
      <sheetName val="02_122"/>
      <sheetName val="2_122"/>
      <sheetName val="2_322"/>
      <sheetName val="02_322"/>
      <sheetName val="B_0122"/>
      <sheetName val="B_0322"/>
      <sheetName val="D_1322"/>
      <sheetName val="det_VP22"/>
      <sheetName val="det_hn22"/>
      <sheetName val="chi_Hieu22"/>
      <sheetName val="c_thoa22"/>
      <sheetName val="A_thanh_-_DL22"/>
      <sheetName val="A_Tuyen22"/>
      <sheetName val="A_Tien_-laphu22"/>
      <sheetName val="A_Thang-_laphu22"/>
      <sheetName val="A_Dong22"/>
      <sheetName val="27-7_NB22"/>
      <sheetName val="xn_522"/>
      <sheetName val="PKD_X2022"/>
      <sheetName val="da_giay_SG22"/>
      <sheetName val="dagiay_XK22"/>
      <sheetName val="DK_Dong_xuan22"/>
      <sheetName val="chu_Ton22"/>
      <sheetName val="minh_tri22"/>
      <sheetName val="viet_huy22"/>
      <sheetName val="thanh_ha22"/>
      <sheetName val="O_Su22"/>
      <sheetName val="A_Ha-DL22"/>
      <sheetName val="Vinh_oanh22"/>
      <sheetName val="chi_Thuy22"/>
      <sheetName val="chu_Hong22"/>
      <sheetName val="thuy-_may22"/>
      <sheetName val="vu_yen22"/>
      <sheetName val="[IBASE2_XLS?TNHNoi22"/>
      <sheetName val="HD_CTrinh122"/>
      <sheetName val="HD_benA22"/>
      <sheetName val="Theodoi_HD22"/>
      <sheetName val="Theodoi_HD_(2)22"/>
      <sheetName val="_GT_CPhi_tung_dot22"/>
      <sheetName val="Cong_hop_2,0ࡸ2,022"/>
      <sheetName val="OPERATING_HEAD22"/>
      <sheetName val="31_12_0122"/>
      <sheetName val="Sat_tron22"/>
      <sheetName val="Bang_can_doi_22"/>
      <sheetName val="Tinh_hinh_cat_lang22"/>
      <sheetName val="Tinh_hinh_SX_phu22"/>
      <sheetName val="Tinh_hinh_do_xop22"/>
      <sheetName val="THU_T722"/>
      <sheetName val="CHI_T722"/>
      <sheetName val="THU_T622"/>
      <sheetName val="CHI_T622"/>
      <sheetName val="THU_T522"/>
      <sheetName val="CHI_T522"/>
      <sheetName val="THU_T422"/>
      <sheetName val="CHI_T422"/>
      <sheetName val="THU_T322"/>
      <sheetName val="CHI_T322"/>
      <sheetName val="THU_T222"/>
      <sheetName val="CHI_T222"/>
      <sheetName val="THU_T142"/>
      <sheetName val="CHI_T142"/>
      <sheetName val="_IBASE2_XLSѝTNHNoi23"/>
      <sheetName val="_IBASE2_XLS䁝BC6tT1722"/>
      <sheetName val="_IBASE2_XLS}BHXH22"/>
      <sheetName val="_IBASE2_XLS_Tong_hop_Matduong22"/>
      <sheetName val="BTHDT_TBA_22"/>
      <sheetName val="(9_30)_IP22"/>
      <sheetName val="CVden_ngoai_TCT_(1)26"/>
      <sheetName val="CV_den_ngoai_TCT_(2)26"/>
      <sheetName val="CV_den_ngoai_TCT_(3)26"/>
      <sheetName val="QDcua_TGD26"/>
      <sheetName val="QD_cua_HDQT26"/>
      <sheetName val="QD_cua_HDQT_(2)26"/>
      <sheetName val="CV_di_ngoai_tong26"/>
      <sheetName val="CV_di_ngoai_tong_(2)26"/>
      <sheetName val="To_trinh26"/>
      <sheetName val="Giao_nhiem_vu26"/>
      <sheetName val="QDcua_TGD_(2)26"/>
      <sheetName val="Thong_tu26"/>
      <sheetName val="CV_di_trong__tong26"/>
      <sheetName val="nghi_dinh-CP26"/>
      <sheetName val="CV_den_trong_tong26"/>
      <sheetName val="KHVt_26"/>
      <sheetName val="KHVt_XL26"/>
      <sheetName val="KHVt_XLT426"/>
      <sheetName val="T_K_H_T_T526"/>
      <sheetName val="T_K_T726"/>
      <sheetName val="TK_T626"/>
      <sheetName val="T_K_T526"/>
      <sheetName val="Bang_thong_ke_hang_ton26"/>
      <sheetName val="thong_ke_26"/>
      <sheetName val="T_KT0426"/>
      <sheetName val="lapdat_TB_26"/>
      <sheetName val="TNghiªm_TB_26"/>
      <sheetName val="VËt_liÖu26"/>
      <sheetName val="Lap_®at_®iÖn26"/>
      <sheetName val="TNghiÖm_VL26"/>
      <sheetName val="th_26"/>
      <sheetName val="tien_luong26"/>
      <sheetName val="142201-T1_26"/>
      <sheetName val="142201-T2-th_26"/>
      <sheetName val="142201-T3-th_26"/>
      <sheetName val="142201-T4-th__26"/>
      <sheetName val="Thep_be26"/>
      <sheetName val="Thep_than26"/>
      <sheetName val="Thep_xa_mu26"/>
      <sheetName val="Kluong_phu26"/>
      <sheetName val="Lan_can26"/>
      <sheetName val="Ho_lan26"/>
      <sheetName val="Coc_tieu26"/>
      <sheetName val="Bien_bao26"/>
      <sheetName val="Op_mai_27426"/>
      <sheetName val="Op_mai_27526"/>
      <sheetName val="Op_mai_27626"/>
      <sheetName val="Op_mai_27726"/>
      <sheetName val="Op_mai_27826"/>
      <sheetName val="Op_mai_27926"/>
      <sheetName val="Op_mai_28026"/>
      <sheetName val="Op_mai_28126"/>
      <sheetName val="Op_mai_28226"/>
      <sheetName val="Op_mai_28326"/>
      <sheetName val="Op_mai_28426"/>
      <sheetName val="Op_mai26"/>
      <sheetName val="Km274_-_Km27526"/>
      <sheetName val="Km275_-_Km27626"/>
      <sheetName val="Km276_-_Km27726"/>
      <sheetName val="Km277_-_Km278_26"/>
      <sheetName val="Km278_-_Km27926"/>
      <sheetName val="Km279_-_Km28026"/>
      <sheetName val="Km280_-_Km28126"/>
      <sheetName val="Km281_-_Km28226"/>
      <sheetName val="Km282_-_Km28326"/>
      <sheetName val="Km283_-_Km28426"/>
      <sheetName val="Km284_-_Km28526"/>
      <sheetName val="Tong_hop_Matduong26"/>
      <sheetName val="Cong_D7526"/>
      <sheetName val="Cong_D10026"/>
      <sheetName val="Cong_D15026"/>
      <sheetName val="Cong_2D15026"/>
      <sheetName val="Cong_ban_0,7x0,726"/>
      <sheetName val="Cong_ban_0,8x0,826"/>
      <sheetName val="Cong_ban_1x126"/>
      <sheetName val="Cong_ban_1x1,226"/>
      <sheetName val="Cong_ban_1,5x1,526"/>
      <sheetName val="Cong_ban_2x1,526"/>
      <sheetName val="Cong_ban_2x226"/>
      <sheetName val="Tong_hop26"/>
      <sheetName val="Tong_hop_(2)26"/>
      <sheetName val="Cong_cu26"/>
      <sheetName val="Cot_thep26"/>
      <sheetName val="Cong_tron_D7526"/>
      <sheetName val="Cong_tron_D10026"/>
      <sheetName val="Cong_tron_D15026"/>
      <sheetName val="Cong_tron_2D15026"/>
      <sheetName val="Cong_ban_1,0x1,026"/>
      <sheetName val="Cong_ban_1,0x1,226"/>
      <sheetName val="Cong_hop_1,5x1,526"/>
      <sheetName val="Cong_hop_2,0x1,526"/>
      <sheetName val="Cong_hop_2,0x2,026"/>
      <sheetName val="TK_11226"/>
      <sheetName val="TK_13126"/>
      <sheetName val="TK_14126"/>
      <sheetName val="TK_15326"/>
      <sheetName val="TK_21126"/>
      <sheetName val="TK_24226"/>
      <sheetName val="TK_33426"/>
      <sheetName val="TK_51126"/>
      <sheetName val="TK_51526"/>
      <sheetName val="TK_91126"/>
      <sheetName val="KQKD02-2_(2)26"/>
      <sheetName val="KQKD-2_(2)26"/>
      <sheetName val="KQKD_thu200426"/>
      <sheetName val="_t526"/>
      <sheetName val="t_426"/>
      <sheetName val="_t3_26"/>
      <sheetName val="_TH33126"/>
      <sheetName val="_Minh_ha26"/>
      <sheetName val="_Ha_Tay26"/>
      <sheetName val="_Vinhphuc26"/>
      <sheetName val="_Nbinh26"/>
      <sheetName val="_QVinh26"/>
      <sheetName val="_TW126"/>
      <sheetName val="DOANH_SO26"/>
      <sheetName val="BD-SINH_VIEN26"/>
      <sheetName val="VtuHaTheSauTBABenThuy1_(2)26"/>
      <sheetName val="Song_trai26"/>
      <sheetName val="Dinh+ha_nha26"/>
      <sheetName val="NG_k26"/>
      <sheetName val="T_so_thay_doi26"/>
      <sheetName val="b_THchitietDZCT26"/>
      <sheetName val="b_THchitietTBA26"/>
      <sheetName val="Khao_sat26"/>
      <sheetName val="TT_khao_sat26"/>
      <sheetName val="thkl_(2)26"/>
      <sheetName val="long_tec26"/>
      <sheetName val="phan_tich_DG26"/>
      <sheetName val="gia_vat_lieu26"/>
      <sheetName val="gia_xe_may26"/>
      <sheetName val="gia_nhan_cong26"/>
      <sheetName val="CDSL_(2)26"/>
      <sheetName val="F_ThanhTri26"/>
      <sheetName val="F_Gialam26"/>
      <sheetName val="TH_dam26"/>
      <sheetName val="SX_dam26"/>
      <sheetName val="LD_dam26"/>
      <sheetName val="Bang_gia_VL26"/>
      <sheetName val="Gia_NC26"/>
      <sheetName val="Gia_may26"/>
      <sheetName val="Trich_Ngang26"/>
      <sheetName val="Danh_sach_Rieng26"/>
      <sheetName val="Dia_Diem_Thuc_Tap26"/>
      <sheetName val="De_Tai_Thuc_Tap26"/>
      <sheetName val="Dancau-Q_Ninh26"/>
      <sheetName val="BaTrieu-L_son26"/>
      <sheetName val="K249_K9826"/>
      <sheetName val="K249_K98_(2)26"/>
      <sheetName val="K251_K9826"/>
      <sheetName val="K251_SBase26"/>
      <sheetName val="K251_AC26"/>
      <sheetName val="K252_K9826"/>
      <sheetName val="K252_SBase26"/>
      <sheetName val="K252_AC26"/>
      <sheetName val="K253_K9826"/>
      <sheetName val="K253_Subbase26"/>
      <sheetName val="K253_Base_26"/>
      <sheetName val="K253_SBase26"/>
      <sheetName val="K253_AC26"/>
      <sheetName val="K255_SBase26"/>
      <sheetName val="K259_K9826"/>
      <sheetName val="K259_Subbase26"/>
      <sheetName val="K259_Base_26"/>
      <sheetName val="K259_AC26"/>
      <sheetName val="K260_K9826"/>
      <sheetName val="K260_Subbase26"/>
      <sheetName val="K260_Base26"/>
      <sheetName val="K260_AC26"/>
      <sheetName val="K261_K9826"/>
      <sheetName val="K261_Base26"/>
      <sheetName val="K261_AC26"/>
      <sheetName val="HHVt_26"/>
      <sheetName val="Tay_ninh26"/>
      <sheetName val="A_Duc26"/>
      <sheetName val="giai_thich26"/>
      <sheetName val="DT_-_Ro26"/>
      <sheetName val="TH_-_Ro_26"/>
      <sheetName val="GDT_-_Ro26"/>
      <sheetName val="DT_-_TB26"/>
      <sheetName val="TH_-_TB26"/>
      <sheetName val="GDT_-_TB26"/>
      <sheetName val="DT_-_NT26"/>
      <sheetName val="TH_-_NT26"/>
      <sheetName val="GDT_-_NT26"/>
      <sheetName val="SCT_Cong_trinh26"/>
      <sheetName val="06-2003_(2)26"/>
      <sheetName val="CDPS_6tc26"/>
      <sheetName val="SCT_Nha_thau26"/>
      <sheetName val="socai2003_(6tc)dp26"/>
      <sheetName val="socai2003_(6tc)26"/>
      <sheetName val="CDPS_6tc_(2)26"/>
      <sheetName val="TH_du_toan_26"/>
      <sheetName val="Du_toan_26"/>
      <sheetName val="C_Tinh26"/>
      <sheetName val="CT_0325"/>
      <sheetName val="TH_0325"/>
      <sheetName val="Don_gia_CPM26"/>
      <sheetName val="Tong_Thieu_HD_cac_CT-200126"/>
      <sheetName val="VL_thieu_HD_-_200126"/>
      <sheetName val="Tong_thieu_HD_cac_CT_-_200226"/>
      <sheetName val="Lan_trai26"/>
      <sheetName val="Van_chuyen26"/>
      <sheetName val="HDong_VC26"/>
      <sheetName val="ThieuHD_nam_200126"/>
      <sheetName val="Bang_TH26"/>
      <sheetName val="Tong_Chinh26"/>
      <sheetName val="So_sanh26"/>
      <sheetName val="Xaylap_26"/>
      <sheetName val="Nhan_cong26"/>
      <sheetName val="_KQTH_quy_hoach_13525"/>
      <sheetName val="Bao_cao_KQTH_quy_hoach_13525"/>
      <sheetName val="Co~g_hop_1,5x1,526"/>
      <sheetName val="Tong_hop_xuat_kho_nvl25"/>
      <sheetName val="Xuat_kho25"/>
      <sheetName val="Tong_hop_so_lieu_tai_nhap_kho25"/>
      <sheetName val="tai_nhap_kho25"/>
      <sheetName val="Nhap_kho25"/>
      <sheetName val="Tong_ket_nhap_kho25"/>
      <sheetName val="Tong_ket25"/>
      <sheetName val="cac_ma_can_huy25"/>
      <sheetName val="Hang_hong25"/>
      <sheetName val="Tham_khao25"/>
      <sheetName val="hang_khong_co_packing25"/>
      <sheetName val="GIA_NUOC26"/>
      <sheetName val="GIA_DIEN_THOAI26"/>
      <sheetName val="GIA_DIEN26"/>
      <sheetName val="chiet_tinh_XD26"/>
      <sheetName val="Triet_T26"/>
      <sheetName val="Phan_tich_gia26"/>
      <sheetName val="pHAN_CONG26"/>
      <sheetName val="GIA_XD26"/>
      <sheetName val="Coc_626"/>
      <sheetName val="Deo_nai26"/>
      <sheetName val="CKD_than26"/>
      <sheetName val="CTT_Thong_nhat26"/>
      <sheetName val="CTT_Nui_beo26"/>
      <sheetName val="CTT_cao_son26"/>
      <sheetName val="CTT_Khe_cham26"/>
      <sheetName val="XNxlva_sxthanKCII26"/>
      <sheetName val="Cam_Y_ut_KC26"/>
      <sheetName val="CTxay_lap_mo_CP26"/>
      <sheetName val="CTdo_luong_GDSP26"/>
      <sheetName val="Dong_bac26"/>
      <sheetName val="Cac_cang_UT_mua_than_Dong_bac26"/>
      <sheetName val="cua_hang_vtu26"/>
      <sheetName val="Khach_hang_le_26"/>
      <sheetName val="nhat_ky_526"/>
      <sheetName val="cac_cong_ty_van_tai26"/>
      <sheetName val="[IBASE2_XLSѝTNHNoi26"/>
      <sheetName val="Thang_425"/>
      <sheetName val="BC_TH_CK_(2)26"/>
      <sheetName val="BC_TH_CK26"/>
      <sheetName val="BC6tT19_food26"/>
      <sheetName val="BC6tT18_-_Food26"/>
      <sheetName val="BCCK_426"/>
      <sheetName val="BCFood-_T1626"/>
      <sheetName val="BCFood-_T1526"/>
      <sheetName val="BCFood-_T1426"/>
      <sheetName val="BCFood-_T1326"/>
      <sheetName val="TH_CK226"/>
      <sheetName val="BC6tT52_(3)26"/>
      <sheetName val="BC6tT52_(2)26"/>
      <sheetName val="TCK_1226"/>
      <sheetName val="Tong_CK26"/>
      <sheetName val="T03_-_0326"/>
      <sheetName val="THL_T0326"/>
      <sheetName val="TTBC_T0326"/>
      <sheetName val="Luong_noi_Bo_-_T326"/>
      <sheetName val="Tong_hop_-_T326"/>
      <sheetName val="Thuong_Quy_326"/>
      <sheetName val="Phu_cap_trach_nhiem26"/>
      <sheetName val="Co_quan_TCT24"/>
      <sheetName val="BOT_(PA_chon)24"/>
      <sheetName val="Yaly_&amp;_Ri_Ninh24"/>
      <sheetName val="Thuy_dien_Na_Loi24"/>
      <sheetName val="bang_so_sanh_tong_hop24"/>
      <sheetName val="bang_so_sanh_tong_hop_(ty_le)24"/>
      <sheetName val="thu_nhap_binh_quan_(2)24"/>
      <sheetName val="dang_huong24"/>
      <sheetName val="phuong_an_124"/>
      <sheetName val="phuong_an_1_(2)24"/>
      <sheetName val="phuong_an224"/>
      <sheetName val="tong_hop_BQ24"/>
      <sheetName val="tong_hop_BQ-124"/>
      <sheetName val="phuong_an_chon24"/>
      <sheetName val="bang_so_sanh_tong_hop_(_PA_ch23"/>
      <sheetName val="dang_ap_dung23"/>
      <sheetName val="bang_tong_hop_(dang_huong)23"/>
      <sheetName val="THT_nam_0423"/>
      <sheetName val="CV_di_trong__dong24"/>
      <sheetName val="ql_(2)23"/>
      <sheetName val="Heso_3-2004_(3)23"/>
      <sheetName val="Luong_(2)23"/>
      <sheetName val="heso_T323"/>
      <sheetName val="heso_T423"/>
      <sheetName val="heso_T523"/>
      <sheetName val="Heso_T623"/>
      <sheetName val="Heso_T723"/>
      <sheetName val="Heso_T823"/>
      <sheetName val="Heso_T923"/>
      <sheetName val="Heso_2-200423"/>
      <sheetName val="Heso_3-200423"/>
      <sheetName val="Heso_3-2004_(2)23"/>
      <sheetName val="tô_rôiDY23"/>
      <sheetName val="Nhap_lieu24"/>
      <sheetName val="Tien_dien23"/>
      <sheetName val="Thue_GTGT23"/>
      <sheetName val="bcth_05-0423"/>
      <sheetName val="baocao_05-0423"/>
      <sheetName val="nhan_su23"/>
      <sheetName val="luong_cty23"/>
      <sheetName val="TK__TK23"/>
      <sheetName val="THANG7_23"/>
      <sheetName val="THANG_1123"/>
      <sheetName val="THANG_1223"/>
      <sheetName val="Tuan_1_0111"/>
      <sheetName val="Tuan_3_01_11"/>
      <sheetName val="Tuan_5_06_11"/>
      <sheetName val="Tuan_6_06__11"/>
      <sheetName val="Tuan_7_06_11"/>
      <sheetName val="Tuan_7_06__(2)11"/>
      <sheetName val="Tuan10,06_11"/>
      <sheetName val="Tuan11,06__11"/>
      <sheetName val="Bao_cao_DD_31_3_0611"/>
      <sheetName val="Bao_cao_DD_30_4_0611"/>
      <sheetName val="Bao_cao_DD_31_5_06_11"/>
      <sheetName val="Bao_cao_Quy_I-0611"/>
      <sheetName val="Bao_cao_DD_30_6_0611"/>
      <sheetName val="Bao_cao_DD_31_7_0611"/>
      <sheetName val="Cong_ban_11yx1,211"/>
      <sheetName val="Luu_goc23"/>
      <sheetName val="km22+93_86-km22+121_8623"/>
      <sheetName val="km22+177_14-km22+205_6423"/>
      <sheetName val="Bang_20-2523"/>
      <sheetName val="km22+267_96-km22+283_9623"/>
      <sheetName val="km22+304_31-km22+344_3123"/>
      <sheetName val="km22+460_92-km22+614_5723"/>
      <sheetName val="km22+671_78-km22+713_3223"/>
      <sheetName val="Dinh_ha_nha23"/>
      <sheetName val="_tuanM23"/>
      <sheetName val="[IBASE2_XLS_Tong_hop_Matduong23"/>
      <sheetName val="THU_T1223"/>
      <sheetName val="CHI_T1223"/>
      <sheetName val="THU_T1123"/>
      <sheetName val="CHI_T1123"/>
      <sheetName val="THU_T1023"/>
      <sheetName val="CHI_T1023"/>
      <sheetName val="THU_T923"/>
      <sheetName val="CHI_T923"/>
      <sheetName val="THU_T823"/>
      <sheetName val="CHI_T823"/>
      <sheetName val="BC§_200123"/>
      <sheetName val="BBC§_200223"/>
      <sheetName val="TSC§_200123"/>
      <sheetName val="TSc®_200223"/>
      <sheetName val="BaTrieu-L_con23"/>
      <sheetName val="EDT_-_Ro23"/>
      <sheetName val="KHVô_XL23"/>
      <sheetName val="TD_khao_sat23"/>
      <sheetName val="chi_phi_cap_tien23"/>
      <sheetName val="[IBASE2_XLS}BHXH23"/>
      <sheetName val="chuong_phu23"/>
      <sheetName val="phuong_aL_123"/>
      <sheetName val="[IBASE2_XLS䁝BC6tT1723"/>
      <sheetName val="Khac_DP23"/>
      <sheetName val="Khoi_than_23"/>
      <sheetName val="De_Tai_Vhuc_Tap23"/>
      <sheetName val="02_123"/>
      <sheetName val="2_123"/>
      <sheetName val="2_323"/>
      <sheetName val="02_323"/>
      <sheetName val="B_0123"/>
      <sheetName val="B_0323"/>
      <sheetName val="D_1323"/>
      <sheetName val="det_VP23"/>
      <sheetName val="det_hn23"/>
      <sheetName val="chi_Hieu23"/>
      <sheetName val="c_thoa23"/>
      <sheetName val="A_thanh_-_DL23"/>
      <sheetName val="A_Tuyen23"/>
      <sheetName val="A_Tien_-laphu23"/>
      <sheetName val="A_Thang-_laphu23"/>
      <sheetName val="A_Dong23"/>
      <sheetName val="27-7_NB23"/>
      <sheetName val="xn_523"/>
      <sheetName val="PKD_X2023"/>
      <sheetName val="da_giay_SG23"/>
      <sheetName val="dagiay_XK23"/>
      <sheetName val="DK_Dong_xuan23"/>
      <sheetName val="chu_Ton23"/>
      <sheetName val="minh_tri23"/>
      <sheetName val="viet_huy23"/>
      <sheetName val="thanh_ha23"/>
      <sheetName val="O_Su23"/>
      <sheetName val="A_Ha-DL23"/>
      <sheetName val="Vinh_oanh23"/>
      <sheetName val="chi_Thuy23"/>
      <sheetName val="chu_Hong23"/>
      <sheetName val="thuy-_may23"/>
      <sheetName val="vu_yen23"/>
      <sheetName val="[IBASE2_XLS?TNHNoi23"/>
      <sheetName val="HD_CTrinh123"/>
      <sheetName val="HD_benA23"/>
      <sheetName val="Theodoi_HD23"/>
      <sheetName val="Theodoi_HD_(2)23"/>
      <sheetName val="_GT_CPhi_tung_dot23"/>
      <sheetName val="Cong_hop_2,0ࡸ2,023"/>
      <sheetName val="OPERATING_HEAD23"/>
      <sheetName val="31_12_0123"/>
      <sheetName val="Sat_tron23"/>
      <sheetName val="Bang_can_doi_23"/>
      <sheetName val="Tinh_hinh_cat_lang23"/>
      <sheetName val="Tinh_hinh_SX_phu23"/>
      <sheetName val="Tinh_hinh_do_xop23"/>
      <sheetName val="THU_T723"/>
      <sheetName val="CHI_T723"/>
      <sheetName val="THU_T623"/>
      <sheetName val="CHI_T623"/>
      <sheetName val="THU_T523"/>
      <sheetName val="CHI_T523"/>
      <sheetName val="THU_T423"/>
      <sheetName val="CHI_T423"/>
      <sheetName val="THU_T323"/>
      <sheetName val="CHI_T323"/>
      <sheetName val="THU_T223"/>
      <sheetName val="CHI_T223"/>
      <sheetName val="THU_T143"/>
      <sheetName val="CHI_T143"/>
      <sheetName val="_IBASE2_XLSѝTNHNoi24"/>
      <sheetName val="_IBASE2_XLS䁝BC6tT1723"/>
      <sheetName val="_IBASE2_XLS}BHXH23"/>
      <sheetName val="_IBASE2_XLS_Tong_hop_Matduong23"/>
      <sheetName val="BTHDT_TBA_23"/>
      <sheetName val="(9_30)_IP23"/>
      <sheetName val="CVden_ngoai_TCT_(1)27"/>
      <sheetName val="CV_den_ngoai_TCT_(2)27"/>
      <sheetName val="CV_den_ngoai_TCT_(3)27"/>
      <sheetName val="QDcua_TGD27"/>
      <sheetName val="QD_cua_HDQT27"/>
      <sheetName val="QD_cua_HDQT_(2)27"/>
      <sheetName val="CV_di_ngoai_tong27"/>
      <sheetName val="CV_di_ngoai_tong_(2)27"/>
      <sheetName val="To_trinh27"/>
      <sheetName val="Giao_nhiem_vu27"/>
      <sheetName val="QDcua_TGD_(2)27"/>
      <sheetName val="Thong_tu27"/>
      <sheetName val="CV_di_trong__tong27"/>
      <sheetName val="nghi_dinh-CP27"/>
      <sheetName val="CV_den_trong_tong27"/>
      <sheetName val="KHVt_27"/>
      <sheetName val="KHVt_XL27"/>
      <sheetName val="KHVt_XLT427"/>
      <sheetName val="T_K_H_T_T527"/>
      <sheetName val="T_K_T727"/>
      <sheetName val="TK_T627"/>
      <sheetName val="T_K_T527"/>
      <sheetName val="Bang_thong_ke_hang_ton27"/>
      <sheetName val="thong_ke_27"/>
      <sheetName val="T_KT0427"/>
      <sheetName val="lapdat_TB_27"/>
      <sheetName val="TNghiªm_TB_27"/>
      <sheetName val="VËt_liÖu27"/>
      <sheetName val="Lap_®at_®iÖn27"/>
      <sheetName val="TNghiÖm_VL27"/>
      <sheetName val="th_27"/>
      <sheetName val="tien_luong27"/>
      <sheetName val="142201-T1_27"/>
      <sheetName val="142201-T2-th_27"/>
      <sheetName val="142201-T3-th_27"/>
      <sheetName val="142201-T4-th__27"/>
      <sheetName val="Thep_be27"/>
      <sheetName val="Thep_than27"/>
      <sheetName val="Thep_xa_mu27"/>
      <sheetName val="Kluong_phu27"/>
      <sheetName val="Lan_can27"/>
      <sheetName val="Ho_lan27"/>
      <sheetName val="Coc_tieu27"/>
      <sheetName val="Bien_bao27"/>
      <sheetName val="Op_mai_27427"/>
      <sheetName val="Op_mai_27527"/>
      <sheetName val="Op_mai_27627"/>
      <sheetName val="Op_mai_27727"/>
      <sheetName val="Op_mai_27827"/>
      <sheetName val="Op_mai_27927"/>
      <sheetName val="Op_mai_28027"/>
      <sheetName val="Op_mai_28127"/>
      <sheetName val="Op_mai_28227"/>
      <sheetName val="Op_mai_28327"/>
      <sheetName val="Op_mai_28427"/>
      <sheetName val="Op_mai27"/>
      <sheetName val="Km274_-_Km27527"/>
      <sheetName val="Km275_-_Km27627"/>
      <sheetName val="Km276_-_Km27727"/>
      <sheetName val="Km277_-_Km278_27"/>
      <sheetName val="Km278_-_Km27927"/>
      <sheetName val="Km279_-_Km28027"/>
      <sheetName val="Km280_-_Km28127"/>
      <sheetName val="Km281_-_Km28227"/>
      <sheetName val="Km282_-_Km28327"/>
      <sheetName val="Km283_-_Km28427"/>
      <sheetName val="Km284_-_Km28527"/>
      <sheetName val="Tong_hop_Matduong27"/>
      <sheetName val="Cong_D7527"/>
      <sheetName val="Cong_D10027"/>
      <sheetName val="Cong_D15027"/>
      <sheetName val="Cong_2D15027"/>
      <sheetName val="Cong_ban_0,7x0,727"/>
      <sheetName val="Cong_ban_0,8x0,827"/>
      <sheetName val="Cong_ban_1x127"/>
      <sheetName val="Cong_ban_1x1,227"/>
      <sheetName val="Cong_ban_1,5x1,527"/>
      <sheetName val="Cong_ban_2x1,527"/>
      <sheetName val="Cong_ban_2x227"/>
      <sheetName val="Tong_hop27"/>
      <sheetName val="Tong_hop_(2)27"/>
      <sheetName val="Cong_cu27"/>
      <sheetName val="Cot_thep27"/>
      <sheetName val="Cong_tron_D7527"/>
      <sheetName val="Cong_tron_D10027"/>
      <sheetName val="Cong_tron_D15027"/>
      <sheetName val="Cong_tron_2D15027"/>
      <sheetName val="Cong_ban_1,0x1,027"/>
      <sheetName val="Cong_ban_1,0x1,227"/>
      <sheetName val="Cong_hop_1,5x1,527"/>
      <sheetName val="Cong_hop_2,0x1,527"/>
      <sheetName val="Cong_hop_2,0x2,027"/>
      <sheetName val="TK_11227"/>
      <sheetName val="TK_13127"/>
      <sheetName val="TK_14127"/>
      <sheetName val="TK_15327"/>
      <sheetName val="TK_21127"/>
      <sheetName val="TK_24227"/>
      <sheetName val="TK_33427"/>
      <sheetName val="TK_51127"/>
      <sheetName val="TK_51527"/>
      <sheetName val="TK_91127"/>
      <sheetName val="KQKD02-2_(2)27"/>
      <sheetName val="KQKD-2_(2)27"/>
      <sheetName val="KQKD_thu200427"/>
      <sheetName val="_t527"/>
      <sheetName val="t_427"/>
      <sheetName val="_t3_27"/>
      <sheetName val="_TH33127"/>
      <sheetName val="_Minh_ha27"/>
      <sheetName val="_Ha_Tay27"/>
      <sheetName val="_Vinhphuc27"/>
      <sheetName val="_Nbinh27"/>
      <sheetName val="_QVinh27"/>
      <sheetName val="_TW127"/>
      <sheetName val="DOANH_SO27"/>
      <sheetName val="BD-SINH_VIEN27"/>
      <sheetName val="VtuHaTheSauTBABenThuy1_(2)27"/>
      <sheetName val="Song_trai27"/>
      <sheetName val="Dinh+ha_nha27"/>
      <sheetName val="NG_k27"/>
      <sheetName val="T_so_thay_doi27"/>
      <sheetName val="b_THchitietDZCT27"/>
      <sheetName val="b_THchitietTBA27"/>
      <sheetName val="Khao_sat27"/>
      <sheetName val="TT_khao_sat27"/>
      <sheetName val="thkl_(2)27"/>
      <sheetName val="long_tec27"/>
      <sheetName val="phan_tich_DG27"/>
      <sheetName val="gia_vat_lieu27"/>
      <sheetName val="gia_xe_may27"/>
      <sheetName val="gia_nhan_cong27"/>
      <sheetName val="CDSL_(2)27"/>
      <sheetName val="F_ThanhTri27"/>
      <sheetName val="F_Gialam27"/>
      <sheetName val="TH_dam27"/>
      <sheetName val="SX_dam27"/>
      <sheetName val="LD_dam27"/>
      <sheetName val="Bang_gia_VL27"/>
      <sheetName val="Gia_NC27"/>
      <sheetName val="Gia_may27"/>
      <sheetName val="Trich_Ngang27"/>
      <sheetName val="Danh_sach_Rieng27"/>
      <sheetName val="Dia_Diem_Thuc_Tap27"/>
      <sheetName val="De_Tai_Thuc_Tap27"/>
      <sheetName val="Dancau-Q_Ninh27"/>
      <sheetName val="BaTrieu-L_son27"/>
      <sheetName val="K249_K9827"/>
      <sheetName val="K249_K98_(2)27"/>
      <sheetName val="K251_K9827"/>
      <sheetName val="K251_SBase27"/>
      <sheetName val="K251_AC27"/>
      <sheetName val="K252_K9827"/>
      <sheetName val="K252_SBase27"/>
      <sheetName val="K252_AC27"/>
      <sheetName val="K253_K9827"/>
      <sheetName val="K253_Subbase27"/>
      <sheetName val="K253_Base_27"/>
      <sheetName val="K253_SBase27"/>
      <sheetName val="K253_AC27"/>
      <sheetName val="K255_SBase27"/>
      <sheetName val="K259_K9827"/>
      <sheetName val="K259_Subbase27"/>
      <sheetName val="K259_Base_27"/>
      <sheetName val="K259_AC27"/>
      <sheetName val="K260_K9827"/>
      <sheetName val="K260_Subbase27"/>
      <sheetName val="K260_Base27"/>
      <sheetName val="K260_AC27"/>
      <sheetName val="K261_K9827"/>
      <sheetName val="K261_Base27"/>
      <sheetName val="K261_AC27"/>
      <sheetName val="HHVt_27"/>
      <sheetName val="Tay_ninh27"/>
      <sheetName val="A_Duc27"/>
      <sheetName val="giai_thich27"/>
      <sheetName val="DT_-_Ro27"/>
      <sheetName val="TH_-_Ro_27"/>
      <sheetName val="GDT_-_Ro27"/>
      <sheetName val="DT_-_TB27"/>
      <sheetName val="TH_-_TB27"/>
      <sheetName val="GDT_-_TB27"/>
      <sheetName val="DT_-_NT27"/>
      <sheetName val="TH_-_NT27"/>
      <sheetName val="GDT_-_NT27"/>
      <sheetName val="SCT_Cong_trinh27"/>
      <sheetName val="06-2003_(2)27"/>
      <sheetName val="CDPS_6tc27"/>
      <sheetName val="SCT_Nha_thau27"/>
      <sheetName val="socai2003_(6tc)dp27"/>
      <sheetName val="socai2003_(6tc)27"/>
      <sheetName val="CDPS_6tc_(2)27"/>
      <sheetName val="TH_du_toan_27"/>
      <sheetName val="Du_toan_27"/>
      <sheetName val="C_Tinh27"/>
      <sheetName val="CT_0326"/>
      <sheetName val="TH_0326"/>
      <sheetName val="Don_gia_CPM27"/>
      <sheetName val="Tong_Thieu_HD_cac_CT-200127"/>
      <sheetName val="VL_thieu_HD_-_200127"/>
      <sheetName val="Tong_thieu_HD_cac_CT_-_200227"/>
      <sheetName val="Lan_trai27"/>
      <sheetName val="Van_chuyen27"/>
      <sheetName val="HDong_VC27"/>
      <sheetName val="ThieuHD_nam_200127"/>
      <sheetName val="Bang_TH27"/>
      <sheetName val="Tong_Chinh27"/>
      <sheetName val="So_sanh27"/>
      <sheetName val="Xaylap_27"/>
      <sheetName val="Nhan_cong27"/>
      <sheetName val="_KQTH_quy_hoach_13526"/>
      <sheetName val="Bao_cao_KQTH_quy_hoach_13526"/>
      <sheetName val="Co~g_hop_1,5x1,527"/>
      <sheetName val="Tong_hop_xuat_kho_nvl26"/>
      <sheetName val="Xuat_kho26"/>
      <sheetName val="Tong_hop_so_lieu_tai_nhap_kho26"/>
      <sheetName val="tai_nhap_kho26"/>
      <sheetName val="Nhap_kho26"/>
      <sheetName val="Tong_ket_nhap_kho26"/>
      <sheetName val="Tong_ket26"/>
      <sheetName val="cac_ma_can_huy26"/>
      <sheetName val="Hang_hong26"/>
      <sheetName val="Tham_khao26"/>
      <sheetName val="hang_khong_co_packing26"/>
      <sheetName val="GIA_NUOC27"/>
      <sheetName val="GIA_DIEN_THOAI27"/>
      <sheetName val="GIA_DIEN27"/>
      <sheetName val="chiet_tinh_XD27"/>
      <sheetName val="Triet_T27"/>
      <sheetName val="Phan_tich_gia27"/>
      <sheetName val="pHAN_CONG27"/>
      <sheetName val="GIA_XD27"/>
      <sheetName val="Coc_627"/>
      <sheetName val="Deo_nai27"/>
      <sheetName val="CKD_than27"/>
      <sheetName val="CTT_Thong_nhat27"/>
      <sheetName val="CTT_Nui_beo27"/>
      <sheetName val="CTT_cao_son27"/>
      <sheetName val="CTT_Khe_cham27"/>
      <sheetName val="XNxlva_sxthanKCII27"/>
      <sheetName val="Cam_Y_ut_KC27"/>
      <sheetName val="CTxay_lap_mo_CP27"/>
      <sheetName val="CTdo_luong_GDSP27"/>
      <sheetName val="Dong_bac27"/>
      <sheetName val="Cac_cang_UT_mua_than_Dong_bac27"/>
      <sheetName val="cua_hang_vtu27"/>
      <sheetName val="Khach_hang_le_27"/>
      <sheetName val="nhat_ky_527"/>
      <sheetName val="cac_cong_ty_van_tai27"/>
      <sheetName val="[IBASE2_XLSѝTNHNoi27"/>
      <sheetName val="Thang_426"/>
      <sheetName val="BC_TH_CK_(2)27"/>
      <sheetName val="BC_TH_CK27"/>
      <sheetName val="BC6tT19_food27"/>
      <sheetName val="BC6tT18_-_Food27"/>
      <sheetName val="BCCK_427"/>
      <sheetName val="BCFood-_T1627"/>
      <sheetName val="BCFood-_T1527"/>
      <sheetName val="BCFood-_T1427"/>
      <sheetName val="BCFood-_T1327"/>
      <sheetName val="TH_CK227"/>
      <sheetName val="BC6tT52_(3)27"/>
      <sheetName val="BC6tT52_(2)27"/>
      <sheetName val="TCK_1227"/>
      <sheetName val="Tong_CK27"/>
      <sheetName val="T03_-_0327"/>
      <sheetName val="THL_T0327"/>
      <sheetName val="TTBC_T0327"/>
      <sheetName val="Luong_noi_Bo_-_T327"/>
      <sheetName val="Tong_hop_-_T327"/>
      <sheetName val="Thuong_Quy_327"/>
      <sheetName val="Phu_cap_trach_nhiem27"/>
      <sheetName val="Co_quan_TCT25"/>
      <sheetName val="BOT_(PA_chon)25"/>
      <sheetName val="Yaly_&amp;_Ri_Ninh25"/>
      <sheetName val="Thuy_dien_Na_Loi25"/>
      <sheetName val="bang_so_sanh_tong_hop25"/>
      <sheetName val="bang_so_sanh_tong_hop_(ty_le)25"/>
      <sheetName val="thu_nhap_binh_quan_(2)25"/>
      <sheetName val="dang_huong25"/>
      <sheetName val="phuong_an_125"/>
      <sheetName val="phuong_an_1_(2)25"/>
      <sheetName val="phuong_an225"/>
      <sheetName val="tong_hop_BQ25"/>
      <sheetName val="tong_hop_BQ-125"/>
      <sheetName val="phuong_an_chon25"/>
      <sheetName val="bang_so_sanh_tong_hop_(_PA_ch24"/>
      <sheetName val="dang_ap_dung24"/>
      <sheetName val="bang_tong_hop_(dang_huong)24"/>
      <sheetName val="THT_nam_0424"/>
      <sheetName val="CV_di_trong__dong25"/>
      <sheetName val="ql_(2)24"/>
      <sheetName val="Heso_3-2004_(3)24"/>
      <sheetName val="Luong_(2)24"/>
      <sheetName val="heso_T324"/>
      <sheetName val="heso_T424"/>
      <sheetName val="heso_T524"/>
      <sheetName val="Heso_T624"/>
      <sheetName val="Heso_T724"/>
      <sheetName val="Heso_T824"/>
      <sheetName val="Heso_T924"/>
      <sheetName val="Heso_2-200424"/>
      <sheetName val="Heso_3-200424"/>
      <sheetName val="Heso_3-2004_(2)24"/>
      <sheetName val="tô_rôiDY24"/>
      <sheetName val="Nhap_lieu25"/>
      <sheetName val="Tien_dien24"/>
      <sheetName val="Thue_GTGT24"/>
      <sheetName val="bcth_05-0424"/>
      <sheetName val="baocao_05-0424"/>
      <sheetName val="nhan_su24"/>
      <sheetName val="luong_cty24"/>
      <sheetName val="TK__TK24"/>
      <sheetName val="THANG7_24"/>
      <sheetName val="THANG_1124"/>
      <sheetName val="THANG_1224"/>
      <sheetName val="Tuan_1_0112"/>
      <sheetName val="Tuan_3_01_12"/>
      <sheetName val="Tuan_5_06_12"/>
      <sheetName val="Tuan_6_06__12"/>
      <sheetName val="Tuan_7_06_12"/>
      <sheetName val="Tuan_7_06__(2)12"/>
      <sheetName val="Tuan10,06_12"/>
      <sheetName val="Tuan11,06__12"/>
      <sheetName val="Bao_cao_DD_31_3_0612"/>
      <sheetName val="Bao_cao_DD_30_4_0612"/>
      <sheetName val="Bao_cao_DD_31_5_06_12"/>
      <sheetName val="Bao_cao_Quy_I-0612"/>
      <sheetName val="Bao_cao_DD_30_6_0612"/>
      <sheetName val="Bao_cao_DD_31_7_0612"/>
      <sheetName val="Cong_ban_11yx1,212"/>
      <sheetName val="Luu_goc24"/>
      <sheetName val="km22+93_86-km22+121_8624"/>
      <sheetName val="km22+177_14-km22+205_6424"/>
      <sheetName val="Bang_20-2524"/>
      <sheetName val="km22+267_96-km22+283_9624"/>
      <sheetName val="km22+304_31-km22+344_3124"/>
      <sheetName val="km22+460_92-km22+614_5724"/>
      <sheetName val="km22+671_78-km22+713_3224"/>
      <sheetName val="Dinh_ha_nha24"/>
      <sheetName val="_tuanM24"/>
      <sheetName val="[IBASE2_XLS_Tong_hop_Matduong24"/>
      <sheetName val="THU_T1224"/>
      <sheetName val="CHI_T1224"/>
      <sheetName val="THU_T1124"/>
      <sheetName val="CHI_T1124"/>
      <sheetName val="THU_T1024"/>
      <sheetName val="CHI_T1024"/>
      <sheetName val="THU_T924"/>
      <sheetName val="CHI_T924"/>
      <sheetName val="THU_T824"/>
      <sheetName val="CHI_T824"/>
      <sheetName val="BC§_200124"/>
      <sheetName val="BBC§_200224"/>
      <sheetName val="TSC§_200124"/>
      <sheetName val="TSc®_200224"/>
      <sheetName val="BaTrieu-L_con24"/>
      <sheetName val="EDT_-_Ro24"/>
      <sheetName val="KHVô_XL24"/>
      <sheetName val="TD_khao_sat24"/>
      <sheetName val="chi_phi_cap_tien24"/>
      <sheetName val="[IBASE2_XLS}BHXH24"/>
      <sheetName val="chuong_phu24"/>
      <sheetName val="phuong_aL_124"/>
      <sheetName val="[IBASE2_XLS䁝BC6tT1724"/>
      <sheetName val="Khac_DP24"/>
      <sheetName val="Khoi_than_24"/>
      <sheetName val="De_Tai_Vhuc_Tap24"/>
      <sheetName val="02_124"/>
      <sheetName val="2_124"/>
      <sheetName val="2_324"/>
      <sheetName val="02_324"/>
      <sheetName val="B_0124"/>
      <sheetName val="B_0324"/>
      <sheetName val="D_1324"/>
      <sheetName val="det_VP24"/>
      <sheetName val="det_hn24"/>
      <sheetName val="chi_Hieu24"/>
      <sheetName val="c_thoa24"/>
      <sheetName val="A_thanh_-_DL24"/>
      <sheetName val="A_Tuyen24"/>
      <sheetName val="A_Tien_-laphu24"/>
      <sheetName val="A_Thang-_laphu24"/>
      <sheetName val="A_Dong24"/>
      <sheetName val="27-7_NB24"/>
      <sheetName val="xn_524"/>
      <sheetName val="PKD_X2024"/>
      <sheetName val="da_giay_SG24"/>
      <sheetName val="dagiay_XK24"/>
      <sheetName val="DK_Dong_xuan24"/>
      <sheetName val="chu_Ton24"/>
      <sheetName val="minh_tri24"/>
      <sheetName val="viet_huy24"/>
      <sheetName val="thanh_ha24"/>
      <sheetName val="O_Su24"/>
      <sheetName val="A_Ha-DL24"/>
      <sheetName val="Vinh_oanh24"/>
      <sheetName val="chi_Thuy24"/>
      <sheetName val="chu_Hong24"/>
      <sheetName val="thuy-_may24"/>
      <sheetName val="vu_yen24"/>
      <sheetName val="[IBASE2_XLS?TNHNoi24"/>
      <sheetName val="HD_CTrinh124"/>
      <sheetName val="HD_benA24"/>
      <sheetName val="Theodoi_HD24"/>
      <sheetName val="Theodoi_HD_(2)24"/>
      <sheetName val="_GT_CPhi_tung_dot24"/>
      <sheetName val="Cong_hop_2,0ࡸ2,024"/>
      <sheetName val="OPERATING_HEAD24"/>
      <sheetName val="31_12_0124"/>
      <sheetName val="Sat_tron24"/>
      <sheetName val="Bang_can_doi_24"/>
      <sheetName val="Tinh_hinh_cat_lang24"/>
      <sheetName val="Tinh_hinh_SX_phu24"/>
      <sheetName val="Tinh_hinh_do_xop24"/>
      <sheetName val="THU_T724"/>
      <sheetName val="CHI_T724"/>
      <sheetName val="THU_T624"/>
      <sheetName val="CHI_T624"/>
      <sheetName val="THU_T524"/>
      <sheetName val="CHI_T524"/>
      <sheetName val="THU_T424"/>
      <sheetName val="CHI_T424"/>
      <sheetName val="THU_T324"/>
      <sheetName val="CHI_T324"/>
      <sheetName val="THU_T224"/>
      <sheetName val="CHI_T224"/>
      <sheetName val="THU_T144"/>
      <sheetName val="CHI_T144"/>
      <sheetName val="_IBASE2_XLSѝTNHNoi25"/>
      <sheetName val="_IBASE2_XLS䁝BC6tT1724"/>
      <sheetName val="_IBASE2_XLS}BHXH24"/>
      <sheetName val="_IBASE2_XLS_Tong_hop_Matduong24"/>
      <sheetName val="BTHDT_TBA_24"/>
      <sheetName val="(9_30)_IP24"/>
      <sheetName val="CVden_ngoai_TCT_(1)28"/>
      <sheetName val="CV_den_ngoai_TCT_(2)28"/>
      <sheetName val="CV_den_ngoai_TCT_(3)28"/>
      <sheetName val="QDcua_TGD28"/>
      <sheetName val="QD_cua_HDQT28"/>
      <sheetName val="QD_cua_HDQT_(2)28"/>
      <sheetName val="CV_di_ngoai_tong28"/>
      <sheetName val="CV_di_ngoai_tong_(2)28"/>
      <sheetName val="To_trinh28"/>
      <sheetName val="Giao_nhiem_vu28"/>
      <sheetName val="QDcua_TGD_(2)28"/>
      <sheetName val="Thong_tu28"/>
      <sheetName val="CV_di_trong__tong28"/>
      <sheetName val="nghi_dinh-CP28"/>
      <sheetName val="CV_den_trong_tong28"/>
      <sheetName val="KHVt_28"/>
      <sheetName val="KHVt_XL28"/>
      <sheetName val="KHVt_XLT428"/>
      <sheetName val="T_K_H_T_T528"/>
      <sheetName val="T_K_T728"/>
      <sheetName val="TK_T628"/>
      <sheetName val="T_K_T528"/>
      <sheetName val="Bang_thong_ke_hang_ton28"/>
      <sheetName val="thong_ke_28"/>
      <sheetName val="T_KT0428"/>
      <sheetName val="lapdat_TB_28"/>
      <sheetName val="TNghiªm_TB_28"/>
      <sheetName val="VËt_liÖu28"/>
      <sheetName val="Lap_®at_®iÖn28"/>
      <sheetName val="TNghiÖm_VL28"/>
      <sheetName val="th_28"/>
      <sheetName val="tien_luong28"/>
      <sheetName val="142201-T1_28"/>
      <sheetName val="142201-T2-th_28"/>
      <sheetName val="142201-T3-th_28"/>
      <sheetName val="142201-T4-th__28"/>
      <sheetName val="Thep_be28"/>
      <sheetName val="Thep_than28"/>
      <sheetName val="Thep_xa_mu28"/>
      <sheetName val="Kluong_phu28"/>
      <sheetName val="Lan_can28"/>
      <sheetName val="Ho_lan28"/>
      <sheetName val="Coc_tieu28"/>
      <sheetName val="Bien_bao28"/>
      <sheetName val="Op_mai_27428"/>
      <sheetName val="Op_mai_27528"/>
      <sheetName val="Op_mai_27628"/>
      <sheetName val="Op_mai_27728"/>
      <sheetName val="Op_mai_27828"/>
      <sheetName val="Op_mai_27928"/>
      <sheetName val="Op_mai_28028"/>
      <sheetName val="Op_mai_28128"/>
      <sheetName val="Op_mai_28228"/>
      <sheetName val="Op_mai_28328"/>
      <sheetName val="Op_mai_28428"/>
      <sheetName val="Op_mai28"/>
      <sheetName val="Km274_-_Km27528"/>
      <sheetName val="Km275_-_Km27628"/>
      <sheetName val="Km276_-_Km27728"/>
      <sheetName val="Km277_-_Km278_28"/>
      <sheetName val="Km278_-_Km27928"/>
      <sheetName val="Km279_-_Km28028"/>
      <sheetName val="Km280_-_Km28128"/>
      <sheetName val="Km281_-_Km28228"/>
      <sheetName val="Km282_-_Km28328"/>
      <sheetName val="Km283_-_Km28428"/>
      <sheetName val="Km284_-_Km28528"/>
      <sheetName val="Tong_hop_Matduong28"/>
      <sheetName val="Cong_D7528"/>
      <sheetName val="Cong_D10028"/>
      <sheetName val="Cong_D15028"/>
      <sheetName val="Cong_2D15028"/>
      <sheetName val="Cong_ban_0,7x0,728"/>
      <sheetName val="Cong_ban_0,8x0,828"/>
      <sheetName val="Cong_ban_1x128"/>
      <sheetName val="Cong_ban_1x1,228"/>
      <sheetName val="Cong_ban_1,5x1,528"/>
      <sheetName val="Cong_ban_2x1,528"/>
      <sheetName val="Cong_ban_2x228"/>
      <sheetName val="Tong_hop28"/>
      <sheetName val="Tong_hop_(2)28"/>
      <sheetName val="Cong_cu28"/>
      <sheetName val="Cot_thep28"/>
      <sheetName val="Cong_tron_D7528"/>
      <sheetName val="Cong_tron_D10028"/>
      <sheetName val="Cong_tron_D15028"/>
      <sheetName val="Cong_tron_2D15028"/>
      <sheetName val="Cong_ban_1,0x1,028"/>
      <sheetName val="Cong_ban_1,0x1,228"/>
      <sheetName val="Cong_hop_1,5x1,528"/>
      <sheetName val="Cong_hop_2,0x1,528"/>
      <sheetName val="Cong_hop_2,0x2,028"/>
      <sheetName val="TK_11228"/>
      <sheetName val="TK_13128"/>
      <sheetName val="TK_14128"/>
      <sheetName val="TK_15328"/>
      <sheetName val="TK_21128"/>
      <sheetName val="TK_24228"/>
      <sheetName val="TK_33428"/>
      <sheetName val="TK_51128"/>
      <sheetName val="TK_51528"/>
      <sheetName val="TK_91128"/>
      <sheetName val="KQKD02-2_(2)28"/>
      <sheetName val="KQKD-2_(2)28"/>
      <sheetName val="KQKD_thu200428"/>
      <sheetName val="_t528"/>
      <sheetName val="t_428"/>
      <sheetName val="_t3_28"/>
      <sheetName val="_TH33128"/>
      <sheetName val="_Minh_ha28"/>
      <sheetName val="_Ha_Tay28"/>
      <sheetName val="_Vinhphuc28"/>
      <sheetName val="_Nbinh28"/>
      <sheetName val="_QVinh28"/>
      <sheetName val="_TW128"/>
      <sheetName val="DOANH_SO28"/>
      <sheetName val="BD-SINH_VIEN28"/>
      <sheetName val="VtuHaTheSauTBABenThuy1_(2)28"/>
      <sheetName val="Song_trai28"/>
      <sheetName val="Dinh+ha_nha28"/>
      <sheetName val="NG_k28"/>
      <sheetName val="T_so_thay_doi28"/>
      <sheetName val="b_THchitietDZCT28"/>
      <sheetName val="b_THchitietTBA28"/>
      <sheetName val="Khao_sat28"/>
      <sheetName val="TT_khao_sat28"/>
      <sheetName val="thkl_(2)28"/>
      <sheetName val="long_tec28"/>
      <sheetName val="phan_tich_DG28"/>
      <sheetName val="gia_vat_lieu28"/>
      <sheetName val="gia_xe_may28"/>
      <sheetName val="gia_nhan_cong28"/>
      <sheetName val="CDSL_(2)28"/>
      <sheetName val="F_ThanhTri28"/>
      <sheetName val="F_Gialam28"/>
      <sheetName val="TH_dam28"/>
      <sheetName val="SX_dam28"/>
      <sheetName val="LD_dam28"/>
      <sheetName val="Bang_gia_VL28"/>
      <sheetName val="Gia_NC28"/>
      <sheetName val="Gia_may28"/>
      <sheetName val="Trich_Ngang28"/>
      <sheetName val="Danh_sach_Rieng28"/>
      <sheetName val="Dia_Diem_Thuc_Tap28"/>
      <sheetName val="De_Tai_Thuc_Tap28"/>
      <sheetName val="Dancau-Q_Ninh28"/>
      <sheetName val="BaTrieu-L_son28"/>
      <sheetName val="K249_K9828"/>
      <sheetName val="K249_K98_(2)28"/>
      <sheetName val="K251_K9828"/>
      <sheetName val="K251_SBase28"/>
      <sheetName val="K251_AC28"/>
      <sheetName val="K252_K9828"/>
      <sheetName val="K252_SBase28"/>
      <sheetName val="K252_AC28"/>
      <sheetName val="K253_K9828"/>
      <sheetName val="K253_Subbase28"/>
      <sheetName val="K253_Base_28"/>
      <sheetName val="K253_SBase28"/>
      <sheetName val="K253_AC28"/>
      <sheetName val="K255_SBase28"/>
      <sheetName val="K259_K9828"/>
      <sheetName val="K259_Subbase28"/>
      <sheetName val="K259_Base_28"/>
      <sheetName val="K259_AC28"/>
      <sheetName val="K260_K9828"/>
      <sheetName val="K260_Subbase28"/>
      <sheetName val="K260_Base28"/>
      <sheetName val="K260_AC28"/>
      <sheetName val="K261_K9828"/>
      <sheetName val="K261_Base28"/>
      <sheetName val="K261_AC28"/>
      <sheetName val="HHVt_28"/>
      <sheetName val="Tay_ninh28"/>
      <sheetName val="A_Duc28"/>
      <sheetName val="giai_thich28"/>
      <sheetName val="DT_-_Ro28"/>
      <sheetName val="TH_-_Ro_28"/>
      <sheetName val="GDT_-_Ro28"/>
      <sheetName val="DT_-_TB28"/>
      <sheetName val="TH_-_TB28"/>
      <sheetName val="GDT_-_TB28"/>
      <sheetName val="DT_-_NT28"/>
      <sheetName val="TH_-_NT28"/>
      <sheetName val="GDT_-_NT28"/>
      <sheetName val="SCT_Cong_trinh28"/>
      <sheetName val="06-2003_(2)28"/>
      <sheetName val="CDPS_6tc28"/>
      <sheetName val="SCT_Nha_thau28"/>
      <sheetName val="socai2003_(6tc)dp28"/>
      <sheetName val="socai2003_(6tc)28"/>
      <sheetName val="CDPS_6tc_(2)28"/>
      <sheetName val="TH_du_toan_28"/>
      <sheetName val="Du_toan_28"/>
      <sheetName val="C_Tinh28"/>
      <sheetName val="CT_0327"/>
      <sheetName val="TH_0327"/>
      <sheetName val="Don_gia_CPM28"/>
      <sheetName val="Tong_Thieu_HD_cac_CT-200128"/>
      <sheetName val="VL_thieu_HD_-_200128"/>
      <sheetName val="Tong_thieu_HD_cac_CT_-_200228"/>
      <sheetName val="Lan_trai28"/>
      <sheetName val="Van_chuyen28"/>
      <sheetName val="HDong_VC28"/>
      <sheetName val="ThieuHD_nam_200128"/>
      <sheetName val="Bang_TH28"/>
      <sheetName val="Tong_Chinh28"/>
      <sheetName val="So_sanh28"/>
      <sheetName val="Xaylap_28"/>
      <sheetName val="Nhan_cong28"/>
      <sheetName val="_KQTH_quy_hoach_13527"/>
      <sheetName val="Bao_cao_KQTH_quy_hoach_13527"/>
      <sheetName val="Co~g_hop_1,5x1,528"/>
      <sheetName val="Tong_hop_xuat_kho_nvl27"/>
      <sheetName val="Xuat_kho27"/>
      <sheetName val="Tong_hop_so_lieu_tai_nhap_kho27"/>
      <sheetName val="tai_nhap_kho27"/>
      <sheetName val="Nhap_kho27"/>
      <sheetName val="Tong_ket_nhap_kho27"/>
      <sheetName val="Tong_ket27"/>
      <sheetName val="cac_ma_can_huy27"/>
      <sheetName val="Hang_hong27"/>
      <sheetName val="Tham_khao27"/>
      <sheetName val="hang_khong_co_packing27"/>
      <sheetName val="GIA_NUOC28"/>
      <sheetName val="GIA_DIEN_THOAI28"/>
      <sheetName val="GIA_DIEN28"/>
      <sheetName val="chiet_tinh_XD28"/>
      <sheetName val="Triet_T28"/>
      <sheetName val="Phan_tich_gia28"/>
      <sheetName val="pHAN_CONG28"/>
      <sheetName val="GIA_XD28"/>
      <sheetName val="Coc_628"/>
      <sheetName val="Deo_nai28"/>
      <sheetName val="CKD_than28"/>
      <sheetName val="CTT_Thong_nhat28"/>
      <sheetName val="CTT_Nui_beo28"/>
      <sheetName val="CTT_cao_son28"/>
      <sheetName val="CTT_Khe_cham28"/>
      <sheetName val="XNxlva_sxthanKCII28"/>
      <sheetName val="Cam_Y_ut_KC28"/>
      <sheetName val="CTxay_lap_mo_CP28"/>
      <sheetName val="CTdo_luong_GDSP28"/>
      <sheetName val="Dong_bac28"/>
      <sheetName val="Cac_cang_UT_mua_than_Dong_bac28"/>
      <sheetName val="cua_hang_vtu28"/>
      <sheetName val="Khach_hang_le_28"/>
      <sheetName val="nhat_ky_528"/>
      <sheetName val="cac_cong_ty_van_tai28"/>
      <sheetName val="[IBASE2_XLSѝTNHNoi28"/>
      <sheetName val="Thang_427"/>
      <sheetName val="BC_TH_CK_(2)28"/>
      <sheetName val="BC_TH_CK28"/>
      <sheetName val="BC6tT19_food28"/>
      <sheetName val="BC6tT18_-_Food28"/>
      <sheetName val="BCCK_428"/>
      <sheetName val="BCFood-_T1628"/>
      <sheetName val="BCFood-_T1528"/>
      <sheetName val="BCFood-_T1428"/>
      <sheetName val="BCFood-_T1328"/>
      <sheetName val="TH_CK228"/>
      <sheetName val="BC6tT52_(3)28"/>
      <sheetName val="BC6tT52_(2)28"/>
      <sheetName val="TCK_1228"/>
      <sheetName val="Tong_CK28"/>
      <sheetName val="T03_-_0328"/>
      <sheetName val="THL_T0328"/>
      <sheetName val="TTBC_T0328"/>
      <sheetName val="Luong_noi_Bo_-_T328"/>
      <sheetName val="Tong_hop_-_T328"/>
      <sheetName val="Thuong_Quy_328"/>
      <sheetName val="Phu_cap_trach_nhiem28"/>
      <sheetName val="Co_quan_TCT26"/>
      <sheetName val="BOT_(PA_chon)26"/>
      <sheetName val="Yaly_&amp;_Ri_Ninh26"/>
      <sheetName val="Thuy_dien_Na_Loi26"/>
      <sheetName val="bang_so_sanh_tong_hop26"/>
      <sheetName val="bang_so_sanh_tong_hop_(ty_le)26"/>
      <sheetName val="thu_nhap_binh_quan_(2)26"/>
      <sheetName val="dang_huong26"/>
      <sheetName val="phuong_an_126"/>
      <sheetName val="phuong_an_1_(2)26"/>
      <sheetName val="phuong_an226"/>
      <sheetName val="tong_hop_BQ26"/>
      <sheetName val="tong_hop_BQ-126"/>
      <sheetName val="phuong_an_chon26"/>
      <sheetName val="bang_so_sanh_tong_hop_(_PA_ch25"/>
      <sheetName val="dang_ap_dung25"/>
      <sheetName val="bang_tong_hop_(dang_huong)25"/>
      <sheetName val="THT_nam_0425"/>
      <sheetName val="CV_di_trong__dong26"/>
      <sheetName val="ql_(2)25"/>
      <sheetName val="Heso_3-2004_(3)25"/>
      <sheetName val="Luong_(2)25"/>
      <sheetName val="heso_T325"/>
      <sheetName val="heso_T425"/>
      <sheetName val="heso_T525"/>
      <sheetName val="Heso_T625"/>
      <sheetName val="Heso_T725"/>
      <sheetName val="Heso_T825"/>
      <sheetName val="Heso_T925"/>
      <sheetName val="Heso_2-200425"/>
      <sheetName val="Heso_3-200425"/>
      <sheetName val="Heso_3-2004_(2)25"/>
      <sheetName val="tô_rôiDY25"/>
      <sheetName val="Nhap_lieu26"/>
      <sheetName val="Tien_dien25"/>
      <sheetName val="Thue_GTGT25"/>
      <sheetName val="bcth_05-0425"/>
      <sheetName val="baocao_05-0425"/>
      <sheetName val="nhan_su25"/>
      <sheetName val="luong_cty25"/>
      <sheetName val="TK__TK25"/>
      <sheetName val="THANG7_25"/>
      <sheetName val="THANG_1125"/>
      <sheetName val="THANG_1225"/>
      <sheetName val="Tuan_1_0113"/>
      <sheetName val="Tuan_3_01_13"/>
      <sheetName val="Tuan_5_06_13"/>
      <sheetName val="Tuan_6_06__13"/>
      <sheetName val="Tuan_7_06_13"/>
      <sheetName val="Tuan_7_06__(2)13"/>
      <sheetName val="Tuan10,06_13"/>
      <sheetName val="Tuan11,06__13"/>
      <sheetName val="Bao_cao_DD_31_3_0613"/>
      <sheetName val="Bao_cao_DD_30_4_0613"/>
      <sheetName val="Bao_cao_DD_31_5_06_13"/>
      <sheetName val="Bao_cao_Quy_I-0613"/>
      <sheetName val="Bao_cao_DD_30_6_0613"/>
      <sheetName val="Bao_cao_DD_31_7_0613"/>
      <sheetName val="Cong_ban_11yx1,213"/>
      <sheetName val="Luu_goc25"/>
      <sheetName val="km22+93_86-km22+121_8625"/>
      <sheetName val="km22+177_14-km22+205_6425"/>
      <sheetName val="Bang_20-2525"/>
      <sheetName val="km22+267_96-km22+283_9625"/>
      <sheetName val="km22+304_31-km22+344_3125"/>
      <sheetName val="km22+460_92-km22+614_5725"/>
      <sheetName val="km22+671_78-km22+713_3225"/>
      <sheetName val="Dinh_ha_nha25"/>
      <sheetName val="_tuanM25"/>
      <sheetName val="[IBASE2_XLS_Tong_hop_Matduong25"/>
      <sheetName val="THU_T1225"/>
      <sheetName val="CHI_T1225"/>
      <sheetName val="THU_T1125"/>
      <sheetName val="CHI_T1125"/>
      <sheetName val="THU_T1025"/>
      <sheetName val="CHI_T1025"/>
      <sheetName val="THU_T925"/>
      <sheetName val="CHI_T925"/>
      <sheetName val="THU_T825"/>
      <sheetName val="CHI_T825"/>
      <sheetName val="BC§_200125"/>
      <sheetName val="BBC§_200225"/>
      <sheetName val="TSC§_200125"/>
      <sheetName val="TSc®_200225"/>
      <sheetName val="BaTrieu-L_con25"/>
      <sheetName val="EDT_-_Ro25"/>
      <sheetName val="KHVô_XL25"/>
      <sheetName val="TD_khao_sat25"/>
      <sheetName val="chi_phi_cap_tien25"/>
      <sheetName val="[IBASE2_XLS}BHXH25"/>
      <sheetName val="chuong_phu25"/>
      <sheetName val="phuong_aL_125"/>
      <sheetName val="[IBASE2_XLS䁝BC6tT1725"/>
      <sheetName val="Khac_DP25"/>
      <sheetName val="Khoi_than_25"/>
      <sheetName val="De_Tai_Vhuc_Tap25"/>
      <sheetName val="02_125"/>
      <sheetName val="2_125"/>
      <sheetName val="2_325"/>
      <sheetName val="02_325"/>
      <sheetName val="B_0125"/>
      <sheetName val="B_0325"/>
      <sheetName val="D_1325"/>
      <sheetName val="det_VP25"/>
      <sheetName val="det_hn25"/>
      <sheetName val="chi_Hieu25"/>
      <sheetName val="c_thoa25"/>
      <sheetName val="A_thanh_-_DL25"/>
      <sheetName val="A_Tuyen25"/>
      <sheetName val="A_Tien_-laphu25"/>
      <sheetName val="A_Thang-_laphu25"/>
      <sheetName val="A_Dong25"/>
      <sheetName val="27-7_NB25"/>
      <sheetName val="xn_525"/>
      <sheetName val="PKD_X2025"/>
      <sheetName val="da_giay_SG25"/>
      <sheetName val="dagiay_XK25"/>
      <sheetName val="DK_Dong_xuan25"/>
      <sheetName val="chu_Ton25"/>
      <sheetName val="minh_tri25"/>
      <sheetName val="viet_huy25"/>
      <sheetName val="thanh_ha25"/>
      <sheetName val="O_Su25"/>
      <sheetName val="A_Ha-DL25"/>
      <sheetName val="Vinh_oanh25"/>
      <sheetName val="chi_Thuy25"/>
      <sheetName val="chu_Hong25"/>
      <sheetName val="thuy-_may25"/>
      <sheetName val="vu_yen25"/>
      <sheetName val="[IBASE2_XLS?TNHNoi25"/>
      <sheetName val="HD_CTrinh125"/>
      <sheetName val="HD_benA25"/>
      <sheetName val="Theodoi_HD25"/>
      <sheetName val="Theodoi_HD_(2)25"/>
      <sheetName val="_GT_CPhi_tung_dot25"/>
      <sheetName val="Cong_hop_2,0ࡸ2,025"/>
      <sheetName val="OPERATING_HEAD25"/>
      <sheetName val="31_12_0125"/>
      <sheetName val="Sat_tron25"/>
      <sheetName val="Bang_can_doi_25"/>
      <sheetName val="Tinh_hinh_cat_lang25"/>
      <sheetName val="Tinh_hinh_SX_phu25"/>
      <sheetName val="Tinh_hinh_do_xop25"/>
      <sheetName val="THU_T725"/>
      <sheetName val="CHI_T725"/>
      <sheetName val="THU_T625"/>
      <sheetName val="CHI_T625"/>
      <sheetName val="THU_T525"/>
      <sheetName val="CHI_T525"/>
      <sheetName val="THU_T425"/>
      <sheetName val="CHI_T425"/>
      <sheetName val="THU_T325"/>
      <sheetName val="CHI_T325"/>
      <sheetName val="THU_T225"/>
      <sheetName val="CHI_T225"/>
      <sheetName val="THU_T145"/>
      <sheetName val="CHI_T145"/>
      <sheetName val="_IBASE2_XLSѝTNHNoi26"/>
      <sheetName val="_IBASE2_XLS䁝BC6tT1725"/>
      <sheetName val="_IBASE2_XLS}BHXH25"/>
      <sheetName val="_IBASE2_XLS_Tong_hop_Matduong25"/>
      <sheetName val="BTHDT_TBA_25"/>
      <sheetName val="(9_30)_IP25"/>
      <sheetName val="CVden_ngoai_TCT_(1)29"/>
      <sheetName val="CV_den_ngoai_TCT_(2)29"/>
      <sheetName val="CV_den_ngoai_TCT_(3)29"/>
      <sheetName val="QDcua_TGD29"/>
      <sheetName val="QD_cua_HDQT29"/>
      <sheetName val="QD_cua_HDQT_(2)29"/>
      <sheetName val="CV_di_ngoai_tong29"/>
      <sheetName val="CV_di_ngoai_tong_(2)29"/>
      <sheetName val="To_trinh29"/>
      <sheetName val="Giao_nhiem_vu29"/>
      <sheetName val="QDcua_TGD_(2)29"/>
      <sheetName val="Thong_tu29"/>
      <sheetName val="CV_di_trong__tong29"/>
      <sheetName val="nghi_dinh-CP29"/>
      <sheetName val="CV_den_trong_tong29"/>
      <sheetName val="KHVt_29"/>
      <sheetName val="KHVt_XL29"/>
      <sheetName val="KHVt_XLT429"/>
      <sheetName val="T_K_H_T_T529"/>
      <sheetName val="T_K_T729"/>
      <sheetName val="TK_T629"/>
      <sheetName val="T_K_T529"/>
      <sheetName val="Bang_thong_ke_hang_ton29"/>
      <sheetName val="thong_ke_29"/>
      <sheetName val="T_KT0429"/>
      <sheetName val="lapdat_TB_29"/>
      <sheetName val="TNghiªm_TB_29"/>
      <sheetName val="VËt_liÖu29"/>
      <sheetName val="Lap_®at_®iÖn29"/>
      <sheetName val="TNghiÖm_VL29"/>
      <sheetName val="th_29"/>
      <sheetName val="tien_luong29"/>
      <sheetName val="142201-T1_29"/>
      <sheetName val="142201-T2-th_29"/>
      <sheetName val="142201-T3-th_29"/>
      <sheetName val="142201-T4-th__29"/>
      <sheetName val="Thep_be29"/>
      <sheetName val="Thep_than29"/>
      <sheetName val="Thep_xa_mu29"/>
      <sheetName val="Kluong_phu29"/>
      <sheetName val="Lan_can29"/>
      <sheetName val="Ho_lan29"/>
      <sheetName val="Coc_tieu29"/>
      <sheetName val="Bien_bao29"/>
      <sheetName val="Op_mai_27429"/>
      <sheetName val="Op_mai_27529"/>
      <sheetName val="Op_mai_27629"/>
      <sheetName val="Op_mai_27729"/>
      <sheetName val="Op_mai_27829"/>
      <sheetName val="Op_mai_27929"/>
      <sheetName val="Op_mai_28029"/>
      <sheetName val="Op_mai_28129"/>
      <sheetName val="Op_mai_28229"/>
      <sheetName val="Op_mai_28329"/>
      <sheetName val="Op_mai_28429"/>
      <sheetName val="Op_mai29"/>
      <sheetName val="Km274_-_Km27529"/>
      <sheetName val="Km275_-_Km27629"/>
      <sheetName val="Km276_-_Km27729"/>
      <sheetName val="Km277_-_Km278_29"/>
      <sheetName val="Km278_-_Km27929"/>
      <sheetName val="Km279_-_Km28029"/>
      <sheetName val="Km280_-_Km28129"/>
      <sheetName val="Km281_-_Km28229"/>
      <sheetName val="Km282_-_Km28329"/>
      <sheetName val="Km283_-_Km28429"/>
      <sheetName val="Km284_-_Km28529"/>
      <sheetName val="Tong_hop_Matduong29"/>
      <sheetName val="Cong_D7529"/>
      <sheetName val="Cong_D10029"/>
      <sheetName val="Cong_D15029"/>
      <sheetName val="Cong_2D15029"/>
      <sheetName val="Cong_ban_0,7x0,729"/>
      <sheetName val="Cong_ban_0,8x0,829"/>
      <sheetName val="Cong_ban_1x129"/>
      <sheetName val="Cong_ban_1x1,229"/>
      <sheetName val="Cong_ban_1,5x1,529"/>
      <sheetName val="Cong_ban_2x1,529"/>
      <sheetName val="Cong_ban_2x229"/>
      <sheetName val="Tong_hop29"/>
      <sheetName val="Tong_hop_(2)29"/>
      <sheetName val="Cong_cu29"/>
      <sheetName val="Cot_thep29"/>
      <sheetName val="Cong_tron_D7529"/>
      <sheetName val="Cong_tron_D10029"/>
      <sheetName val="Cong_tron_D15029"/>
      <sheetName val="Cong_tron_2D15029"/>
      <sheetName val="Cong_ban_1,0x1,029"/>
      <sheetName val="Cong_ban_1,0x1,229"/>
      <sheetName val="Cong_hop_1,5x1,529"/>
      <sheetName val="Cong_hop_2,0x1,529"/>
      <sheetName val="Cong_hop_2,0x2,029"/>
      <sheetName val="TK_11229"/>
      <sheetName val="TK_13129"/>
      <sheetName val="TK_14129"/>
      <sheetName val="TK_15329"/>
      <sheetName val="TK_21129"/>
      <sheetName val="TK_24229"/>
      <sheetName val="TK_33429"/>
      <sheetName val="TK_51129"/>
      <sheetName val="TK_51529"/>
      <sheetName val="TK_91129"/>
      <sheetName val="KQKD02-2_(2)29"/>
      <sheetName val="KQKD-2_(2)29"/>
      <sheetName val="KQKD_thu200429"/>
      <sheetName val="_t529"/>
      <sheetName val="t_429"/>
      <sheetName val="_t3_29"/>
      <sheetName val="_TH33129"/>
      <sheetName val="_Minh_ha29"/>
      <sheetName val="_Ha_Tay29"/>
      <sheetName val="_Vinhphuc29"/>
      <sheetName val="_Nbinh29"/>
      <sheetName val="_QVinh29"/>
      <sheetName val="_TW129"/>
      <sheetName val="DOANH_SO29"/>
      <sheetName val="BD-SINH_VIEN29"/>
      <sheetName val="VtuHaTheSauTBABenThuy1_(2)29"/>
      <sheetName val="Song_trai29"/>
      <sheetName val="Dinh+ha_nha29"/>
      <sheetName val="NG_k29"/>
      <sheetName val="T_so_thay_doi29"/>
      <sheetName val="b_THchitietDZCT29"/>
      <sheetName val="b_THchitietTBA29"/>
      <sheetName val="Khao_sat29"/>
      <sheetName val="TT_khao_sat29"/>
      <sheetName val="thkl_(2)29"/>
      <sheetName val="long_tec29"/>
      <sheetName val="phan_tich_DG29"/>
      <sheetName val="gia_vat_lieu29"/>
      <sheetName val="gia_xe_may29"/>
      <sheetName val="gia_nhan_cong29"/>
      <sheetName val="CDSL_(2)29"/>
      <sheetName val="F_ThanhTri29"/>
      <sheetName val="F_Gialam29"/>
      <sheetName val="TH_dam29"/>
      <sheetName val="SX_dam29"/>
      <sheetName val="LD_dam29"/>
      <sheetName val="Bang_gia_VL29"/>
      <sheetName val="Gia_NC29"/>
      <sheetName val="Gia_may29"/>
      <sheetName val="Trich_Ngang29"/>
      <sheetName val="Danh_sach_Rieng29"/>
      <sheetName val="Dia_Diem_Thuc_Tap29"/>
      <sheetName val="De_Tai_Thuc_Tap29"/>
      <sheetName val="Dancau-Q_Ninh29"/>
      <sheetName val="BaTrieu-L_son29"/>
      <sheetName val="K249_K9829"/>
      <sheetName val="K249_K98_(2)29"/>
      <sheetName val="K251_K9829"/>
      <sheetName val="K251_SBase29"/>
      <sheetName val="K251_AC29"/>
      <sheetName val="K252_K9829"/>
      <sheetName val="K252_SBase29"/>
      <sheetName val="K252_AC29"/>
      <sheetName val="K253_K9829"/>
      <sheetName val="K253_Subbase29"/>
      <sheetName val="K253_Base_29"/>
      <sheetName val="K253_SBase29"/>
      <sheetName val="K253_AC29"/>
      <sheetName val="K255_SBase29"/>
      <sheetName val="K259_K9829"/>
      <sheetName val="K259_Subbase29"/>
      <sheetName val="K259_Base_29"/>
      <sheetName val="K259_AC29"/>
      <sheetName val="K260_K9829"/>
      <sheetName val="K260_Subbase29"/>
      <sheetName val="K260_Base29"/>
      <sheetName val="K260_AC29"/>
      <sheetName val="K261_K9829"/>
      <sheetName val="K261_Base29"/>
      <sheetName val="K261_AC29"/>
      <sheetName val="HHVt_29"/>
      <sheetName val="Tay_ninh29"/>
      <sheetName val="A_Duc29"/>
      <sheetName val="giai_thich29"/>
      <sheetName val="DT_-_Ro29"/>
      <sheetName val="TH_-_Ro_29"/>
      <sheetName val="GDT_-_Ro29"/>
      <sheetName val="DT_-_TB29"/>
      <sheetName val="TH_-_TB29"/>
      <sheetName val="GDT_-_TB29"/>
      <sheetName val="DT_-_NT29"/>
      <sheetName val="TH_-_NT29"/>
      <sheetName val="GDT_-_NT29"/>
      <sheetName val="SCT_Cong_trinh29"/>
      <sheetName val="06-2003_(2)29"/>
      <sheetName val="CDPS_6tc29"/>
      <sheetName val="SCT_Nha_thau29"/>
      <sheetName val="socai2003_(6tc)dp29"/>
      <sheetName val="socai2003_(6tc)29"/>
      <sheetName val="CDPS_6tc_(2)29"/>
      <sheetName val="TH_du_toan_29"/>
      <sheetName val="Du_toan_29"/>
      <sheetName val="C_Tinh29"/>
      <sheetName val="CT_0328"/>
      <sheetName val="TH_0328"/>
      <sheetName val="Don_gia_CPM29"/>
      <sheetName val="Tong_Thieu_HD_cac_CT-200129"/>
      <sheetName val="VL_thieu_HD_-_200129"/>
      <sheetName val="Tong_thieu_HD_cac_CT_-_200229"/>
      <sheetName val="Lan_trai29"/>
      <sheetName val="Van_chuyen29"/>
      <sheetName val="HDong_VC29"/>
      <sheetName val="ThieuHD_nam_200129"/>
      <sheetName val="Bang_TH29"/>
      <sheetName val="Tong_Chinh29"/>
      <sheetName val="So_sanh29"/>
      <sheetName val="Xaylap_29"/>
      <sheetName val="Nhan_cong29"/>
      <sheetName val="_KQTH_quy_hoach_13528"/>
      <sheetName val="Bao_cao_KQTH_quy_hoach_13528"/>
      <sheetName val="Co~g_hop_1,5x1,529"/>
      <sheetName val="Tong_hop_xuat_kho_nvl28"/>
      <sheetName val="Xuat_kho28"/>
      <sheetName val="Tong_hop_so_lieu_tai_nhap_kho28"/>
      <sheetName val="tai_nhap_kho28"/>
      <sheetName val="Nhap_kho28"/>
      <sheetName val="Tong_ket_nhap_kho28"/>
      <sheetName val="Tong_ket28"/>
      <sheetName val="cac_ma_can_huy28"/>
      <sheetName val="Hang_hong28"/>
      <sheetName val="Tham_khao28"/>
      <sheetName val="hang_khong_co_packing28"/>
      <sheetName val="GIA_NUOC29"/>
      <sheetName val="GIA_DIEN_THOAI29"/>
      <sheetName val="GIA_DIEN29"/>
      <sheetName val="chiet_tinh_XD29"/>
      <sheetName val="Triet_T29"/>
      <sheetName val="Phan_tich_gia29"/>
      <sheetName val="pHAN_CONG29"/>
      <sheetName val="GIA_XD29"/>
      <sheetName val="Coc_629"/>
      <sheetName val="Deo_nai29"/>
      <sheetName val="CKD_than29"/>
      <sheetName val="CTT_Thong_nhat29"/>
      <sheetName val="CTT_Nui_beo29"/>
      <sheetName val="CTT_cao_son29"/>
      <sheetName val="CTT_Khe_cham29"/>
      <sheetName val="XNxlva_sxthanKCII29"/>
      <sheetName val="Cam_Y_ut_KC29"/>
      <sheetName val="CTxay_lap_mo_CP29"/>
      <sheetName val="CTdo_luong_GDSP29"/>
      <sheetName val="Dong_bac29"/>
      <sheetName val="Cac_cang_UT_mua_than_Dong_bac29"/>
      <sheetName val="cua_hang_vtu29"/>
      <sheetName val="Khach_hang_le_29"/>
      <sheetName val="nhat_ky_529"/>
      <sheetName val="cac_cong_ty_van_tai29"/>
      <sheetName val="[IBASE2_XLSѝTNHNoi29"/>
      <sheetName val="Thang_428"/>
      <sheetName val="BC_TH_CK_(2)29"/>
      <sheetName val="BC_TH_CK29"/>
      <sheetName val="BC6tT19_food29"/>
      <sheetName val="BC6tT18_-_Food29"/>
      <sheetName val="BCCK_429"/>
      <sheetName val="BCFood-_T1629"/>
      <sheetName val="BCFood-_T1529"/>
      <sheetName val="BCFood-_T1429"/>
      <sheetName val="BCFood-_T1329"/>
      <sheetName val="TH_CK229"/>
      <sheetName val="BC6tT52_(3)29"/>
      <sheetName val="BC6tT52_(2)29"/>
      <sheetName val="TCK_1229"/>
      <sheetName val="Tong_CK29"/>
      <sheetName val="T03_-_0329"/>
      <sheetName val="THL_T0329"/>
      <sheetName val="TTBC_T0329"/>
      <sheetName val="Luong_noi_Bo_-_T329"/>
      <sheetName val="Tong_hop_-_T329"/>
      <sheetName val="Thuong_Quy_329"/>
      <sheetName val="Phu_cap_trach_nhiem29"/>
      <sheetName val="Co_quan_TCT27"/>
      <sheetName val="BOT_(PA_chon)27"/>
      <sheetName val="Yaly_&amp;_Ri_Ninh27"/>
      <sheetName val="Thuy_dien_Na_Loi27"/>
      <sheetName val="bang_so_sanh_tong_hop27"/>
      <sheetName val="bang_so_sanh_tong_hop_(ty_le)27"/>
      <sheetName val="thu_nhap_binh_quan_(2)27"/>
      <sheetName val="dang_huong27"/>
      <sheetName val="phuong_an_127"/>
      <sheetName val="phuong_an_1_(2)27"/>
      <sheetName val="phuong_an227"/>
      <sheetName val="tong_hop_BQ27"/>
      <sheetName val="tong_hop_BQ-127"/>
      <sheetName val="phuong_an_chon27"/>
      <sheetName val="bang_so_sanh_tong_hop_(_PA_ch26"/>
      <sheetName val="dang_ap_dung26"/>
      <sheetName val="bang_tong_hop_(dang_huong)26"/>
      <sheetName val="THT_nam_0426"/>
      <sheetName val="CV_di_trong__dong27"/>
      <sheetName val="ql_(2)26"/>
      <sheetName val="Heso_3-2004_(3)26"/>
      <sheetName val="Luong_(2)26"/>
      <sheetName val="heso_T326"/>
      <sheetName val="heso_T426"/>
      <sheetName val="heso_T526"/>
      <sheetName val="Heso_T626"/>
      <sheetName val="Heso_T726"/>
      <sheetName val="Heso_T826"/>
      <sheetName val="Heso_T926"/>
      <sheetName val="Heso_2-200426"/>
      <sheetName val="Heso_3-200426"/>
      <sheetName val="Heso_3-2004_(2)26"/>
      <sheetName val="tô_rôiDY26"/>
      <sheetName val="Nhap_lieu27"/>
      <sheetName val="Tien_dien26"/>
      <sheetName val="Thue_GTGT26"/>
      <sheetName val="bcth_05-0426"/>
      <sheetName val="baocao_05-0426"/>
      <sheetName val="nhan_su26"/>
      <sheetName val="luong_cty26"/>
      <sheetName val="TK__TK26"/>
      <sheetName val="ESTI_16"/>
      <sheetName val="THANG7_26"/>
      <sheetName val="THANG_1126"/>
      <sheetName val="THANG_1226"/>
      <sheetName val="Tuan_1_0114"/>
      <sheetName val="Tuan_3_01_14"/>
      <sheetName val="Tuan_5_06_14"/>
      <sheetName val="Tuan_6_06__14"/>
      <sheetName val="Tuan_7_06_14"/>
      <sheetName val="Tuan_7_06__(2)14"/>
      <sheetName val="Tuan10,06_14"/>
      <sheetName val="Tuan11,06__14"/>
      <sheetName val="Bao_cao_DD_31_3_0614"/>
      <sheetName val="Bao_cao_DD_30_4_0614"/>
      <sheetName val="Bao_cao_DD_31_5_06_14"/>
      <sheetName val="Bao_cao_Quy_I-0614"/>
      <sheetName val="Bao_cao_DD_30_6_0614"/>
      <sheetName val="Bao_cao_DD_31_7_0614"/>
      <sheetName val="Cong_ban_11yx1,214"/>
      <sheetName val="Luu_goc26"/>
      <sheetName val="km22+93_86-km22+121_8626"/>
      <sheetName val="km22+177_14-km22+205_6426"/>
      <sheetName val="Bang_20-2526"/>
      <sheetName val="km22+267_96-km22+283_9626"/>
      <sheetName val="km22+304_31-km22+344_3126"/>
      <sheetName val="km22+460_92-km22+614_5726"/>
      <sheetName val="km22+671_78-km22+713_3226"/>
      <sheetName val="Dinh_ha_nha26"/>
      <sheetName val="_tuanM26"/>
      <sheetName val="[IBASE2_XLS_Tong_hop_Matduong26"/>
      <sheetName val="THU_T1226"/>
      <sheetName val="CHI_T1226"/>
      <sheetName val="THU_T1126"/>
      <sheetName val="CHI_T1126"/>
      <sheetName val="THU_T1026"/>
      <sheetName val="CHI_T1026"/>
      <sheetName val="THU_T926"/>
      <sheetName val="CHI_T926"/>
      <sheetName val="THU_T826"/>
      <sheetName val="CHI_T826"/>
      <sheetName val="BC§_200126"/>
      <sheetName val="BBC§_200226"/>
      <sheetName val="TSC§_200126"/>
      <sheetName val="TSc®_200226"/>
      <sheetName val="BaTrieu-L_con26"/>
      <sheetName val="EDT_-_Ro26"/>
      <sheetName val="KHVô_XL26"/>
      <sheetName val="TD_khao_sat26"/>
      <sheetName val="chi_phi_cap_tien26"/>
      <sheetName val="[IBASE2_XLS}BHXH26"/>
      <sheetName val="chuong_phu26"/>
      <sheetName val="phuong_aL_126"/>
      <sheetName val="[IBASE2_XLS䁝BC6tT1726"/>
      <sheetName val="Khac_DP26"/>
      <sheetName val="Khoi_than_26"/>
      <sheetName val="De_Tai_Vhuc_Tap26"/>
      <sheetName val="02_126"/>
      <sheetName val="2_126"/>
      <sheetName val="2_326"/>
      <sheetName val="02_326"/>
      <sheetName val="B_0126"/>
      <sheetName val="B_0326"/>
      <sheetName val="D_1326"/>
      <sheetName val="det_VP26"/>
      <sheetName val="det_hn26"/>
      <sheetName val="chi_Hieu26"/>
      <sheetName val="c_thoa26"/>
      <sheetName val="A_thanh_-_DL26"/>
      <sheetName val="A_Tuyen26"/>
      <sheetName val="A_Tien_-laphu26"/>
      <sheetName val="A_Thang-_laphu26"/>
      <sheetName val="A_Dong26"/>
      <sheetName val="27-7_NB26"/>
      <sheetName val="xn_526"/>
      <sheetName val="PKD_X2026"/>
      <sheetName val="da_giay_SG26"/>
      <sheetName val="dagiay_XK26"/>
      <sheetName val="DK_Dong_xuan26"/>
      <sheetName val="chu_Ton26"/>
      <sheetName val="minh_tri26"/>
      <sheetName val="viet_huy26"/>
      <sheetName val="thanh_ha26"/>
      <sheetName val="O_Su26"/>
      <sheetName val="A_Ha-DL26"/>
      <sheetName val="Vinh_oanh26"/>
      <sheetName val="chi_Thuy26"/>
      <sheetName val="chu_Hong26"/>
      <sheetName val="thuy-_may26"/>
      <sheetName val="vu_yen26"/>
      <sheetName val="[IBASE2_XLS?TNHNoi26"/>
      <sheetName val="HD_CTrinh126"/>
      <sheetName val="HD_benA26"/>
      <sheetName val="Theodoi_HD26"/>
      <sheetName val="Theodoi_HD_(2)26"/>
      <sheetName val="_GT_CPhi_tung_dot26"/>
      <sheetName val="Cong_hop_2,0ࡸ2,026"/>
      <sheetName val="OPERATING_HEAD26"/>
      <sheetName val="31_12_0126"/>
      <sheetName val="Sat_tron26"/>
      <sheetName val="Bang_can_doi_26"/>
      <sheetName val="Tinh_hinh_cat_lang26"/>
      <sheetName val="Tinh_hinh_SX_phu26"/>
      <sheetName val="Tinh_hinh_do_xop26"/>
      <sheetName val="VtuHaTheSauTBABenThuy1_Ш2)15"/>
      <sheetName val="K252_K9и15"/>
      <sheetName val="nphuocb_415"/>
      <sheetName val="Cong_tron_D7'16"/>
      <sheetName val="bcth_05-015"/>
      <sheetName val="THU_T726"/>
      <sheetName val="CHI_T726"/>
      <sheetName val="THU_T626"/>
      <sheetName val="CHI_T626"/>
      <sheetName val="THU_T526"/>
      <sheetName val="CHI_T526"/>
      <sheetName val="THU_T426"/>
      <sheetName val="CHI_T426"/>
      <sheetName val="THU_T326"/>
      <sheetName val="CHI_T326"/>
      <sheetName val="THU_T226"/>
      <sheetName val="CHI_T226"/>
      <sheetName val="THU_T146"/>
      <sheetName val="CHI_T146"/>
      <sheetName val="TB_Grouping15"/>
      <sheetName val="Balance_Sheet15"/>
      <sheetName val="CHITIET_VL-NC15"/>
      <sheetName val="DON_GIA15"/>
      <sheetName val="So_lieu15"/>
      <sheetName val="tt_chu_dong15"/>
      <sheetName val="Tinh_j+cvi15"/>
      <sheetName val="Tinh_MoP15"/>
      <sheetName val="giai_he_215"/>
      <sheetName val="ct_luong_15"/>
      <sheetName val="Nhap_6T15"/>
      <sheetName val="Ranking_data15"/>
      <sheetName val="GDMN_115"/>
      <sheetName val="May_khau15"/>
      <sheetName val="PXKT6Via_1115"/>
      <sheetName val="PXKTLo_Thien_V_14A15"/>
      <sheetName val="V14_phu15"/>
      <sheetName val="Via_16_Lthien15"/>
      <sheetName val="lapdap_TB_14"/>
      <sheetName val="_IBASE2_XLSѝTNHNoi27"/>
      <sheetName val="_IBASE2_XLS䁝BC6tT1726"/>
      <sheetName val="_IBASE2_XLS}BHXH26"/>
      <sheetName val="_IBASE2_XLS_Tong_hop_Matduong26"/>
      <sheetName val="BTHDT_TBA_26"/>
      <sheetName val="(9_30)_IP26"/>
      <sheetName val="2_7416"/>
      <sheetName val="CN-QV_FG16"/>
      <sheetName val="CN-QV_RM16"/>
      <sheetName val="PHAV_R_M16"/>
      <sheetName val="PHAV_F_G16"/>
      <sheetName val="TOA_R_M16"/>
      <sheetName val="TOA_F_G16"/>
      <sheetName val="CVN_R_M16"/>
      <sheetName val="CVN_F_G16"/>
      <sheetName val="DENSO_R_M16"/>
      <sheetName val="DENSO_F_G16"/>
      <sheetName val="SATO_RM16"/>
      <sheetName val="SATO_F_G16"/>
      <sheetName val="Up_to_200214"/>
      <sheetName val="dongia_(2)14"/>
      <sheetName val="THPDMoi__(2)14"/>
      <sheetName val="t-h_HA_THE14"/>
      <sheetName val="CHITIET_VL-NC-TT_-1p14"/>
      <sheetName val="TONG_HOP_VL-NC_TT14"/>
      <sheetName val="TH_XL14"/>
      <sheetName val="TONGKE3p_14"/>
      <sheetName val="CHITIET_VL-NC-TT-3p14"/>
      <sheetName val="KPVC-BD_14"/>
      <sheetName val="Master_schedule14"/>
      <sheetName val="mc_2006_&amp;_0914"/>
      <sheetName val="mc_2006_&amp;_57_&amp;_0914"/>
      <sheetName val="MC3(main)"/>
      <sheetName val="MC1"/>
      <sheetName val="T11,12-2001"/>
      <sheetName val="mvt"/>
      <sheetName val="DINHMUC"/>
      <sheetName val="finishes"/>
      <sheetName val="GENREQ's"/>
      <sheetName val="masonry"/>
      <sheetName val="電気月報（A3)"/>
      <sheetName val="電気料金（A3)"/>
      <sheetName val="table record (2)"/>
      <sheetName val="設備気分(A4)"/>
      <sheetName val="電力日誌（A3)"/>
      <sheetName val="Production Manthly report"/>
      <sheetName val="transportation"/>
      <sheetName val="00000001"/>
      <sheetName val="B-B"/>
      <sheetName val="INDEX"/>
      <sheetName val="Tiến độ  Rev1 (phói hợp)"/>
      <sheetName val="TYPE-B 평균H"/>
      <sheetName val="XXXXXX_x005f_x005f_x005f_x005f_x005f_x005f_x005f_xda24_"/>
      <sheetName val="[IBASE2_XLS뭝êm283-Km284"/>
      <sheetName val="CV_dej_ngoai_TCT_(2)"/>
      <sheetName val="CV_di_ngoai_to_g_(2)"/>
      <sheetName val="So_g_trai"/>
      <sheetName val="heet9"/>
      <sheetName val="De_ai_Thuc_Tap"/>
      <sheetName val="_ngan"/>
      <sheetName val="_loi"/>
      <sheetName val="Material_(2)"/>
      <sheetName val="Bieu_2a"/>
      <sheetName val="Sat_L"/>
      <sheetName val="III_10__Road"/>
      <sheetName val="PHU_LUC2"/>
      <sheetName val="Luong_T2-06"/>
      <sheetName val="luong_T1-06"/>
      <sheetName val="mau_(2)"/>
      <sheetName val="Luong_T_hop_T2+T1-2006"/>
      <sheetName val="luong_T12"/>
      <sheetName val="TK_711"/>
      <sheetName val="TK_632"/>
      <sheetName val="Chi_tiet_511"/>
      <sheetName val="TK_342_(_thue_T_C_)"/>
      <sheetName val="Phat_sinh_2005"/>
      <sheetName val="TK_341vay_dai_han_"/>
      <sheetName val="TK_214"/>
      <sheetName val="TK_212"/>
      <sheetName val="Chi_tiet_TK_211"/>
      <sheetName val="TK_154"/>
      <sheetName val="Chi_tiet_TK_152"/>
      <sheetName val="Can_Doi_TK"/>
      <sheetName val="TK_152"/>
      <sheetName val="Chung_tu_ghi_so_"/>
      <sheetName val="TK_142"/>
      <sheetName val="TK_133"/>
      <sheetName val="Chi_tiet_TK131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Chi_tiet_Mau_03_(_mua_vao_)"/>
      <sheetName val="Mau_so_03"/>
      <sheetName val="Mau_so_04"/>
      <sheetName val="Mau_05"/>
      <sheetName val="De_nghi_giai_dap_ve_thue_"/>
      <sheetName val="the_duc"/>
      <sheetName val="Bao_cao_thong_ke_"/>
      <sheetName val="Phieu_DTra_Van_Tai_(_01_TKe_)"/>
      <sheetName val="IBASE2_XLS"/>
      <sheetName val="So_quy"/>
      <sheetName val="Thang_10"/>
      <sheetName val="Thang_9"/>
      <sheetName val="Thang_8"/>
      <sheetName val="Thang_7"/>
      <sheetName val="Thang_6"/>
      <sheetName val="Thang_5"/>
      <sheetName val="Thang_3"/>
      <sheetName val="Thang_2"/>
      <sheetName val="Thang_1"/>
      <sheetName val="Khau_hao"/>
      <sheetName val="lo_hang_1"/>
      <sheetName val="lo_hang_2"/>
      <sheetName val="Phan_bo_142"/>
      <sheetName val="Xuat_hang"/>
      <sheetName val="Can_doi"/>
      <sheetName val="DTC"/>
      <sheetName val="tai_trong_&amp;_he_so_phan_bo_ngang"/>
      <sheetName val="gioi_thieu"/>
      <sheetName val="CV_di_trůng__tong"/>
      <sheetName val="Du_toan"/>
      <sheetName val="Linh_(2)"/>
      <sheetName val="BC6tT52_("/>
      <sheetName val="Phiếu_luân_chuyển"/>
      <sheetName val="IPC_0______2"/>
      <sheetName val="GIA_TRI-AGC"/>
      <sheetName val="THKL_NC"/>
      <sheetName val="GTKT_NTTD"/>
      <sheetName val="SS_NHÂN_CÔNG"/>
      <sheetName val="KL_NC"/>
      <sheetName val="Tiến_độ__Rev1_(phói_hợp)"/>
      <sheetName val="CONG_TY"/>
      <sheetName val="OFFICE_TOWER"/>
      <sheetName val="KL_HSMT_tinh_thieu"/>
      <sheetName val="Bang_tra"/>
      <sheetName val="CAL_"/>
      <sheetName val="TYPE-B_평균H"/>
      <sheetName val="ELEMENT_SUM"/>
      <sheetName val="pile_and_pile_cap"/>
      <sheetName val="tien_"/>
      <sheetName val="TH07-07-04"/>
      <sheetName val="TH04-08-04"/>
      <sheetName val="TH10-08-04"/>
      <sheetName val="TH03-09-04 "/>
      <sheetName val="TH 20-09-04  "/>
      <sheetName val="TH 05-11-04 "/>
      <sheetName val="TH 20-11-04"/>
      <sheetName val="TH 03-12-04 "/>
      <sheetName val="TH 21-12-04"/>
      <sheetName val="TH 30-12-04"/>
      <sheetName val="TH 17-01-05"/>
      <sheetName val="[IBASE2_XLS뭝êm283-Km2843"/>
      <sheetName val="CV_dej_ngoai_TCT_(2)3"/>
      <sheetName val="CV_di_ngoai_to_g_(2)3"/>
      <sheetName val="So_g_trai3"/>
      <sheetName val="_ngan3"/>
      <sheetName val="_loi3"/>
      <sheetName val="Material_(2)3"/>
      <sheetName val="Bieu_2a3"/>
      <sheetName val="luongt_133"/>
      <sheetName val="LUONG_13"/>
      <sheetName val="LUONG_23"/>
      <sheetName val="LUONG_33"/>
      <sheetName val="Luong_43"/>
      <sheetName val="CTP_43"/>
      <sheetName val="Anca_43"/>
      <sheetName val="THUONG_TET3"/>
      <sheetName val="Sat_L3"/>
      <sheetName val="III_10__Road3"/>
      <sheetName val="PHU_LUC23"/>
      <sheetName val="For_Summary3"/>
      <sheetName val="For_Summary(KG)3"/>
      <sheetName val="PP_Cloth3"/>
      <sheetName val="Mix-PP_Cloth3"/>
      <sheetName val="Material_Price-PP3"/>
      <sheetName val="Hoan_thanh3"/>
      <sheetName val="hoan_th_153"/>
      <sheetName val="Khoach_153"/>
      <sheetName val="HT_223"/>
      <sheetName val="KH_223"/>
      <sheetName val="KH_T83"/>
      <sheetName val="Ht_483"/>
      <sheetName val="Kh_123"/>
      <sheetName val="ht_20-103"/>
      <sheetName val="Kh_6-103"/>
      <sheetName val="KE_PHI3"/>
      <sheetName val="KE_THUE3"/>
      <sheetName val="KE_CHI_PHI3"/>
      <sheetName val="TINH_GIA_THANH3"/>
      <sheetName val="TONG_HOP_KHAU_HAO3"/>
      <sheetName val="TONG_HOP_CHI_PHI3"/>
      <sheetName val="DA_SAN_XUAT_TRONG_THANG3"/>
      <sheetName val="THANH_TOAN_TIEN_UNG3"/>
      <sheetName val="KHAU_HAO_DAY_CHUYEN_DA3"/>
      <sheetName val="bang_chuan3"/>
      <sheetName val="bien_&lt;200_m23"/>
      <sheetName val="bang_chuan_(2)3"/>
      <sheetName val="thue_(chinh_thuc)3"/>
      <sheetName val="thue_(2)3"/>
      <sheetName val="bang_doi_chieu3"/>
      <sheetName val="kp_chi_tiet3"/>
      <sheetName val="Vat_lieu3"/>
      <sheetName val="to_trinh_mua_VT3"/>
      <sheetName val="Denghi_tam_ung3"/>
      <sheetName val="KTRVATU_3"/>
      <sheetName val="MAU_GNHH3"/>
      <sheetName val="T_toan13"/>
      <sheetName val="Bang_quyet_toan_VT3"/>
      <sheetName val="Gia_Ban3"/>
      <sheetName val="Gia_DSRs3"/>
      <sheetName val="Gia_NTD3"/>
      <sheetName val="KHNH_T3-T103"/>
      <sheetName val="KHNH_T4-T103"/>
      <sheetName val="Luong_T2-063"/>
      <sheetName val="luong_T1-063"/>
      <sheetName val="mau_(2)3"/>
      <sheetName val="Luong_T_hop_T2+T1-20063"/>
      <sheetName val="luong_T123"/>
      <sheetName val="T_LBD3"/>
      <sheetName val="CL_BD3"/>
      <sheetName val="T_L_Dien3"/>
      <sheetName val="T_LSan3"/>
      <sheetName val="T_LWC3"/>
      <sheetName val="TK_7113"/>
      <sheetName val="TK_6323"/>
      <sheetName val="Chi_tiet_5113"/>
      <sheetName val="TK_342_(_thue_T_C_)3"/>
      <sheetName val="Phat_sinh_20053"/>
      <sheetName val="TK_341vay_dai_han_3"/>
      <sheetName val="TK_2143"/>
      <sheetName val="TK_2123"/>
      <sheetName val="Chi_tiet_TK_2113"/>
      <sheetName val="TK_1543"/>
      <sheetName val="Chi_tiet_TK_1523"/>
      <sheetName val="Can_Doi_TK3"/>
      <sheetName val="TK_1523"/>
      <sheetName val="Chung_tu_ghi_so_3"/>
      <sheetName val="TK_1423"/>
      <sheetName val="TK_1333"/>
      <sheetName val="Chi_tiet_TK1313"/>
      <sheetName val="TK_1113"/>
      <sheetName val="Phieu_thu3"/>
      <sheetName val="Phieu_chi_3"/>
      <sheetName val="Phieu_nhap_VTu_3"/>
      <sheetName val="Phieu_xuat_VTu3"/>
      <sheetName val="Can_doi_vat_tu_nhap_xuat_3"/>
      <sheetName val="Vat_tu_nhapxuat_nam_20053"/>
      <sheetName val="Ca_may_can_dung_nam_20053"/>
      <sheetName val="Vat_Tu_can_cho_CT_nam_20053"/>
      <sheetName val="HD_thu_mua_hang_NLS_3"/>
      <sheetName val="HD_thu_mua_cat_soi_3"/>
      <sheetName val="TLy_HD_mua_ban_3"/>
      <sheetName val="Bien_ban_Nthu_GK3"/>
      <sheetName val="T__Ly_HD_giao_khoan_3"/>
      <sheetName val="Hop_dong_giao_khoan3"/>
      <sheetName val="giay_tam_ung_3"/>
      <sheetName val="Bang_ke_T_toan_3"/>
      <sheetName val="Hoa_don_ban_hang_3"/>
      <sheetName val="Bang_phan_bo_tien_luong_20053"/>
      <sheetName val="Bang_cham_cong_3"/>
      <sheetName val="Bang_T_T_Luong_CB_chu_Chot20053"/>
      <sheetName val="Bang_T_T_luong_CN_lai_xe3"/>
      <sheetName val="Bang_thanh_toan_luong_20053"/>
      <sheetName val="Nhan_cong_cho_CT_nam_20053"/>
      <sheetName val="Dinh_Muc_tieu_hao_VL_20053"/>
      <sheetName val="Dang_Ky_chi_tiet_KH_20053"/>
      <sheetName val="Bang_phan_bo_NVL_nam_20053"/>
      <sheetName val="Bang_phan_bo_K_Hao_20053"/>
      <sheetName val="Dang_Ky_Khau_hao_20053"/>
      <sheetName val="Phu_luc_so_3(_TNDN)3"/>
      <sheetName val="PhuLuc_so_1(TNDN)3"/>
      <sheetName val="Mau_so_04_TNDN3"/>
      <sheetName val="Mau_so_02C3"/>
      <sheetName val="Mau_so_02B3"/>
      <sheetName val="Mau_so_02A3"/>
      <sheetName val="Mau_01B3"/>
      <sheetName val="To_khai_Mau_113"/>
      <sheetName val="Don_xin_khat_nop_thue_nam_043"/>
      <sheetName val="Su_dung_hoa_don_mau_263"/>
      <sheetName val="QToan_hoa_don_3"/>
      <sheetName val="Mau_so_013"/>
      <sheetName val="Mau_so_023"/>
      <sheetName val="Chi_tiet_Mau_03_(_mua_vao_)3"/>
      <sheetName val="Mau_so_033"/>
      <sheetName val="Mau_so_043"/>
      <sheetName val="Mau_053"/>
      <sheetName val="De_nghi_giai_dap_ve_thue_3"/>
      <sheetName val="the_duc3"/>
      <sheetName val="Bao_cao_thong_ke_3"/>
      <sheetName val="Phieu_DTra_Van_Tai_(_01_TKe_)3"/>
      <sheetName val="THNHA_3"/>
      <sheetName val="Thuchi_3"/>
      <sheetName val="Summary_(USD)3"/>
      <sheetName val="Summary_(VND)3"/>
      <sheetName val="3rd_party3"/>
      <sheetName val="interco_3"/>
      <sheetName val="bang_thong_ke3"/>
      <sheetName val="thanh_toan3"/>
      <sheetName val="Thu_NH_T4-033"/>
      <sheetName val="THU_NH_T5-033"/>
      <sheetName val="THU_NH_T6-033"/>
      <sheetName val="THU_NH_T7-033"/>
      <sheetName val="THU_NH_T8-033"/>
      <sheetName val="THU_NH_T9-033"/>
      <sheetName val="THU_TM_T9-033"/>
      <sheetName val="THU_NH_T10_-_033"/>
      <sheetName val="Sheet2_(2)3"/>
      <sheetName val="IBASE2_XLS3"/>
      <sheetName val="qui_2-053"/>
      <sheetName val="qui_3-053"/>
      <sheetName val="T2-04_3"/>
      <sheetName val="T4-04_3"/>
      <sheetName val="T5-04__3"/>
      <sheetName val="T6-04__3"/>
      <sheetName val="QUY_II3"/>
      <sheetName val="QUY_III3"/>
      <sheetName val="QUY_IV3"/>
      <sheetName val="QUY_I3"/>
      <sheetName val="CA_NAM_043"/>
      <sheetName val="So_quy3"/>
      <sheetName val="Thang_103"/>
      <sheetName val="Thang_93"/>
      <sheetName val="Thang_83"/>
      <sheetName val="Thang_73"/>
      <sheetName val="Thang_63"/>
      <sheetName val="Thang_53"/>
      <sheetName val="Thang_33"/>
      <sheetName val="Thang_23"/>
      <sheetName val="Thang_15"/>
      <sheetName val="Khau_hao3"/>
      <sheetName val="lo_hang_13"/>
      <sheetName val="lo_hang_23"/>
      <sheetName val="Phan_bo_1423"/>
      <sheetName val="Xuat_hang3"/>
      <sheetName val="Can_doi3"/>
      <sheetName val="Tien_luong_(2)3"/>
      <sheetName val="DTX-NGG_XLS3"/>
      <sheetName val="chenh_lech3"/>
      <sheetName val="CL_Hµ_t©y3"/>
      <sheetName val="CL_Bæ_tóc3"/>
      <sheetName val="DT_Ph­¬ng_mai_13"/>
      <sheetName val="tai_trong_&amp;_he_so_phan_bo_ngan3"/>
      <sheetName val="gioi_thieu3"/>
      <sheetName val="CV_di_trůng__tong3"/>
      <sheetName val="Du_toan3"/>
      <sheetName val="Linh_(2)3"/>
      <sheetName val="T11_063"/>
      <sheetName val="Phiếu_luân_chuyển3"/>
      <sheetName val="IPC_0______23"/>
      <sheetName val="GIA_TRI-AGC3"/>
      <sheetName val="THKL_NC3"/>
      <sheetName val="GTKT_NTTD3"/>
      <sheetName val="SS_NHÂN_CÔNG3"/>
      <sheetName val="KL_NC3"/>
      <sheetName val="Tiến_độ__Rev1_(phói_hợp)3"/>
      <sheetName val="CONG_TY3"/>
      <sheetName val="OFFICE_TOWER3"/>
      <sheetName val="KL_HSMT_tinh_thieu3"/>
      <sheetName val="Bang_tra3"/>
      <sheetName val="CAL_3"/>
      <sheetName val="TYPE-B_평균H3"/>
      <sheetName val="ELEMENT_SUM3"/>
      <sheetName val="pile_and_pile_cap3"/>
      <sheetName val="tien_3"/>
      <sheetName val="BC6tT52_(3"/>
      <sheetName val="TH03-09-04_2"/>
      <sheetName val="TH_20-09-04__2"/>
      <sheetName val="TH_05-11-04_2"/>
      <sheetName val="TH_20-11-042"/>
      <sheetName val="TH_03-12-04_2"/>
      <sheetName val="TH_21-12-042"/>
      <sheetName val="TH_30-12-042"/>
      <sheetName val="TH_17-01-052"/>
      <sheetName val="[IBASE2_XLS뭝êm283-Km2841"/>
      <sheetName val="CV_dej_ngoai_TCT_(2)1"/>
      <sheetName val="CV_di_ngoai_to_g_(2)1"/>
      <sheetName val="So_g_trai1"/>
      <sheetName val="_ngan1"/>
      <sheetName val="_loi1"/>
      <sheetName val="Material_(2)1"/>
      <sheetName val="Bieu_2a1"/>
      <sheetName val="luongt_131"/>
      <sheetName val="LUONG_11"/>
      <sheetName val="LUONG_21"/>
      <sheetName val="LUONG_31"/>
      <sheetName val="Luong_41"/>
      <sheetName val="CTP_41"/>
      <sheetName val="Anca_41"/>
      <sheetName val="THUONG_TET1"/>
      <sheetName val="Sat_L1"/>
      <sheetName val="III_10__Road1"/>
      <sheetName val="PHU_LUC21"/>
      <sheetName val="Hoan_thanh1"/>
      <sheetName val="hoan_th_151"/>
      <sheetName val="Khoach_151"/>
      <sheetName val="HT_221"/>
      <sheetName val="KH_221"/>
      <sheetName val="KH_T81"/>
      <sheetName val="Ht_481"/>
      <sheetName val="Kh_121"/>
      <sheetName val="ht_20-101"/>
      <sheetName val="Kh_6-101"/>
      <sheetName val="KE_PHI1"/>
      <sheetName val="KE_THUE1"/>
      <sheetName val="KE_CHI_PHI1"/>
      <sheetName val="TINH_GIA_THANH1"/>
      <sheetName val="TONG_HOP_KHAU_HAO1"/>
      <sheetName val="TONG_HOP_CHI_PHI1"/>
      <sheetName val="DA_SAN_XUAT_TRONG_THANG1"/>
      <sheetName val="THANH_TOAN_TIEN_UNG1"/>
      <sheetName val="KHAU_HAO_DAY_CHUYEN_DA1"/>
      <sheetName val="bang_chuan1"/>
      <sheetName val="bien_&lt;200_m21"/>
      <sheetName val="bang_chuan_(2)1"/>
      <sheetName val="thue_(chinh_thuc)1"/>
      <sheetName val="thue_(2)1"/>
      <sheetName val="bang_doi_chieu1"/>
      <sheetName val="kp_chi_tiet1"/>
      <sheetName val="Vat_lieu1"/>
      <sheetName val="to_trinh_mua_VT1"/>
      <sheetName val="Denghi_tam_ung1"/>
      <sheetName val="KTRVATU_1"/>
      <sheetName val="MAU_GNHH1"/>
      <sheetName val="T_toan11"/>
      <sheetName val="Bang_quyet_toan_VT1"/>
      <sheetName val="Gia_Ban1"/>
      <sheetName val="Gia_DSRs1"/>
      <sheetName val="Gia_NTD1"/>
      <sheetName val="KHNH_T3-T101"/>
      <sheetName val="KHNH_T4-T101"/>
      <sheetName val="Luong_T2-061"/>
      <sheetName val="luong_T1-061"/>
      <sheetName val="mau_(2)1"/>
      <sheetName val="Luong_T_hop_T2+T1-20061"/>
      <sheetName val="luong_T121"/>
      <sheetName val="T_LBD1"/>
      <sheetName val="CL_BD1"/>
      <sheetName val="T_L_Dien1"/>
      <sheetName val="T_LSan1"/>
      <sheetName val="T_LWC1"/>
      <sheetName val="TK_7111"/>
      <sheetName val="TK_6321"/>
      <sheetName val="Chi_tiet_5111"/>
      <sheetName val="TK_342_(_thue_T_C_)1"/>
      <sheetName val="Phat_sinh_20051"/>
      <sheetName val="TK_341vay_dai_han_1"/>
      <sheetName val="TK_2141"/>
      <sheetName val="TK_2121"/>
      <sheetName val="Chi_tiet_TK_2111"/>
      <sheetName val="TK_1541"/>
      <sheetName val="Chi_tiet_TK_1521"/>
      <sheetName val="Can_Doi_TK1"/>
      <sheetName val="TK_1521"/>
      <sheetName val="Chung_tu_ghi_so_1"/>
      <sheetName val="TK_1421"/>
      <sheetName val="TK_1331"/>
      <sheetName val="Chi_tiet_TK1311"/>
      <sheetName val="TK_1111"/>
      <sheetName val="Phieu_thu1"/>
      <sheetName val="Phieu_chi_1"/>
      <sheetName val="Phieu_nhap_VTu_1"/>
      <sheetName val="Phieu_xuat_VTu1"/>
      <sheetName val="Can_doi_vat_tu_nhap_xuat_1"/>
      <sheetName val="Vat_tu_nhapxuat_nam_20051"/>
      <sheetName val="Ca_may_can_dung_nam_20051"/>
      <sheetName val="Vat_Tu_can_cho_CT_nam_20051"/>
      <sheetName val="HD_thu_mua_hang_NLS_1"/>
      <sheetName val="HD_thu_mua_cat_soi_1"/>
      <sheetName val="TLy_HD_mua_ban_1"/>
      <sheetName val="Bien_ban_Nthu_GK1"/>
      <sheetName val="T__Ly_HD_giao_khoan_1"/>
      <sheetName val="Hop_dong_giao_khoan1"/>
      <sheetName val="giay_tam_ung_1"/>
      <sheetName val="Bang_ke_T_toan_1"/>
      <sheetName val="Hoa_don_ban_hang_1"/>
      <sheetName val="Bang_phan_bo_tien_luong_20051"/>
      <sheetName val="Bang_cham_cong_1"/>
      <sheetName val="Bang_T_T_Luong_CB_chu_Chot20051"/>
      <sheetName val="Bang_T_T_luong_CN_lai_xe1"/>
      <sheetName val="Bang_thanh_toan_luong_20051"/>
      <sheetName val="Nhan_cong_cho_CT_nam_20051"/>
      <sheetName val="Dinh_Muc_tieu_hao_VL_20051"/>
      <sheetName val="Dang_Ky_chi_tiet_KH_20051"/>
      <sheetName val="Bang_phan_bo_NVL_nam_20051"/>
      <sheetName val="Bang_phan_bo_K_Hao_20051"/>
      <sheetName val="Dang_Ky_Khau_hao_20051"/>
      <sheetName val="Phu_luc_so_3(_TNDN)1"/>
      <sheetName val="PhuLuc_so_1(TNDN)1"/>
      <sheetName val="Mau_so_04_TNDN1"/>
      <sheetName val="Mau_so_02C1"/>
      <sheetName val="Mau_so_02B1"/>
      <sheetName val="Mau_so_02A1"/>
      <sheetName val="Mau_01B1"/>
      <sheetName val="To_khai_Mau_111"/>
      <sheetName val="Don_xin_khat_nop_thue_nam_041"/>
      <sheetName val="Su_dung_hoa_don_mau_261"/>
      <sheetName val="QToan_hoa_don_1"/>
      <sheetName val="Mau_so_011"/>
      <sheetName val="Mau_so_021"/>
      <sheetName val="Chi_tiet_Mau_03_(_mua_vao_)1"/>
      <sheetName val="Mau_so_031"/>
      <sheetName val="Mau_so_041"/>
      <sheetName val="Mau_051"/>
      <sheetName val="De_nghi_giai_dap_ve_thue_1"/>
      <sheetName val="the_duc1"/>
      <sheetName val="Bao_cao_thong_ke_1"/>
      <sheetName val="Phieu_DTra_Van_Tai_(_01_TKe_)1"/>
      <sheetName val="THNHA_1"/>
      <sheetName val="Thuchi_1"/>
      <sheetName val="Summary_(USD)1"/>
      <sheetName val="Summary_(VND)1"/>
      <sheetName val="3rd_party1"/>
      <sheetName val="interco_1"/>
      <sheetName val="bang_thong_ke1"/>
      <sheetName val="thanh_toan1"/>
      <sheetName val="Thu_NH_T4-031"/>
      <sheetName val="THU_NH_T5-031"/>
      <sheetName val="THU_NH_T6-031"/>
      <sheetName val="THU_NH_T7-031"/>
      <sheetName val="THU_NH_T8-031"/>
      <sheetName val="THU_NH_T9-031"/>
      <sheetName val="THU_TM_T9-031"/>
      <sheetName val="THU_NH_T10_-_031"/>
      <sheetName val="Sheet2_(2)1"/>
      <sheetName val="IBASE2_XLS1"/>
      <sheetName val="qui_2-051"/>
      <sheetName val="qui_3-051"/>
      <sheetName val="T2-04_1"/>
      <sheetName val="T4-04_1"/>
      <sheetName val="T5-04__1"/>
      <sheetName val="T6-04__1"/>
      <sheetName val="QUY_II1"/>
      <sheetName val="QUY_III1"/>
      <sheetName val="QUY_IV1"/>
      <sheetName val="QUY_I1"/>
      <sheetName val="CA_NAM_041"/>
      <sheetName val="So_quy1"/>
      <sheetName val="Thang_101"/>
      <sheetName val="Thang_91"/>
      <sheetName val="Thang_81"/>
      <sheetName val="Thang_71"/>
      <sheetName val="Thang_61"/>
      <sheetName val="Thang_51"/>
      <sheetName val="Thang_31"/>
      <sheetName val="Thang_21"/>
      <sheetName val="Thang_13"/>
      <sheetName val="Khau_hao1"/>
      <sheetName val="lo_hang_11"/>
      <sheetName val="lo_hang_21"/>
      <sheetName val="Phan_bo_1421"/>
      <sheetName val="Xuat_hang1"/>
      <sheetName val="Can_doi1"/>
      <sheetName val="Tien_luong_(2)1"/>
      <sheetName val="DTX-NGG_XLS1"/>
      <sheetName val="chenh_lech1"/>
      <sheetName val="CL_Hµ_t©y1"/>
      <sheetName val="CL_Bæ_tóc1"/>
      <sheetName val="DT_Ph­¬ng_mai_11"/>
      <sheetName val="tai_trong_&amp;_he_so_phan_bo_ngan1"/>
      <sheetName val="gioi_thieu1"/>
      <sheetName val="CV_di_trůng__tong1"/>
      <sheetName val="Du_toan1"/>
      <sheetName val="Linh_(2)1"/>
      <sheetName val="Phiếu_luân_chuyển1"/>
      <sheetName val="IPC_0______21"/>
      <sheetName val="GIA_TRI-AGC1"/>
      <sheetName val="THKL_NC1"/>
      <sheetName val="GTKT_NTTD1"/>
      <sheetName val="SS_NHÂN_CÔNG1"/>
      <sheetName val="KL_NC1"/>
      <sheetName val="Tiến_độ__Rev1_(phói_hợp)1"/>
      <sheetName val="CONG_TY1"/>
      <sheetName val="OFFICE_TOWER1"/>
      <sheetName val="KL_HSMT_tinh_thieu1"/>
      <sheetName val="Bang_tra1"/>
      <sheetName val="CAL_1"/>
      <sheetName val="TYPE-B_평균H1"/>
      <sheetName val="ELEMENT_SUM1"/>
      <sheetName val="pile_and_pile_cap1"/>
      <sheetName val="tien_1"/>
      <sheetName val="BC6tT52_(1"/>
      <sheetName val="TH03-09-04_"/>
      <sheetName val="TH_20-09-04__"/>
      <sheetName val="TH_05-11-04_"/>
      <sheetName val="TH_20-11-04"/>
      <sheetName val="TH_03-12-04_"/>
      <sheetName val="TH_21-12-04"/>
      <sheetName val="TH_30-12-04"/>
      <sheetName val="TH_17-01-05"/>
      <sheetName val="[IBASE2_XLS뭝êm283-Km2842"/>
      <sheetName val="CV_dej_ngoai_TCT_(2)2"/>
      <sheetName val="CV_di_ngoai_to_g_(2)2"/>
      <sheetName val="So_g_trai2"/>
      <sheetName val="_ngan2"/>
      <sheetName val="_loi2"/>
      <sheetName val="Material_(2)2"/>
      <sheetName val="Bieu_2a2"/>
      <sheetName val="luongt_132"/>
      <sheetName val="LUONG_12"/>
      <sheetName val="LUONG_22"/>
      <sheetName val="LUONG_32"/>
      <sheetName val="Luong_42"/>
      <sheetName val="CTP_42"/>
      <sheetName val="Anca_42"/>
      <sheetName val="THUONG_TET2"/>
      <sheetName val="Sat_L2"/>
      <sheetName val="III_10__Road2"/>
      <sheetName val="PHU_LUC22"/>
      <sheetName val="Hoan_thanh2"/>
      <sheetName val="hoan_th_152"/>
      <sheetName val="Khoach_152"/>
      <sheetName val="HT_222"/>
      <sheetName val="KH_222"/>
      <sheetName val="KH_T82"/>
      <sheetName val="Ht_482"/>
      <sheetName val="Kh_122"/>
      <sheetName val="ht_20-102"/>
      <sheetName val="Kh_6-102"/>
      <sheetName val="KE_PHI2"/>
      <sheetName val="KE_THUE2"/>
      <sheetName val="KE_CHI_PHI2"/>
      <sheetName val="TINH_GIA_THANH2"/>
      <sheetName val="TONG_HOP_KHAU_HAO2"/>
      <sheetName val="TONG_HOP_CHI_PHI2"/>
      <sheetName val="DA_SAN_XUAT_TRONG_THANG2"/>
      <sheetName val="THANH_TOAN_TIEN_UNG2"/>
      <sheetName val="KHAU_HAO_DAY_CHUYEN_DA2"/>
      <sheetName val="bang_chuan2"/>
      <sheetName val="bien_&lt;200_m22"/>
      <sheetName val="bang_chuan_(2)2"/>
      <sheetName val="thue_(chinh_thuc)2"/>
      <sheetName val="thue_(2)2"/>
      <sheetName val="bang_doi_chieu2"/>
      <sheetName val="kp_chi_tiet2"/>
      <sheetName val="Vat_lieu2"/>
      <sheetName val="to_trinh_mua_VT2"/>
      <sheetName val="Denghi_tam_ung2"/>
      <sheetName val="KTRVATU_2"/>
      <sheetName val="MAU_GNHH2"/>
      <sheetName val="T_toan12"/>
      <sheetName val="Bang_quyet_toan_VT2"/>
      <sheetName val="Gia_Ban2"/>
      <sheetName val="Gia_DSRs2"/>
      <sheetName val="Gia_NTD2"/>
      <sheetName val="KHNH_T3-T102"/>
      <sheetName val="KHNH_T4-T102"/>
      <sheetName val="Luong_T2-062"/>
      <sheetName val="luong_T1-062"/>
      <sheetName val="mau_(2)2"/>
      <sheetName val="Luong_T_hop_T2+T1-20062"/>
      <sheetName val="luong_T122"/>
      <sheetName val="T_LBD2"/>
      <sheetName val="CL_BD2"/>
      <sheetName val="T_L_Dien2"/>
      <sheetName val="T_LSan2"/>
      <sheetName val="T_LWC2"/>
      <sheetName val="TK_7112"/>
      <sheetName val="TK_6322"/>
      <sheetName val="Chi_tiet_5112"/>
      <sheetName val="TK_342_(_thue_T_C_)2"/>
      <sheetName val="Phat_sinh_20052"/>
      <sheetName val="TK_341vay_dai_han_2"/>
      <sheetName val="TK_2142"/>
      <sheetName val="TK_2122"/>
      <sheetName val="Chi_tiet_TK_2112"/>
      <sheetName val="TK_1542"/>
      <sheetName val="Chi_tiet_TK_1522"/>
      <sheetName val="Can_Doi_TK2"/>
      <sheetName val="TK_1522"/>
      <sheetName val="Chung_tu_ghi_so_2"/>
      <sheetName val="TK_1422"/>
      <sheetName val="TK_1332"/>
      <sheetName val="Chi_tiet_TK1312"/>
      <sheetName val="TK_1112"/>
      <sheetName val="Phieu_thu2"/>
      <sheetName val="Phieu_chi_2"/>
      <sheetName val="Phieu_nhap_VTu_2"/>
      <sheetName val="Phieu_xuat_VTu2"/>
      <sheetName val="Can_doi_vat_tu_nhap_xuat_2"/>
      <sheetName val="Vat_tu_nhapxuat_nam_20052"/>
      <sheetName val="Ca_may_can_dung_nam_20052"/>
      <sheetName val="Vat_Tu_can_cho_CT_nam_20052"/>
      <sheetName val="HD_thu_mua_hang_NLS_2"/>
      <sheetName val="HD_thu_mua_cat_soi_2"/>
      <sheetName val="TLy_HD_mua_ban_2"/>
      <sheetName val="Bien_ban_Nthu_GK2"/>
      <sheetName val="T__Ly_HD_giao_khoan_2"/>
      <sheetName val="Hop_dong_giao_khoan2"/>
      <sheetName val="giay_tam_ung_2"/>
      <sheetName val="Bang_ke_T_toan_2"/>
      <sheetName val="Hoa_don_ban_hang_2"/>
      <sheetName val="Bang_phan_bo_tien_luong_20052"/>
      <sheetName val="Bang_cham_cong_2"/>
      <sheetName val="Bang_T_T_Luong_CB_chu_Chot20052"/>
      <sheetName val="Bang_T_T_luong_CN_lai_xe2"/>
      <sheetName val="Bang_thanh_toan_luong_20052"/>
      <sheetName val="Nhan_cong_cho_CT_nam_20052"/>
      <sheetName val="Dinh_Muc_tieu_hao_VL_20052"/>
      <sheetName val="Dang_Ky_chi_tiet_KH_20052"/>
      <sheetName val="Bang_phan_bo_NVL_nam_20052"/>
      <sheetName val="Bang_phan_bo_K_Hao_20052"/>
      <sheetName val="Dang_Ky_Khau_hao_20052"/>
      <sheetName val="Phu_luc_so_3(_TNDN)2"/>
      <sheetName val="PhuLuc_so_1(TNDN)2"/>
      <sheetName val="Mau_so_04_TNDN2"/>
      <sheetName val="Mau_so_02C2"/>
      <sheetName val="Mau_so_02B2"/>
      <sheetName val="Mau_so_02A2"/>
      <sheetName val="Mau_01B2"/>
      <sheetName val="To_khai_Mau_112"/>
      <sheetName val="Don_xin_khat_nop_thue_nam_042"/>
      <sheetName val="Su_dung_hoa_don_mau_262"/>
      <sheetName val="QToan_hoa_don_2"/>
      <sheetName val="Mau_so_012"/>
      <sheetName val="Mau_so_022"/>
      <sheetName val="Chi_tiet_Mau_03_(_mua_vao_)2"/>
      <sheetName val="Mau_so_032"/>
      <sheetName val="Mau_so_042"/>
      <sheetName val="Mau_052"/>
      <sheetName val="De_nghi_giai_dap_ve_thue_2"/>
      <sheetName val="the_duc2"/>
      <sheetName val="Bao_cao_thong_ke_2"/>
      <sheetName val="Phieu_DTra_Van_Tai_(_01_TKe_)2"/>
      <sheetName val="THNHA_2"/>
      <sheetName val="Thuchi_2"/>
      <sheetName val="Summary_(USD)2"/>
      <sheetName val="Summary_(VND)2"/>
      <sheetName val="3rd_party2"/>
      <sheetName val="interco_2"/>
      <sheetName val="bang_thong_ke2"/>
      <sheetName val="thanh_toan2"/>
      <sheetName val="Thu_NH_T4-032"/>
      <sheetName val="THU_NH_T5-032"/>
      <sheetName val="THU_NH_T6-032"/>
      <sheetName val="THU_NH_T7-032"/>
      <sheetName val="THU_NH_T8-032"/>
      <sheetName val="THU_NH_T9-032"/>
      <sheetName val="THU_TM_T9-032"/>
      <sheetName val="THU_NH_T10_-_032"/>
      <sheetName val="Sheet2_(2)2"/>
      <sheetName val="IBASE2_XLS2"/>
      <sheetName val="qui_2-052"/>
      <sheetName val="qui_3-052"/>
      <sheetName val="T2-04_2"/>
      <sheetName val="T4-04_2"/>
      <sheetName val="T5-04__2"/>
      <sheetName val="T6-04__2"/>
      <sheetName val="QUY_II2"/>
      <sheetName val="QUY_III2"/>
      <sheetName val="QUY_IV2"/>
      <sheetName val="QUY_I2"/>
      <sheetName val="CA_NAM_042"/>
      <sheetName val="So_quy2"/>
      <sheetName val="Thang_102"/>
      <sheetName val="Thang_92"/>
      <sheetName val="Thang_82"/>
      <sheetName val="Thang_72"/>
      <sheetName val="Thang_62"/>
      <sheetName val="Thang_52"/>
      <sheetName val="Thang_32"/>
      <sheetName val="Thang_22"/>
      <sheetName val="Thang_14"/>
      <sheetName val="Khau_hao2"/>
      <sheetName val="lo_hang_12"/>
      <sheetName val="lo_hang_22"/>
      <sheetName val="Phan_bo_1422"/>
      <sheetName val="Xuat_hang2"/>
      <sheetName val="Can_doi2"/>
      <sheetName val="Tien_luong_(2)2"/>
      <sheetName val="DTX-NGG_XLS2"/>
      <sheetName val="chenh_lech2"/>
      <sheetName val="CL_Hµ_t©y2"/>
      <sheetName val="CL_Bæ_tóc2"/>
      <sheetName val="DT_Ph­¬ng_mai_12"/>
      <sheetName val="tai_trong_&amp;_he_so_phan_bo_ngan2"/>
      <sheetName val="gioi_thieu2"/>
      <sheetName val="CV_di_trůng__tong2"/>
      <sheetName val="Du_toan2"/>
      <sheetName val="Linh_(2)2"/>
      <sheetName val="T11_062"/>
      <sheetName val="Phiếu_luân_chuyển2"/>
      <sheetName val="IPC_0______22"/>
      <sheetName val="GIA_TRI-AGC2"/>
      <sheetName val="THKL_NC2"/>
      <sheetName val="GTKT_NTTD2"/>
      <sheetName val="SS_NHÂN_CÔNG2"/>
      <sheetName val="KL_NC2"/>
      <sheetName val="Tiến_độ__Rev1_(phói_hợp)2"/>
      <sheetName val="CONG_TY2"/>
      <sheetName val="OFFICE_TOWER2"/>
      <sheetName val="KL_HSMT_tinh_thieu2"/>
      <sheetName val="Bang_tra2"/>
      <sheetName val="CAL_2"/>
      <sheetName val="TYPE-B_평균H2"/>
      <sheetName val="ELEMENT_SUM2"/>
      <sheetName val="pile_and_pile_cap2"/>
      <sheetName val="tien_2"/>
      <sheetName val="BC6tT52_(2"/>
      <sheetName val="TH03-09-04_1"/>
      <sheetName val="TH_20-09-04__1"/>
      <sheetName val="TH_05-11-04_1"/>
      <sheetName val="TH_20-11-041"/>
      <sheetName val="TH_03-12-04_1"/>
      <sheetName val="TH_21-12-041"/>
      <sheetName val="TH_30-12-041"/>
      <sheetName val="TH_17-01-051"/>
      <sheetName val="Bal Sheet"/>
      <sheetName val="HaoPhi"/>
      <sheetName val="갑지"/>
      <sheetName val="Generalofact"/>
      <sheetName val="cover page format"/>
      <sheetName val="00-Pipe Schedule for QS rev01"/>
      <sheetName val="Gtable(19)"/>
      <sheetName val="Breakdown"/>
      <sheetName val="MATK"/>
      <sheetName val="P.M(Monitoring Sche)"/>
      <sheetName val="Lab Sche (Summary)."/>
      <sheetName val="TH gia dt"/>
      <sheetName val="TH VL, NC, DDHT Thanhphuoc"/>
      <sheetName val="CANDOI"/>
      <sheetName val="Nhap VT oto"/>
      <sheetName val="REGION"/>
      <sheetName val="OFFGRID"/>
      <sheetName val="II.1 TH TDT CHUNG"/>
      <sheetName val="Dꗃ"/>
      <sheetName val="1.TT chung"/>
      <sheetName val="Cong tron۬_x0000_100"/>
      <sheetName val="CTbe tong"/>
      <sheetName val="CTDZ 0.4+cto"/>
      <sheetName val="Candoi-60-342"/>
      <sheetName val="DN"/>
      <sheetName val="°_nh"/>
      <sheetName val="Biểu 02"/>
      <sheetName val="Km_x0000_83-嘀m28ｄ"/>
      <sheetName val="XXXXXX"/>
      <sheetName val=" THợp KCB(PL18)"/>
      <sheetName val="QDcua_TGD__2__________________2"/>
      <sheetName val="tra-vat-lieu"/>
      <sheetName val="SoCamTM"/>
      <sheetName val="p(an tich DG"/>
      <sheetName val="Fia may"/>
      <sheetName val="VtuHaTheScuTramBT3"/>
      <sheetName val="DG2018"/>
      <sheetName val="TKv42"/>
      <sheetName val="TvI "/>
      <sheetName val="TvII"/>
      <sheetName val="TvIII"/>
      <sheetName val="TvIV"/>
      <sheetName val="XÐt duyet Quý I"/>
      <sheetName val="Xet duyet QuyII"/>
      <sheetName val="XD QUY III"/>
      <sheetName val="XD QUY IV"/>
      <sheetName val="H%so"/>
      <sheetName val="QD"/>
      <sheetName val="Cong tron۬"/>
      <sheetName val="M 67"/>
      <sheetName val="Soqu_x0005_??"/>
      <sheetName val="GIA 뭼U_x0000__x0000_"/>
      <sheetName val="ZDCBK"/>
      <sheetName val="QDcua HDQD"/>
      <sheetName val="HDong ԰"/>
      <sheetName val="CCPS_x0005_"/>
      <sheetName val="142201_x0005_"/>
      <sheetName val="Ca."/>
      <sheetName val="CT 0"/>
      <sheetName val="BC6tT52 ("/>
      <sheetName val="H"/>
      <sheetName val="H_x0005_"/>
      <sheetName val="Phant԰"/>
      <sheetName val="K25_x0005_"/>
      <sheetName val="F GialԀ"/>
      <sheetName val="HD"/>
      <sheetName val="BTHDT_TBA_x000d_THXL_DZcaothe"/>
      <sheetName val="BTHDT_TBA_x000a_THXL_DZcaothe"/>
      <sheetName val="200000000_x0005_"/>
      <sheetName val="?0_x001d_[IBASE2.XLS"/>
      <sheetName val="Km282-Km_x0003__x0005_"/>
      <sheetName val="Km277 %Km278 "/>
      <sheetName val="Cong tron D100_x000e_Cong tron D150"/>
      <sheetName val="BTHDT_TBA_x000d_T"/>
      <sheetName val="BTHDT_TBA_x000a_T"/>
      <sheetName val="Tkedo _x0007_"/>
      <sheetName val="X_x0003_Test5"/>
      <sheetName val="????_x0013__x000e_[IBA"/>
      <sheetName val="17??_x0004_??"/>
      <sheetName val="17??_x0004_????_x0015__x000e_[IBASE2.XLS]21"/>
      <sheetName val="_0_x001d__IBASE2.XLS"/>
      <sheetName val="T6-99 _x0012__IBASE2.XLS_T"/>
      <sheetName val="Cong tron۬100"/>
      <sheetName val="_x0000__x0000__x0000__x0000__x0005__x0000__x0000__x0000_"/>
      <sheetName val="NK_x0000_"/>
      <sheetName val="Tai trong"/>
      <sheetName val="M"/>
      <sheetName val="Phamcap"/>
      <sheetName val="Process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GIAVLIEU"/>
      <sheetName val="17??????????????_x0004_??????????????"/>
      <sheetName val="_x0001_Ѐ"/>
      <sheetName val="uan (2)_x0011_"/>
      <sheetName val="0000_x0008_"/>
      <sheetName val="䐠奁䌠啈䕙⁎䅄_x0002_搀ٱ"/>
      <sheetName val="GNHH_x0007_"/>
      <sheetName val="瑥е"/>
      <sheetName val="㑔_x0006_䌀楨呡Ե"/>
      <sheetName val="NH T9-03_x000c_"/>
      <sheetName val="MBCN "/>
      <sheetName val="L D ONG BOC "/>
      <sheetName val="ld van"/>
      <sheetName val="ld bich"/>
      <sheetName val="gc bich"/>
      <sheetName val="ld ong"/>
      <sheetName val="THU AL"/>
      <sheetName val="TM"/>
      <sheetName val="Thop"/>
      <sheetName val="cl"/>
      <sheetName val="cuoc"/>
      <sheetName val="gtkl"/>
      <sheetName val="PTDg"/>
      <sheetName val="PLkl"/>
      <sheetName val="hinhhoc"/>
      <sheetName val="DM 56"/>
      <sheetName val="_x000f_p mai 280"/>
      <sheetName val="020԰"/>
      <sheetName val="Km279-_x000b_m280"/>
      <sheetName val="_x000b_m284-Km285"/>
      <sheetName val="b.THch)tietDZCT"/>
      <sheetName val="Phu cap trach n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Phu cap trach n_x0005__x0000__x0000__x0000_"/>
      <sheetName val="bangtinh"/>
      <sheetName val="dauvao"/>
      <sheetName val="Mthep"/>
      <sheetName val="bt-TBA"/>
      <sheetName val="T.So_chung"/>
      <sheetName val="DSHD DH"/>
      <sheetName val="cÐ"/>
      <sheetName val="Cash2"/>
      <sheetName val="LD d"/>
      <sheetName val="gia nhaj cong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H18" t="e">
            <v>#REF!</v>
          </cell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  <cell r="AV18" t="e">
            <v>#REF!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  <cell r="AV24" t="e">
            <v>#REF!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  <cell r="AV28" t="e">
            <v>#REF!</v>
          </cell>
        </row>
        <row r="29">
          <cell r="AH29" t="e">
            <v>#REF!</v>
          </cell>
          <cell r="AI29" t="str">
            <v xml:space="preserve">EPOXY RESIN 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  <cell r="AV30" t="e">
            <v>#REF!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  <cell r="AV39" t="e">
            <v>#REF!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  <cell r="AV40" t="e">
            <v>#REF!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  <cell r="AV41" t="e">
            <v>#REF!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  <cell r="AV42" t="e">
            <v>#REF!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  <cell r="AU43" t="e">
            <v>#REF!</v>
          </cell>
          <cell r="AV43" t="e">
            <v>#REF!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  <cell r="AU45" t="e">
            <v>#REF!</v>
          </cell>
          <cell r="AV45" t="e">
            <v>#REF!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  <cell r="AV46" t="e">
            <v>#REF!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  <cell r="AV47" t="e">
            <v>#REF!</v>
          </cell>
        </row>
        <row r="48">
          <cell r="AH48" t="e">
            <v>#REF!</v>
          </cell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  <cell r="AU48" t="e">
            <v>#REF!</v>
          </cell>
          <cell r="AV48" t="e">
            <v>#REF!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  <cell r="AV49" t="e">
            <v>#REF!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  <cell r="AV50" t="e">
            <v>#REF!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  <cell r="AV53" t="e">
            <v>#REF!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  <cell r="AV54" t="e">
            <v>#REF!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  <cell r="AV55" t="e">
            <v>#REF!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8">
          <cell r="AH58" t="str">
            <v>EPCP</v>
          </cell>
          <cell r="AI58" t="str">
            <v>EPOXY-PHENOLIC CURED PRIMER .</v>
          </cell>
          <cell r="AJ58" t="str">
            <v>4691(Ar-910)</v>
          </cell>
          <cell r="AK58" t="str">
            <v>1060</v>
          </cell>
          <cell r="AL58" t="str">
            <v>76</v>
          </cell>
          <cell r="AM58">
            <v>1</v>
          </cell>
          <cell r="AN58">
            <v>17.3</v>
          </cell>
          <cell r="AO58">
            <v>19.2</v>
          </cell>
          <cell r="AP58">
            <v>30.9</v>
          </cell>
          <cell r="AQ58">
            <v>43.35</v>
          </cell>
          <cell r="AR58">
            <v>31.25</v>
          </cell>
          <cell r="AS58">
            <v>25.89</v>
          </cell>
          <cell r="AT58">
            <v>750</v>
          </cell>
          <cell r="AU58">
            <v>600</v>
          </cell>
          <cell r="AV58">
            <v>800</v>
          </cell>
        </row>
        <row r="59">
          <cell r="AH59" t="e">
            <v>#REF!</v>
          </cell>
          <cell r="AI59" t="str">
            <v xml:space="preserve">CHLORINATED RUBBER RESIN 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69">
          <cell r="AH69" t="str">
            <v>VZCP</v>
          </cell>
          <cell r="AI69" t="str">
            <v>CHLORINATED RUBBER BASE M.I.O.COATING</v>
          </cell>
          <cell r="AJ69" t="str">
            <v>4693(Ar-930)</v>
          </cell>
          <cell r="AK69" t="str">
            <v>1452(RF-68)</v>
          </cell>
          <cell r="AL69" t="str">
            <v>600</v>
          </cell>
          <cell r="AM69">
            <v>1</v>
          </cell>
          <cell r="AN69">
            <v>16.399999999999999</v>
          </cell>
          <cell r="AO69">
            <v>13.2</v>
          </cell>
          <cell r="AP69">
            <v>14.8</v>
          </cell>
          <cell r="AQ69">
            <v>37.799999999999997</v>
          </cell>
          <cell r="AR69">
            <v>37.880000000000003</v>
          </cell>
          <cell r="AS69">
            <v>33.72</v>
          </cell>
          <cell r="AT69">
            <v>620</v>
          </cell>
          <cell r="AU69">
            <v>500</v>
          </cell>
          <cell r="AV69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H71" t="e">
            <v>#REF!</v>
          </cell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  <cell r="AU71" t="e">
            <v>#REF!</v>
          </cell>
          <cell r="AV71" t="e">
            <v>#REF!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  <cell r="AV72" t="e">
            <v>#REF!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  <cell r="AV74" t="e">
            <v>#REF!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  <cell r="AV76" t="e">
            <v>#REF!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  <cell r="AV78" t="e">
            <v>#REF!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  <cell r="AV80" t="e">
            <v>#REF!</v>
          </cell>
        </row>
        <row r="81">
          <cell r="AH81" t="e">
            <v>#REF!</v>
          </cell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H82" t="e">
            <v>#REF!</v>
          </cell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  <cell r="AV82" t="e">
            <v>#REF!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  <cell r="AV84" t="e">
            <v>#REF!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  <cell r="AV86" t="e">
            <v>#REF!</v>
          </cell>
        </row>
        <row r="87">
          <cell r="AH87" t="e">
            <v>#REF!</v>
          </cell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  <cell r="AV87" t="e">
            <v>#REF!</v>
          </cell>
        </row>
        <row r="88"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>
            <v>640</v>
          </cell>
          <cell r="AU88">
            <v>540</v>
          </cell>
          <cell r="AV88" t="e">
            <v>#REF!</v>
          </cell>
        </row>
        <row r="89">
          <cell r="AH89" t="e">
            <v>#REF!</v>
          </cell>
          <cell r="AI89" t="str">
            <v xml:space="preserve">POLYOL POLYISOCYANATE 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  <cell r="AV93" t="e">
            <v>#REF!</v>
          </cell>
        </row>
        <row r="94">
          <cell r="AH94" t="e">
            <v>#REF!</v>
          </cell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  <cell r="AV94" t="e">
            <v>#REF!</v>
          </cell>
        </row>
        <row r="95">
          <cell r="AH95" t="e">
            <v>#REF!</v>
          </cell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  <cell r="AU95" t="e">
            <v>#REF!</v>
          </cell>
          <cell r="AV95" t="e">
            <v>#REF!</v>
          </cell>
        </row>
        <row r="96">
          <cell r="AH96" t="e">
            <v>#REF!</v>
          </cell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  <cell r="AV96" t="e">
            <v>#REF!</v>
          </cell>
        </row>
        <row r="97">
          <cell r="AH97" t="e">
            <v>#REF!</v>
          </cell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  <cell r="AV97" t="e">
            <v>#REF!</v>
          </cell>
        </row>
        <row r="98">
          <cell r="AH98" t="e">
            <v>#REF!</v>
          </cell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  <cell r="AV98" t="e">
            <v>#REF!</v>
          </cell>
        </row>
        <row r="99"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>
            <v>500</v>
          </cell>
          <cell r="AU99">
            <v>2000</v>
          </cell>
          <cell r="AV99" t="e">
            <v>#REF!</v>
          </cell>
        </row>
        <row r="100">
          <cell r="AH100" t="e">
            <v>#REF!</v>
          </cell>
          <cell r="AI100" t="str">
            <v>MASONRY &amp; ACRYLIC PAINT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AH101" t="e">
            <v>#REF!</v>
          </cell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H103" t="e">
            <v>#REF!</v>
          </cell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H105" t="e">
            <v>#REF!</v>
          </cell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>
            <v>193</v>
          </cell>
        </row>
        <row r="107">
          <cell r="AH107" t="e">
            <v>#REF!</v>
          </cell>
          <cell r="AI107" t="str">
            <v>OTHER PAINT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  <cell r="AV108" t="e">
            <v>#REF!</v>
          </cell>
        </row>
        <row r="109">
          <cell r="AH109" t="e">
            <v>#REF!</v>
          </cell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H110" t="e">
            <v>#REF!</v>
          </cell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>
        <row r="7">
          <cell r="AH7" t="str">
            <v>SP1</v>
          </cell>
        </row>
      </sheetData>
      <sheetData sheetId="2">
        <row r="7">
          <cell r="AH7" t="str">
            <v>SP1</v>
          </cell>
        </row>
      </sheetData>
      <sheetData sheetId="3">
        <row r="7">
          <cell r="AH7" t="str">
            <v>SP1</v>
          </cell>
        </row>
      </sheetData>
      <sheetData sheetId="4">
        <row r="7">
          <cell r="AH7" t="str">
            <v>SP1</v>
          </cell>
        </row>
      </sheetData>
      <sheetData sheetId="5">
        <row r="7">
          <cell r="AH7" t="str">
            <v>SP1</v>
          </cell>
        </row>
      </sheetData>
      <sheetData sheetId="6">
        <row r="7">
          <cell r="AH7" t="str">
            <v>SP1</v>
          </cell>
        </row>
      </sheetData>
      <sheetData sheetId="7">
        <row r="7">
          <cell r="AH7" t="str">
            <v>SP1</v>
          </cell>
        </row>
      </sheetData>
      <sheetData sheetId="8">
        <row r="7">
          <cell r="AH7" t="str">
            <v>SP1</v>
          </cell>
        </row>
      </sheetData>
      <sheetData sheetId="9">
        <row r="7">
          <cell r="AH7" t="str">
            <v>SP1</v>
          </cell>
        </row>
      </sheetData>
      <sheetData sheetId="10">
        <row r="7">
          <cell r="AH7" t="str">
            <v>SP1</v>
          </cell>
        </row>
      </sheetData>
      <sheetData sheetId="11">
        <row r="7">
          <cell r="AH7" t="str">
            <v>SP1</v>
          </cell>
        </row>
      </sheetData>
      <sheetData sheetId="12">
        <row r="7">
          <cell r="AH7" t="str">
            <v>SP1</v>
          </cell>
        </row>
      </sheetData>
      <sheetData sheetId="13">
        <row r="7">
          <cell r="AH7" t="str">
            <v>SP1</v>
          </cell>
        </row>
      </sheetData>
      <sheetData sheetId="14">
        <row r="7">
          <cell r="AH7" t="str">
            <v>SP1</v>
          </cell>
        </row>
      </sheetData>
      <sheetData sheetId="15">
        <row r="7">
          <cell r="AH7" t="str">
            <v>SP1</v>
          </cell>
        </row>
      </sheetData>
      <sheetData sheetId="16">
        <row r="7">
          <cell r="AH7" t="str">
            <v>SP1</v>
          </cell>
        </row>
      </sheetData>
      <sheetData sheetId="17">
        <row r="7">
          <cell r="AH7" t="str">
            <v>SP1</v>
          </cell>
        </row>
      </sheetData>
      <sheetData sheetId="18">
        <row r="7">
          <cell r="AH7" t="str">
            <v>SP1</v>
          </cell>
        </row>
      </sheetData>
      <sheetData sheetId="19">
        <row r="7">
          <cell r="AH7" t="str">
            <v>SP1</v>
          </cell>
        </row>
      </sheetData>
      <sheetData sheetId="20" refreshError="1"/>
      <sheetData sheetId="21">
        <row r="7">
          <cell r="AH7" t="str">
            <v>SP1</v>
          </cell>
        </row>
      </sheetData>
      <sheetData sheetId="22">
        <row r="7">
          <cell r="AH7" t="str">
            <v>SP1</v>
          </cell>
        </row>
      </sheetData>
      <sheetData sheetId="23">
        <row r="7">
          <cell r="AH7" t="str">
            <v>SP1</v>
          </cell>
        </row>
      </sheetData>
      <sheetData sheetId="24">
        <row r="7">
          <cell r="AH7" t="str">
            <v>SP1</v>
          </cell>
        </row>
      </sheetData>
      <sheetData sheetId="25">
        <row r="7">
          <cell r="AH7" t="str">
            <v>SP1</v>
          </cell>
        </row>
      </sheetData>
      <sheetData sheetId="26">
        <row r="7">
          <cell r="AH7" t="str">
            <v>SP1</v>
          </cell>
        </row>
      </sheetData>
      <sheetData sheetId="27">
        <row r="7">
          <cell r="AH7" t="str">
            <v>SP1</v>
          </cell>
        </row>
      </sheetData>
      <sheetData sheetId="28">
        <row r="7">
          <cell r="AH7" t="str">
            <v>SP1</v>
          </cell>
        </row>
      </sheetData>
      <sheetData sheetId="29">
        <row r="7">
          <cell r="AH7" t="str">
            <v>SP1</v>
          </cell>
        </row>
      </sheetData>
      <sheetData sheetId="30">
        <row r="7">
          <cell r="AH7" t="str">
            <v>SP1</v>
          </cell>
        </row>
      </sheetData>
      <sheetData sheetId="31">
        <row r="7">
          <cell r="AH7" t="str">
            <v>SP1</v>
          </cell>
        </row>
      </sheetData>
      <sheetData sheetId="32">
        <row r="7">
          <cell r="AH7" t="str">
            <v>SP1</v>
          </cell>
        </row>
      </sheetData>
      <sheetData sheetId="33">
        <row r="7">
          <cell r="AH7" t="str">
            <v>SP1</v>
          </cell>
        </row>
      </sheetData>
      <sheetData sheetId="34">
        <row r="7">
          <cell r="AH7" t="str">
            <v>SP1</v>
          </cell>
        </row>
      </sheetData>
      <sheetData sheetId="35">
        <row r="7">
          <cell r="AH7" t="str">
            <v>SP1</v>
          </cell>
        </row>
      </sheetData>
      <sheetData sheetId="36">
        <row r="7">
          <cell r="AH7" t="str">
            <v>SP1</v>
          </cell>
        </row>
      </sheetData>
      <sheetData sheetId="37">
        <row r="7">
          <cell r="AH7" t="str">
            <v>SP1</v>
          </cell>
        </row>
      </sheetData>
      <sheetData sheetId="38">
        <row r="7">
          <cell r="AH7" t="str">
            <v>SP1</v>
          </cell>
        </row>
      </sheetData>
      <sheetData sheetId="39">
        <row r="7">
          <cell r="AH7" t="str">
            <v>SP1</v>
          </cell>
        </row>
      </sheetData>
      <sheetData sheetId="40">
        <row r="7">
          <cell r="AH7" t="str">
            <v>SP1</v>
          </cell>
        </row>
      </sheetData>
      <sheetData sheetId="41">
        <row r="7">
          <cell r="AH7" t="str">
            <v>SP1</v>
          </cell>
        </row>
      </sheetData>
      <sheetData sheetId="42">
        <row r="7">
          <cell r="AH7" t="str">
            <v>SP1</v>
          </cell>
        </row>
      </sheetData>
      <sheetData sheetId="43">
        <row r="7">
          <cell r="AH7" t="str">
            <v>SP1</v>
          </cell>
        </row>
      </sheetData>
      <sheetData sheetId="44">
        <row r="7">
          <cell r="AH7" t="str">
            <v>SP1</v>
          </cell>
        </row>
      </sheetData>
      <sheetData sheetId="45">
        <row r="7">
          <cell r="AH7" t="str">
            <v>SP1</v>
          </cell>
        </row>
      </sheetData>
      <sheetData sheetId="46">
        <row r="7">
          <cell r="AH7" t="str">
            <v>SP1</v>
          </cell>
        </row>
      </sheetData>
      <sheetData sheetId="47">
        <row r="7">
          <cell r="AH7" t="str">
            <v>SP1</v>
          </cell>
        </row>
      </sheetData>
      <sheetData sheetId="48">
        <row r="7">
          <cell r="AH7" t="str">
            <v>SP1</v>
          </cell>
        </row>
      </sheetData>
      <sheetData sheetId="49">
        <row r="7">
          <cell r="AH7" t="str">
            <v>SP1</v>
          </cell>
        </row>
      </sheetData>
      <sheetData sheetId="50">
        <row r="7">
          <cell r="AH7" t="str">
            <v>SP1</v>
          </cell>
        </row>
      </sheetData>
      <sheetData sheetId="51">
        <row r="7">
          <cell r="AH7" t="str">
            <v>SP1</v>
          </cell>
        </row>
      </sheetData>
      <sheetData sheetId="52">
        <row r="7">
          <cell r="AH7" t="str">
            <v>SP1</v>
          </cell>
        </row>
      </sheetData>
      <sheetData sheetId="53">
        <row r="7">
          <cell r="AH7" t="str">
            <v>SP1</v>
          </cell>
        </row>
      </sheetData>
      <sheetData sheetId="54">
        <row r="7">
          <cell r="AH7" t="str">
            <v>SP1</v>
          </cell>
        </row>
      </sheetData>
      <sheetData sheetId="55">
        <row r="7">
          <cell r="AH7" t="str">
            <v>SP1</v>
          </cell>
        </row>
      </sheetData>
      <sheetData sheetId="56">
        <row r="7">
          <cell r="AH7" t="str">
            <v>SP1</v>
          </cell>
        </row>
      </sheetData>
      <sheetData sheetId="57">
        <row r="7">
          <cell r="AH7" t="str">
            <v>SP1</v>
          </cell>
        </row>
      </sheetData>
      <sheetData sheetId="58">
        <row r="7">
          <cell r="AH7" t="str">
            <v>SP1</v>
          </cell>
        </row>
      </sheetData>
      <sheetData sheetId="59">
        <row r="7">
          <cell r="AH7" t="str">
            <v>SP1</v>
          </cell>
        </row>
      </sheetData>
      <sheetData sheetId="60">
        <row r="7">
          <cell r="AH7" t="str">
            <v>SP1</v>
          </cell>
        </row>
      </sheetData>
      <sheetData sheetId="61">
        <row r="7">
          <cell r="AH7" t="str">
            <v>SP1</v>
          </cell>
        </row>
      </sheetData>
      <sheetData sheetId="62">
        <row r="7">
          <cell r="AH7" t="str">
            <v>SP1</v>
          </cell>
        </row>
      </sheetData>
      <sheetData sheetId="63">
        <row r="7">
          <cell r="AH7" t="str">
            <v>SP1</v>
          </cell>
        </row>
      </sheetData>
      <sheetData sheetId="64">
        <row r="7">
          <cell r="AH7" t="str">
            <v>SP1</v>
          </cell>
        </row>
      </sheetData>
      <sheetData sheetId="65">
        <row r="7">
          <cell r="AH7" t="str">
            <v>SP1</v>
          </cell>
        </row>
      </sheetData>
      <sheetData sheetId="66">
        <row r="7">
          <cell r="AH7" t="str">
            <v>SP1</v>
          </cell>
        </row>
      </sheetData>
      <sheetData sheetId="67">
        <row r="7">
          <cell r="AH7" t="str">
            <v>SP1</v>
          </cell>
        </row>
      </sheetData>
      <sheetData sheetId="68">
        <row r="7">
          <cell r="AH7" t="str">
            <v>SP1</v>
          </cell>
        </row>
      </sheetData>
      <sheetData sheetId="69">
        <row r="7">
          <cell r="AH7" t="str">
            <v>SP1</v>
          </cell>
        </row>
      </sheetData>
      <sheetData sheetId="70">
        <row r="7">
          <cell r="AH7" t="str">
            <v>SP1</v>
          </cell>
        </row>
      </sheetData>
      <sheetData sheetId="71">
        <row r="7">
          <cell r="AH7" t="str">
            <v>SP1</v>
          </cell>
        </row>
      </sheetData>
      <sheetData sheetId="72">
        <row r="7">
          <cell r="AH7" t="str">
            <v>SP1</v>
          </cell>
        </row>
      </sheetData>
      <sheetData sheetId="73">
        <row r="7">
          <cell r="AH7" t="str">
            <v>SP1</v>
          </cell>
        </row>
      </sheetData>
      <sheetData sheetId="74">
        <row r="7">
          <cell r="AH7" t="str">
            <v>SP1</v>
          </cell>
        </row>
      </sheetData>
      <sheetData sheetId="75">
        <row r="7">
          <cell r="AH7" t="str">
            <v>SP1</v>
          </cell>
        </row>
      </sheetData>
      <sheetData sheetId="76">
        <row r="7">
          <cell r="AH7" t="str">
            <v>SP1</v>
          </cell>
        </row>
      </sheetData>
      <sheetData sheetId="77">
        <row r="7">
          <cell r="AH7" t="str">
            <v>SP1</v>
          </cell>
        </row>
      </sheetData>
      <sheetData sheetId="78">
        <row r="7">
          <cell r="AH7" t="str">
            <v>SP1</v>
          </cell>
        </row>
      </sheetData>
      <sheetData sheetId="79">
        <row r="7">
          <cell r="AH7" t="str">
            <v>SP1</v>
          </cell>
        </row>
      </sheetData>
      <sheetData sheetId="80">
        <row r="7">
          <cell r="AH7" t="str">
            <v>SP1</v>
          </cell>
        </row>
      </sheetData>
      <sheetData sheetId="81">
        <row r="7">
          <cell r="AH7" t="str">
            <v>SP1</v>
          </cell>
        </row>
      </sheetData>
      <sheetData sheetId="82">
        <row r="7">
          <cell r="AH7" t="str">
            <v>SP1</v>
          </cell>
        </row>
      </sheetData>
      <sheetData sheetId="83">
        <row r="7">
          <cell r="AH7" t="str">
            <v>SP1</v>
          </cell>
        </row>
      </sheetData>
      <sheetData sheetId="84">
        <row r="7">
          <cell r="AH7" t="str">
            <v>SP1</v>
          </cell>
        </row>
      </sheetData>
      <sheetData sheetId="85">
        <row r="7">
          <cell r="AH7" t="str">
            <v>SP1</v>
          </cell>
        </row>
      </sheetData>
      <sheetData sheetId="86">
        <row r="7">
          <cell r="AH7" t="str">
            <v>SP1</v>
          </cell>
        </row>
      </sheetData>
      <sheetData sheetId="87">
        <row r="7">
          <cell r="AH7" t="str">
            <v>SP1</v>
          </cell>
        </row>
      </sheetData>
      <sheetData sheetId="88">
        <row r="7">
          <cell r="AH7" t="str">
            <v>SP1</v>
          </cell>
        </row>
      </sheetData>
      <sheetData sheetId="89">
        <row r="7">
          <cell r="AH7" t="str">
            <v>SP1</v>
          </cell>
        </row>
      </sheetData>
      <sheetData sheetId="90">
        <row r="7">
          <cell r="AH7" t="str">
            <v>SP1</v>
          </cell>
        </row>
      </sheetData>
      <sheetData sheetId="91">
        <row r="7">
          <cell r="AH7" t="str">
            <v>SP1</v>
          </cell>
        </row>
      </sheetData>
      <sheetData sheetId="92">
        <row r="7">
          <cell r="AH7" t="str">
            <v>SP1</v>
          </cell>
        </row>
      </sheetData>
      <sheetData sheetId="93">
        <row r="7">
          <cell r="AH7" t="str">
            <v>SP1</v>
          </cell>
        </row>
      </sheetData>
      <sheetData sheetId="94">
        <row r="7">
          <cell r="AH7" t="str">
            <v>SP1</v>
          </cell>
        </row>
      </sheetData>
      <sheetData sheetId="95">
        <row r="7">
          <cell r="AH7" t="str">
            <v>SP1</v>
          </cell>
        </row>
      </sheetData>
      <sheetData sheetId="96">
        <row r="7">
          <cell r="AH7" t="str">
            <v>SP1</v>
          </cell>
        </row>
      </sheetData>
      <sheetData sheetId="97">
        <row r="7">
          <cell r="AH7" t="str">
            <v>SP1</v>
          </cell>
        </row>
      </sheetData>
      <sheetData sheetId="98">
        <row r="7">
          <cell r="AH7" t="str">
            <v>SP1</v>
          </cell>
        </row>
      </sheetData>
      <sheetData sheetId="99">
        <row r="7">
          <cell r="AH7" t="str">
            <v>SP1</v>
          </cell>
        </row>
      </sheetData>
      <sheetData sheetId="100">
        <row r="7">
          <cell r="AH7" t="str">
            <v>SP1</v>
          </cell>
        </row>
      </sheetData>
      <sheetData sheetId="101">
        <row r="7">
          <cell r="AH7" t="str">
            <v>SP1</v>
          </cell>
        </row>
      </sheetData>
      <sheetData sheetId="102">
        <row r="7">
          <cell r="AH7" t="str">
            <v>SP1</v>
          </cell>
        </row>
      </sheetData>
      <sheetData sheetId="103">
        <row r="7">
          <cell r="AH7" t="str">
            <v>SP1</v>
          </cell>
        </row>
      </sheetData>
      <sheetData sheetId="104">
        <row r="7">
          <cell r="AH7" t="str">
            <v>SP1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>
        <row r="7">
          <cell r="AH7" t="str">
            <v>SP1</v>
          </cell>
        </row>
      </sheetData>
      <sheetData sheetId="117">
        <row r="7">
          <cell r="AH7" t="str">
            <v>SP1</v>
          </cell>
        </row>
      </sheetData>
      <sheetData sheetId="118">
        <row r="7">
          <cell r="AH7" t="str">
            <v>SP1</v>
          </cell>
        </row>
      </sheetData>
      <sheetData sheetId="119">
        <row r="7">
          <cell r="AH7" t="str">
            <v>SP1</v>
          </cell>
        </row>
      </sheetData>
      <sheetData sheetId="120">
        <row r="7">
          <cell r="AH7" t="str">
            <v>SP1</v>
          </cell>
        </row>
      </sheetData>
      <sheetData sheetId="121">
        <row r="7">
          <cell r="AH7" t="str">
            <v>SP1</v>
          </cell>
        </row>
      </sheetData>
      <sheetData sheetId="122">
        <row r="7">
          <cell r="AH7" t="str">
            <v>SP1</v>
          </cell>
        </row>
      </sheetData>
      <sheetData sheetId="123">
        <row r="7">
          <cell r="AH7" t="str">
            <v>SP1</v>
          </cell>
        </row>
      </sheetData>
      <sheetData sheetId="124">
        <row r="7">
          <cell r="AH7" t="str">
            <v>SP1</v>
          </cell>
        </row>
      </sheetData>
      <sheetData sheetId="125">
        <row r="7">
          <cell r="AH7" t="str">
            <v>SP1</v>
          </cell>
        </row>
      </sheetData>
      <sheetData sheetId="126">
        <row r="7">
          <cell r="AH7" t="str">
            <v>SP1</v>
          </cell>
        </row>
      </sheetData>
      <sheetData sheetId="127">
        <row r="7">
          <cell r="AH7" t="str">
            <v>SP1</v>
          </cell>
        </row>
      </sheetData>
      <sheetData sheetId="128">
        <row r="7">
          <cell r="AH7" t="str">
            <v>SP1</v>
          </cell>
        </row>
      </sheetData>
      <sheetData sheetId="129">
        <row r="7">
          <cell r="AH7" t="str">
            <v>SP1</v>
          </cell>
        </row>
      </sheetData>
      <sheetData sheetId="130">
        <row r="7">
          <cell r="AH7" t="str">
            <v>SP1</v>
          </cell>
        </row>
      </sheetData>
      <sheetData sheetId="131">
        <row r="7">
          <cell r="AH7" t="str">
            <v>SP1</v>
          </cell>
        </row>
      </sheetData>
      <sheetData sheetId="132">
        <row r="7">
          <cell r="AH7" t="str">
            <v>SP1</v>
          </cell>
        </row>
      </sheetData>
      <sheetData sheetId="133">
        <row r="7">
          <cell r="AH7" t="str">
            <v>SP1</v>
          </cell>
        </row>
      </sheetData>
      <sheetData sheetId="134">
        <row r="7">
          <cell r="AH7" t="str">
            <v>SP1</v>
          </cell>
        </row>
      </sheetData>
      <sheetData sheetId="135">
        <row r="7">
          <cell r="AH7" t="str">
            <v>SP1</v>
          </cell>
        </row>
      </sheetData>
      <sheetData sheetId="136">
        <row r="7">
          <cell r="AH7" t="str">
            <v>SP1</v>
          </cell>
        </row>
      </sheetData>
      <sheetData sheetId="137">
        <row r="7">
          <cell r="AH7" t="str">
            <v>SP1</v>
          </cell>
        </row>
      </sheetData>
      <sheetData sheetId="138"/>
      <sheetData sheetId="139"/>
      <sheetData sheetId="140">
        <row r="7">
          <cell r="AH7" t="str">
            <v>SP1</v>
          </cell>
        </row>
      </sheetData>
      <sheetData sheetId="141">
        <row r="7">
          <cell r="AH7" t="str">
            <v>SP1</v>
          </cell>
        </row>
      </sheetData>
      <sheetData sheetId="142">
        <row r="7">
          <cell r="AI7">
            <v>10000</v>
          </cell>
        </row>
      </sheetData>
      <sheetData sheetId="143">
        <row r="7">
          <cell r="AH7" t="str">
            <v>SP1</v>
          </cell>
        </row>
      </sheetData>
      <sheetData sheetId="144">
        <row r="7">
          <cell r="AH7" t="str">
            <v>SP1</v>
          </cell>
        </row>
      </sheetData>
      <sheetData sheetId="145">
        <row r="7">
          <cell r="AH7" t="str">
            <v>SP1</v>
          </cell>
        </row>
      </sheetData>
      <sheetData sheetId="146">
        <row r="7">
          <cell r="AH7" t="str">
            <v>SP1</v>
          </cell>
        </row>
      </sheetData>
      <sheetData sheetId="147">
        <row r="7">
          <cell r="AH7" t="str">
            <v>SP1</v>
          </cell>
        </row>
      </sheetData>
      <sheetData sheetId="148">
        <row r="7">
          <cell r="AI7">
            <v>10000</v>
          </cell>
        </row>
      </sheetData>
      <sheetData sheetId="149">
        <row r="7">
          <cell r="AH7" t="str">
            <v>SP1</v>
          </cell>
        </row>
      </sheetData>
      <sheetData sheetId="150">
        <row r="7">
          <cell r="AH7" t="str">
            <v>SP1</v>
          </cell>
        </row>
      </sheetData>
      <sheetData sheetId="151">
        <row r="7">
          <cell r="AH7" t="str">
            <v>SP1</v>
          </cell>
        </row>
      </sheetData>
      <sheetData sheetId="152">
        <row r="7">
          <cell r="AH7" t="str">
            <v>SP1</v>
          </cell>
        </row>
      </sheetData>
      <sheetData sheetId="153">
        <row r="7">
          <cell r="AH7" t="str">
            <v>SP1</v>
          </cell>
        </row>
      </sheetData>
      <sheetData sheetId="154">
        <row r="7">
          <cell r="AH7" t="str">
            <v>SP1</v>
          </cell>
        </row>
      </sheetData>
      <sheetData sheetId="155">
        <row r="7">
          <cell r="AH7" t="str">
            <v>SP1</v>
          </cell>
        </row>
      </sheetData>
      <sheetData sheetId="156">
        <row r="7">
          <cell r="AH7" t="str">
            <v>SP1</v>
          </cell>
        </row>
      </sheetData>
      <sheetData sheetId="157">
        <row r="7">
          <cell r="AH7" t="str">
            <v>SP1</v>
          </cell>
        </row>
      </sheetData>
      <sheetData sheetId="158">
        <row r="7">
          <cell r="AH7" t="str">
            <v>SP1</v>
          </cell>
        </row>
      </sheetData>
      <sheetData sheetId="159">
        <row r="7">
          <cell r="AH7" t="str">
            <v>SP1</v>
          </cell>
        </row>
      </sheetData>
      <sheetData sheetId="160">
        <row r="7">
          <cell r="AH7" t="str">
            <v>SP1</v>
          </cell>
        </row>
      </sheetData>
      <sheetData sheetId="161">
        <row r="7">
          <cell r="AH7" t="str">
            <v>SP1</v>
          </cell>
        </row>
      </sheetData>
      <sheetData sheetId="162">
        <row r="7">
          <cell r="AH7" t="str">
            <v>SP1</v>
          </cell>
        </row>
      </sheetData>
      <sheetData sheetId="163">
        <row r="7">
          <cell r="AH7" t="str">
            <v>SP1</v>
          </cell>
        </row>
      </sheetData>
      <sheetData sheetId="164">
        <row r="7">
          <cell r="AH7" t="str">
            <v>SP1</v>
          </cell>
        </row>
      </sheetData>
      <sheetData sheetId="165">
        <row r="7">
          <cell r="AI7">
            <v>10000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>
        <row r="7">
          <cell r="AI7">
            <v>10000</v>
          </cell>
        </row>
      </sheetData>
      <sheetData sheetId="173">
        <row r="7">
          <cell r="AH7" t="str">
            <v>SP1</v>
          </cell>
        </row>
      </sheetData>
      <sheetData sheetId="174">
        <row r="7">
          <cell r="AH7" t="str">
            <v>SP1</v>
          </cell>
        </row>
      </sheetData>
      <sheetData sheetId="175">
        <row r="7">
          <cell r="AH7" t="str">
            <v>SP1</v>
          </cell>
        </row>
      </sheetData>
      <sheetData sheetId="176">
        <row r="7">
          <cell r="AH7" t="str">
            <v>SP1</v>
          </cell>
        </row>
      </sheetData>
      <sheetData sheetId="177">
        <row r="7">
          <cell r="AH7" t="str">
            <v>SP1</v>
          </cell>
        </row>
      </sheetData>
      <sheetData sheetId="178">
        <row r="7">
          <cell r="AH7" t="str">
            <v>SP1</v>
          </cell>
        </row>
      </sheetData>
      <sheetData sheetId="179">
        <row r="7">
          <cell r="AH7" t="str">
            <v>SP1</v>
          </cell>
        </row>
      </sheetData>
      <sheetData sheetId="180">
        <row r="7">
          <cell r="AH7" t="str">
            <v>SP1</v>
          </cell>
        </row>
      </sheetData>
      <sheetData sheetId="181">
        <row r="7">
          <cell r="AH7" t="str">
            <v>SP1</v>
          </cell>
        </row>
      </sheetData>
      <sheetData sheetId="182">
        <row r="7">
          <cell r="AH7" t="str">
            <v>SP1</v>
          </cell>
        </row>
      </sheetData>
      <sheetData sheetId="183">
        <row r="7">
          <cell r="AH7" t="str">
            <v>SP1</v>
          </cell>
        </row>
      </sheetData>
      <sheetData sheetId="184">
        <row r="7">
          <cell r="AH7" t="str">
            <v>SP1</v>
          </cell>
        </row>
      </sheetData>
      <sheetData sheetId="185">
        <row r="7">
          <cell r="AI7">
            <v>10000</v>
          </cell>
        </row>
      </sheetData>
      <sheetData sheetId="186">
        <row r="7">
          <cell r="AI7">
            <v>10000</v>
          </cell>
        </row>
      </sheetData>
      <sheetData sheetId="187">
        <row r="7">
          <cell r="AI7">
            <v>10000</v>
          </cell>
        </row>
      </sheetData>
      <sheetData sheetId="188">
        <row r="7">
          <cell r="AI7">
            <v>10000</v>
          </cell>
        </row>
      </sheetData>
      <sheetData sheetId="189">
        <row r="7">
          <cell r="AI7">
            <v>10000</v>
          </cell>
        </row>
      </sheetData>
      <sheetData sheetId="190">
        <row r="7">
          <cell r="AI7">
            <v>10000</v>
          </cell>
        </row>
      </sheetData>
      <sheetData sheetId="191">
        <row r="7">
          <cell r="AI7">
            <v>10000</v>
          </cell>
        </row>
      </sheetData>
      <sheetData sheetId="192">
        <row r="7">
          <cell r="AI7">
            <v>10000</v>
          </cell>
        </row>
      </sheetData>
      <sheetData sheetId="193">
        <row r="7">
          <cell r="AI7">
            <v>10000</v>
          </cell>
        </row>
      </sheetData>
      <sheetData sheetId="194">
        <row r="7">
          <cell r="AI7">
            <v>10000</v>
          </cell>
        </row>
      </sheetData>
      <sheetData sheetId="195">
        <row r="7">
          <cell r="AI7">
            <v>10000</v>
          </cell>
        </row>
      </sheetData>
      <sheetData sheetId="196">
        <row r="7">
          <cell r="AH7" t="str">
            <v>SP1</v>
          </cell>
        </row>
      </sheetData>
      <sheetData sheetId="197">
        <row r="7">
          <cell r="AH7" t="str">
            <v>SP1</v>
          </cell>
        </row>
      </sheetData>
      <sheetData sheetId="198">
        <row r="7">
          <cell r="AH7" t="str">
            <v>SP1</v>
          </cell>
        </row>
      </sheetData>
      <sheetData sheetId="199">
        <row r="7">
          <cell r="AI7">
            <v>10000</v>
          </cell>
        </row>
      </sheetData>
      <sheetData sheetId="200">
        <row r="7">
          <cell r="AI7">
            <v>10000</v>
          </cell>
        </row>
      </sheetData>
      <sheetData sheetId="201">
        <row r="7">
          <cell r="AH7" t="str">
            <v>SP1</v>
          </cell>
        </row>
      </sheetData>
      <sheetData sheetId="202">
        <row r="7">
          <cell r="AH7" t="str">
            <v>SP1</v>
          </cell>
        </row>
      </sheetData>
      <sheetData sheetId="203">
        <row r="7">
          <cell r="AH7" t="str">
            <v>SP1</v>
          </cell>
        </row>
      </sheetData>
      <sheetData sheetId="204">
        <row r="7">
          <cell r="AH7" t="str">
            <v>SP1</v>
          </cell>
        </row>
      </sheetData>
      <sheetData sheetId="205">
        <row r="7">
          <cell r="AH7" t="str">
            <v>SP1</v>
          </cell>
        </row>
      </sheetData>
      <sheetData sheetId="206">
        <row r="7">
          <cell r="AH7" t="str">
            <v>SP1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7">
          <cell r="AH7" t="str">
            <v>SP1</v>
          </cell>
        </row>
      </sheetData>
      <sheetData sheetId="214">
        <row r="7">
          <cell r="AI7">
            <v>10000</v>
          </cell>
        </row>
      </sheetData>
      <sheetData sheetId="215">
        <row r="7">
          <cell r="AI7">
            <v>10000</v>
          </cell>
        </row>
      </sheetData>
      <sheetData sheetId="216">
        <row r="7">
          <cell r="AI7">
            <v>10000</v>
          </cell>
        </row>
      </sheetData>
      <sheetData sheetId="217">
        <row r="7">
          <cell r="AI7">
            <v>10000</v>
          </cell>
        </row>
      </sheetData>
      <sheetData sheetId="218">
        <row r="7">
          <cell r="AH7" t="str">
            <v>SP1</v>
          </cell>
        </row>
      </sheetData>
      <sheetData sheetId="219">
        <row r="7">
          <cell r="AH7" t="str">
            <v>SP1</v>
          </cell>
        </row>
      </sheetData>
      <sheetData sheetId="220" refreshError="1"/>
      <sheetData sheetId="221">
        <row r="7">
          <cell r="AH7" t="str">
            <v>SP1</v>
          </cell>
        </row>
      </sheetData>
      <sheetData sheetId="222">
        <row r="7">
          <cell r="AH7" t="str">
            <v>SP1</v>
          </cell>
        </row>
      </sheetData>
      <sheetData sheetId="223">
        <row r="7">
          <cell r="AH7" t="str">
            <v>SP1</v>
          </cell>
        </row>
      </sheetData>
      <sheetData sheetId="224">
        <row r="7">
          <cell r="AH7" t="str">
            <v>SP1</v>
          </cell>
        </row>
      </sheetData>
      <sheetData sheetId="225">
        <row r="7">
          <cell r="AH7" t="str">
            <v>SP1</v>
          </cell>
        </row>
      </sheetData>
      <sheetData sheetId="226">
        <row r="7">
          <cell r="AH7" t="str">
            <v>SP1</v>
          </cell>
        </row>
      </sheetData>
      <sheetData sheetId="227">
        <row r="7">
          <cell r="AH7" t="str">
            <v>SP1</v>
          </cell>
        </row>
      </sheetData>
      <sheetData sheetId="228">
        <row r="7">
          <cell r="AH7" t="str">
            <v>SP1</v>
          </cell>
        </row>
      </sheetData>
      <sheetData sheetId="229">
        <row r="7">
          <cell r="AH7" t="str">
            <v>SP1</v>
          </cell>
        </row>
      </sheetData>
      <sheetData sheetId="230">
        <row r="7">
          <cell r="AH7" t="str">
            <v>SP1</v>
          </cell>
        </row>
      </sheetData>
      <sheetData sheetId="231">
        <row r="7">
          <cell r="AH7" t="str">
            <v>SP1</v>
          </cell>
        </row>
      </sheetData>
      <sheetData sheetId="232">
        <row r="7">
          <cell r="AH7" t="str">
            <v>SP1</v>
          </cell>
        </row>
      </sheetData>
      <sheetData sheetId="233">
        <row r="7">
          <cell r="AH7" t="str">
            <v>SP1</v>
          </cell>
        </row>
      </sheetData>
      <sheetData sheetId="234">
        <row r="7">
          <cell r="AH7" t="str">
            <v>SP1</v>
          </cell>
        </row>
      </sheetData>
      <sheetData sheetId="235">
        <row r="7">
          <cell r="AH7" t="str">
            <v>SP1</v>
          </cell>
        </row>
      </sheetData>
      <sheetData sheetId="236">
        <row r="7">
          <cell r="AH7" t="str">
            <v>SP1</v>
          </cell>
        </row>
      </sheetData>
      <sheetData sheetId="237">
        <row r="7">
          <cell r="AH7" t="str">
            <v>SP1</v>
          </cell>
        </row>
      </sheetData>
      <sheetData sheetId="238">
        <row r="7">
          <cell r="AH7" t="str">
            <v>SP1</v>
          </cell>
        </row>
      </sheetData>
      <sheetData sheetId="239">
        <row r="7">
          <cell r="AH7" t="str">
            <v>SP1</v>
          </cell>
        </row>
      </sheetData>
      <sheetData sheetId="240">
        <row r="7">
          <cell r="AH7" t="str">
            <v>SP1</v>
          </cell>
        </row>
      </sheetData>
      <sheetData sheetId="241">
        <row r="7">
          <cell r="AH7" t="str">
            <v>SP1</v>
          </cell>
        </row>
      </sheetData>
      <sheetData sheetId="242">
        <row r="7">
          <cell r="AH7" t="str">
            <v>SP1</v>
          </cell>
        </row>
      </sheetData>
      <sheetData sheetId="243">
        <row r="7">
          <cell r="AH7" t="str">
            <v>SP1</v>
          </cell>
        </row>
      </sheetData>
      <sheetData sheetId="244">
        <row r="7">
          <cell r="AI7">
            <v>10000</v>
          </cell>
        </row>
      </sheetData>
      <sheetData sheetId="245">
        <row r="7">
          <cell r="AH7" t="str">
            <v>SP1</v>
          </cell>
        </row>
      </sheetData>
      <sheetData sheetId="246">
        <row r="7">
          <cell r="AH7" t="str">
            <v>SP1</v>
          </cell>
        </row>
      </sheetData>
      <sheetData sheetId="247">
        <row r="7">
          <cell r="AH7" t="str">
            <v>SP1</v>
          </cell>
        </row>
      </sheetData>
      <sheetData sheetId="248">
        <row r="7">
          <cell r="AH7" t="str">
            <v>SP1</v>
          </cell>
        </row>
      </sheetData>
      <sheetData sheetId="249">
        <row r="7">
          <cell r="AH7" t="str">
            <v>SP1</v>
          </cell>
        </row>
      </sheetData>
      <sheetData sheetId="250">
        <row r="7">
          <cell r="AH7" t="str">
            <v>SP1</v>
          </cell>
        </row>
      </sheetData>
      <sheetData sheetId="251">
        <row r="7">
          <cell r="AH7" t="str">
            <v>SP1</v>
          </cell>
        </row>
      </sheetData>
      <sheetData sheetId="252">
        <row r="7">
          <cell r="AH7" t="str">
            <v>SP1</v>
          </cell>
        </row>
      </sheetData>
      <sheetData sheetId="253">
        <row r="7">
          <cell r="AH7" t="str">
            <v>SP1</v>
          </cell>
        </row>
      </sheetData>
      <sheetData sheetId="254">
        <row r="7">
          <cell r="AH7" t="str">
            <v>SP1</v>
          </cell>
        </row>
      </sheetData>
      <sheetData sheetId="255">
        <row r="7">
          <cell r="AH7" t="str">
            <v>SP1</v>
          </cell>
        </row>
      </sheetData>
      <sheetData sheetId="256">
        <row r="7">
          <cell r="AH7" t="str">
            <v>SP1</v>
          </cell>
        </row>
      </sheetData>
      <sheetData sheetId="257">
        <row r="7">
          <cell r="AH7" t="str">
            <v>SP1</v>
          </cell>
        </row>
      </sheetData>
      <sheetData sheetId="258">
        <row r="7">
          <cell r="AH7" t="str">
            <v>SP1</v>
          </cell>
        </row>
      </sheetData>
      <sheetData sheetId="259">
        <row r="7">
          <cell r="AH7" t="str">
            <v>SP1</v>
          </cell>
        </row>
      </sheetData>
      <sheetData sheetId="260">
        <row r="7">
          <cell r="AH7" t="str">
            <v>SP1</v>
          </cell>
        </row>
      </sheetData>
      <sheetData sheetId="261">
        <row r="7">
          <cell r="AH7" t="str">
            <v>SP1</v>
          </cell>
        </row>
      </sheetData>
      <sheetData sheetId="262">
        <row r="7">
          <cell r="AH7" t="str">
            <v>SP1</v>
          </cell>
        </row>
      </sheetData>
      <sheetData sheetId="263">
        <row r="7">
          <cell r="AH7" t="str">
            <v>SP1</v>
          </cell>
        </row>
      </sheetData>
      <sheetData sheetId="264">
        <row r="7">
          <cell r="AH7" t="str">
            <v>SP1</v>
          </cell>
        </row>
      </sheetData>
      <sheetData sheetId="265">
        <row r="7">
          <cell r="AH7" t="str">
            <v>SP1</v>
          </cell>
        </row>
      </sheetData>
      <sheetData sheetId="266">
        <row r="7">
          <cell r="AH7" t="str">
            <v>SP1</v>
          </cell>
        </row>
      </sheetData>
      <sheetData sheetId="267">
        <row r="7">
          <cell r="AH7" t="str">
            <v>SP1</v>
          </cell>
        </row>
      </sheetData>
      <sheetData sheetId="268">
        <row r="7">
          <cell r="AH7" t="str">
            <v>SP1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7">
          <cell r="AH7" t="str">
            <v>SP1</v>
          </cell>
        </row>
      </sheetData>
      <sheetData sheetId="313">
        <row r="7">
          <cell r="AH7" t="str">
            <v>SP1</v>
          </cell>
        </row>
      </sheetData>
      <sheetData sheetId="314">
        <row r="7">
          <cell r="AH7" t="str">
            <v>SP1</v>
          </cell>
        </row>
      </sheetData>
      <sheetData sheetId="315">
        <row r="7">
          <cell r="AH7" t="str">
            <v>SP1</v>
          </cell>
        </row>
      </sheetData>
      <sheetData sheetId="316">
        <row r="7">
          <cell r="AH7" t="str">
            <v>SP1</v>
          </cell>
        </row>
      </sheetData>
      <sheetData sheetId="317">
        <row r="7">
          <cell r="AH7" t="str">
            <v>SP1</v>
          </cell>
        </row>
      </sheetData>
      <sheetData sheetId="318">
        <row r="7">
          <cell r="AH7" t="str">
            <v>SP1</v>
          </cell>
        </row>
      </sheetData>
      <sheetData sheetId="319">
        <row r="7">
          <cell r="AH7" t="str">
            <v>SP1</v>
          </cell>
        </row>
      </sheetData>
      <sheetData sheetId="320">
        <row r="7">
          <cell r="AH7" t="str">
            <v>SP1</v>
          </cell>
        </row>
      </sheetData>
      <sheetData sheetId="321">
        <row r="7">
          <cell r="AH7" t="str">
            <v>SP1</v>
          </cell>
        </row>
      </sheetData>
      <sheetData sheetId="322">
        <row r="7">
          <cell r="AH7" t="str">
            <v>SP1</v>
          </cell>
        </row>
      </sheetData>
      <sheetData sheetId="323">
        <row r="7">
          <cell r="AH7" t="str">
            <v>SP1</v>
          </cell>
        </row>
      </sheetData>
      <sheetData sheetId="324">
        <row r="7">
          <cell r="AH7" t="str">
            <v>SP1</v>
          </cell>
        </row>
      </sheetData>
      <sheetData sheetId="325">
        <row r="7">
          <cell r="AH7" t="str">
            <v>SP1</v>
          </cell>
        </row>
      </sheetData>
      <sheetData sheetId="326">
        <row r="7">
          <cell r="AH7" t="str">
            <v>SP1</v>
          </cell>
        </row>
      </sheetData>
      <sheetData sheetId="327">
        <row r="7">
          <cell r="AH7" t="str">
            <v>SP1</v>
          </cell>
        </row>
      </sheetData>
      <sheetData sheetId="328">
        <row r="7">
          <cell r="AI7">
            <v>10000</v>
          </cell>
        </row>
      </sheetData>
      <sheetData sheetId="329">
        <row r="7">
          <cell r="AI7">
            <v>10000</v>
          </cell>
        </row>
      </sheetData>
      <sheetData sheetId="330">
        <row r="7">
          <cell r="AI7">
            <v>10000</v>
          </cell>
        </row>
      </sheetData>
      <sheetData sheetId="331">
        <row r="7">
          <cell r="AI7">
            <v>10000</v>
          </cell>
        </row>
      </sheetData>
      <sheetData sheetId="332">
        <row r="7">
          <cell r="AI7">
            <v>10000</v>
          </cell>
        </row>
      </sheetData>
      <sheetData sheetId="333">
        <row r="7">
          <cell r="AH7" t="str">
            <v>SP1</v>
          </cell>
        </row>
      </sheetData>
      <sheetData sheetId="334">
        <row r="7">
          <cell r="AH7" t="str">
            <v>SP1</v>
          </cell>
        </row>
      </sheetData>
      <sheetData sheetId="335">
        <row r="7">
          <cell r="AH7" t="str">
            <v>SP1</v>
          </cell>
        </row>
      </sheetData>
      <sheetData sheetId="336">
        <row r="7">
          <cell r="AH7" t="str">
            <v>SP1</v>
          </cell>
        </row>
      </sheetData>
      <sheetData sheetId="337">
        <row r="7">
          <cell r="AH7" t="str">
            <v>SP1</v>
          </cell>
        </row>
      </sheetData>
      <sheetData sheetId="338">
        <row r="7">
          <cell r="AH7" t="str">
            <v>SP1</v>
          </cell>
        </row>
      </sheetData>
      <sheetData sheetId="339">
        <row r="7">
          <cell r="AH7" t="str">
            <v>SP1</v>
          </cell>
        </row>
      </sheetData>
      <sheetData sheetId="340">
        <row r="7">
          <cell r="AH7" t="str">
            <v>SP1</v>
          </cell>
        </row>
      </sheetData>
      <sheetData sheetId="341">
        <row r="7">
          <cell r="AH7" t="str">
            <v>SP1</v>
          </cell>
        </row>
      </sheetData>
      <sheetData sheetId="342">
        <row r="7">
          <cell r="AH7" t="str">
            <v>SP1</v>
          </cell>
        </row>
      </sheetData>
      <sheetData sheetId="343">
        <row r="7">
          <cell r="AH7" t="str">
            <v>SP1</v>
          </cell>
        </row>
      </sheetData>
      <sheetData sheetId="344">
        <row r="7">
          <cell r="AH7" t="str">
            <v>SP1</v>
          </cell>
        </row>
      </sheetData>
      <sheetData sheetId="345">
        <row r="7">
          <cell r="AH7" t="str">
            <v>SP1</v>
          </cell>
        </row>
      </sheetData>
      <sheetData sheetId="346">
        <row r="7">
          <cell r="AH7" t="str">
            <v>SP1</v>
          </cell>
        </row>
      </sheetData>
      <sheetData sheetId="347">
        <row r="7">
          <cell r="AH7" t="str">
            <v>SP1</v>
          </cell>
        </row>
      </sheetData>
      <sheetData sheetId="348">
        <row r="7">
          <cell r="AH7" t="str">
            <v>SP1</v>
          </cell>
        </row>
      </sheetData>
      <sheetData sheetId="349">
        <row r="7">
          <cell r="AH7" t="str">
            <v>SP1</v>
          </cell>
        </row>
      </sheetData>
      <sheetData sheetId="350">
        <row r="7">
          <cell r="AH7" t="str">
            <v>SP1</v>
          </cell>
        </row>
      </sheetData>
      <sheetData sheetId="351">
        <row r="7">
          <cell r="AH7" t="str">
            <v>SP1</v>
          </cell>
        </row>
      </sheetData>
      <sheetData sheetId="352">
        <row r="7">
          <cell r="AH7" t="str">
            <v>SP1</v>
          </cell>
        </row>
      </sheetData>
      <sheetData sheetId="353">
        <row r="7">
          <cell r="AH7" t="str">
            <v>SP1</v>
          </cell>
        </row>
      </sheetData>
      <sheetData sheetId="354">
        <row r="7">
          <cell r="AH7" t="str">
            <v>SP1</v>
          </cell>
        </row>
      </sheetData>
      <sheetData sheetId="355">
        <row r="7">
          <cell r="AH7" t="str">
            <v>SP1</v>
          </cell>
        </row>
      </sheetData>
      <sheetData sheetId="356">
        <row r="7">
          <cell r="AI7">
            <v>10000</v>
          </cell>
        </row>
      </sheetData>
      <sheetData sheetId="357">
        <row r="7">
          <cell r="AH7" t="str">
            <v>SP1</v>
          </cell>
        </row>
      </sheetData>
      <sheetData sheetId="358">
        <row r="7">
          <cell r="AH7" t="str">
            <v>SP1</v>
          </cell>
        </row>
      </sheetData>
      <sheetData sheetId="359">
        <row r="7">
          <cell r="AH7" t="str">
            <v>SP1</v>
          </cell>
        </row>
      </sheetData>
      <sheetData sheetId="360">
        <row r="7">
          <cell r="AH7" t="str">
            <v>SP1</v>
          </cell>
        </row>
      </sheetData>
      <sheetData sheetId="361">
        <row r="7">
          <cell r="AH7" t="str">
            <v>SP1</v>
          </cell>
        </row>
      </sheetData>
      <sheetData sheetId="362">
        <row r="7">
          <cell r="AH7" t="str">
            <v>SP1</v>
          </cell>
        </row>
      </sheetData>
      <sheetData sheetId="363">
        <row r="7">
          <cell r="AH7" t="str">
            <v>SP1</v>
          </cell>
        </row>
      </sheetData>
      <sheetData sheetId="364">
        <row r="7">
          <cell r="AH7" t="str">
            <v>SP1</v>
          </cell>
        </row>
      </sheetData>
      <sheetData sheetId="365">
        <row r="7">
          <cell r="AH7" t="str">
            <v>SP1</v>
          </cell>
        </row>
      </sheetData>
      <sheetData sheetId="366">
        <row r="7">
          <cell r="AH7" t="str">
            <v>SP1</v>
          </cell>
        </row>
      </sheetData>
      <sheetData sheetId="367">
        <row r="7">
          <cell r="AH7" t="str">
            <v>SP1</v>
          </cell>
        </row>
      </sheetData>
      <sheetData sheetId="368">
        <row r="7">
          <cell r="AH7" t="str">
            <v>SP1</v>
          </cell>
        </row>
      </sheetData>
      <sheetData sheetId="369">
        <row r="7">
          <cell r="AH7" t="str">
            <v>SP1</v>
          </cell>
        </row>
      </sheetData>
      <sheetData sheetId="370"/>
      <sheetData sheetId="371"/>
      <sheetData sheetId="372">
        <row r="7">
          <cell r="AH7" t="str">
            <v>SP1</v>
          </cell>
        </row>
      </sheetData>
      <sheetData sheetId="373">
        <row r="7">
          <cell r="AH7" t="str">
            <v>SP1</v>
          </cell>
        </row>
      </sheetData>
      <sheetData sheetId="374">
        <row r="7">
          <cell r="AH7" t="str">
            <v>SP1</v>
          </cell>
        </row>
      </sheetData>
      <sheetData sheetId="375">
        <row r="7">
          <cell r="AH7" t="str">
            <v>SP1</v>
          </cell>
        </row>
      </sheetData>
      <sheetData sheetId="376">
        <row r="7">
          <cell r="AH7" t="str">
            <v>SP1</v>
          </cell>
        </row>
      </sheetData>
      <sheetData sheetId="377">
        <row r="7">
          <cell r="AH7" t="str">
            <v>SP1</v>
          </cell>
        </row>
      </sheetData>
      <sheetData sheetId="378">
        <row r="7">
          <cell r="AH7" t="str">
            <v>SP1</v>
          </cell>
        </row>
      </sheetData>
      <sheetData sheetId="379">
        <row r="7">
          <cell r="AH7" t="str">
            <v>SP1</v>
          </cell>
        </row>
      </sheetData>
      <sheetData sheetId="380">
        <row r="7">
          <cell r="AH7" t="str">
            <v>SP1</v>
          </cell>
        </row>
      </sheetData>
      <sheetData sheetId="381">
        <row r="7">
          <cell r="AH7" t="str">
            <v>SP1</v>
          </cell>
        </row>
      </sheetData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7">
          <cell r="AH7" t="str">
            <v>SP1</v>
          </cell>
        </row>
      </sheetData>
      <sheetData sheetId="390">
        <row r="7">
          <cell r="AH7" t="str">
            <v>SP1</v>
          </cell>
        </row>
      </sheetData>
      <sheetData sheetId="391">
        <row r="7">
          <cell r="AH7" t="str">
            <v>SP1</v>
          </cell>
        </row>
      </sheetData>
      <sheetData sheetId="392">
        <row r="7">
          <cell r="AH7" t="str">
            <v>SP1</v>
          </cell>
        </row>
      </sheetData>
      <sheetData sheetId="393">
        <row r="7">
          <cell r="AH7" t="str">
            <v>SP1</v>
          </cell>
        </row>
      </sheetData>
      <sheetData sheetId="394">
        <row r="7">
          <cell r="AH7" t="str">
            <v>SP1</v>
          </cell>
        </row>
      </sheetData>
      <sheetData sheetId="395">
        <row r="7">
          <cell r="AH7" t="str">
            <v>SP1</v>
          </cell>
        </row>
      </sheetData>
      <sheetData sheetId="396">
        <row r="7">
          <cell r="AH7" t="str">
            <v>SP1</v>
          </cell>
        </row>
      </sheetData>
      <sheetData sheetId="397">
        <row r="7">
          <cell r="AH7" t="str">
            <v>SP1</v>
          </cell>
        </row>
      </sheetData>
      <sheetData sheetId="398">
        <row r="7">
          <cell r="AH7" t="str">
            <v>SP1</v>
          </cell>
        </row>
      </sheetData>
      <sheetData sheetId="399">
        <row r="7">
          <cell r="AI7">
            <v>10000</v>
          </cell>
        </row>
      </sheetData>
      <sheetData sheetId="400">
        <row r="7">
          <cell r="AH7" t="str">
            <v>SP1</v>
          </cell>
        </row>
      </sheetData>
      <sheetData sheetId="401">
        <row r="7">
          <cell r="AH7" t="str">
            <v>SP1</v>
          </cell>
        </row>
      </sheetData>
      <sheetData sheetId="402">
        <row r="7">
          <cell r="AH7" t="str">
            <v>SP1</v>
          </cell>
        </row>
      </sheetData>
      <sheetData sheetId="403">
        <row r="7">
          <cell r="AH7" t="str">
            <v>SP1</v>
          </cell>
        </row>
      </sheetData>
      <sheetData sheetId="404">
        <row r="7">
          <cell r="AH7" t="str">
            <v>SP1</v>
          </cell>
        </row>
      </sheetData>
      <sheetData sheetId="405">
        <row r="7">
          <cell r="AH7" t="str">
            <v>SP1</v>
          </cell>
        </row>
      </sheetData>
      <sheetData sheetId="406">
        <row r="7">
          <cell r="AH7" t="str">
            <v>SP1</v>
          </cell>
        </row>
      </sheetData>
      <sheetData sheetId="407">
        <row r="7">
          <cell r="AH7" t="str">
            <v>SP1</v>
          </cell>
        </row>
      </sheetData>
      <sheetData sheetId="408">
        <row r="7">
          <cell r="AH7" t="str">
            <v>SP1</v>
          </cell>
        </row>
      </sheetData>
      <sheetData sheetId="409">
        <row r="7">
          <cell r="AH7" t="str">
            <v>SP1</v>
          </cell>
        </row>
      </sheetData>
      <sheetData sheetId="410">
        <row r="7">
          <cell r="AH7" t="str">
            <v>SP1</v>
          </cell>
        </row>
      </sheetData>
      <sheetData sheetId="411">
        <row r="7">
          <cell r="AH7" t="str">
            <v>SP1</v>
          </cell>
        </row>
      </sheetData>
      <sheetData sheetId="412">
        <row r="7">
          <cell r="AH7" t="str">
            <v>SP1</v>
          </cell>
        </row>
      </sheetData>
      <sheetData sheetId="413">
        <row r="7">
          <cell r="AH7" t="str">
            <v>SP1</v>
          </cell>
        </row>
      </sheetData>
      <sheetData sheetId="414">
        <row r="7">
          <cell r="AH7" t="str">
            <v>SP1</v>
          </cell>
        </row>
      </sheetData>
      <sheetData sheetId="415">
        <row r="7">
          <cell r="AH7" t="str">
            <v>SP1</v>
          </cell>
        </row>
      </sheetData>
      <sheetData sheetId="416">
        <row r="7">
          <cell r="AH7" t="str">
            <v>SP1</v>
          </cell>
        </row>
      </sheetData>
      <sheetData sheetId="417">
        <row r="7">
          <cell r="AH7" t="str">
            <v>SP1</v>
          </cell>
        </row>
      </sheetData>
      <sheetData sheetId="418">
        <row r="7">
          <cell r="AH7" t="str">
            <v>SP1</v>
          </cell>
        </row>
      </sheetData>
      <sheetData sheetId="419">
        <row r="7">
          <cell r="AH7" t="str">
            <v>SP1</v>
          </cell>
        </row>
      </sheetData>
      <sheetData sheetId="420">
        <row r="7">
          <cell r="AH7" t="str">
            <v>SP1</v>
          </cell>
        </row>
      </sheetData>
      <sheetData sheetId="421">
        <row r="7">
          <cell r="AH7" t="str">
            <v>SP1</v>
          </cell>
        </row>
      </sheetData>
      <sheetData sheetId="422">
        <row r="7">
          <cell r="AH7" t="str">
            <v>SP1</v>
          </cell>
        </row>
      </sheetData>
      <sheetData sheetId="423">
        <row r="7">
          <cell r="AH7" t="str">
            <v>SP1</v>
          </cell>
        </row>
      </sheetData>
      <sheetData sheetId="424">
        <row r="7">
          <cell r="AH7" t="str">
            <v>SP1</v>
          </cell>
        </row>
      </sheetData>
      <sheetData sheetId="425">
        <row r="7">
          <cell r="AH7" t="str">
            <v>SP1</v>
          </cell>
        </row>
      </sheetData>
      <sheetData sheetId="426">
        <row r="7">
          <cell r="AH7" t="str">
            <v>SP1</v>
          </cell>
        </row>
      </sheetData>
      <sheetData sheetId="427">
        <row r="7">
          <cell r="AH7" t="str">
            <v>SP1</v>
          </cell>
        </row>
      </sheetData>
      <sheetData sheetId="428">
        <row r="7">
          <cell r="AH7" t="str">
            <v>SP1</v>
          </cell>
        </row>
      </sheetData>
      <sheetData sheetId="429">
        <row r="7">
          <cell r="AH7" t="str">
            <v>SP1</v>
          </cell>
        </row>
      </sheetData>
      <sheetData sheetId="430">
        <row r="7">
          <cell r="AH7" t="str">
            <v>SP1</v>
          </cell>
        </row>
      </sheetData>
      <sheetData sheetId="431">
        <row r="7">
          <cell r="AH7" t="str">
            <v>SP1</v>
          </cell>
        </row>
      </sheetData>
      <sheetData sheetId="432">
        <row r="7">
          <cell r="AH7" t="str">
            <v>SP1</v>
          </cell>
        </row>
      </sheetData>
      <sheetData sheetId="433">
        <row r="7">
          <cell r="AH7" t="str">
            <v>SP1</v>
          </cell>
        </row>
      </sheetData>
      <sheetData sheetId="434">
        <row r="7">
          <cell r="AH7" t="str">
            <v>SP1</v>
          </cell>
        </row>
      </sheetData>
      <sheetData sheetId="435">
        <row r="7">
          <cell r="AH7" t="str">
            <v>SP1</v>
          </cell>
        </row>
      </sheetData>
      <sheetData sheetId="436">
        <row r="7">
          <cell r="AH7" t="str">
            <v>SP1</v>
          </cell>
        </row>
      </sheetData>
      <sheetData sheetId="437">
        <row r="7">
          <cell r="AH7" t="str">
            <v>SP1</v>
          </cell>
        </row>
      </sheetData>
      <sheetData sheetId="438">
        <row r="7">
          <cell r="AH7" t="str">
            <v>SP1</v>
          </cell>
        </row>
      </sheetData>
      <sheetData sheetId="439">
        <row r="7">
          <cell r="AH7" t="str">
            <v>SP1</v>
          </cell>
        </row>
      </sheetData>
      <sheetData sheetId="440">
        <row r="7">
          <cell r="AH7" t="str">
            <v>SP1</v>
          </cell>
        </row>
      </sheetData>
      <sheetData sheetId="441">
        <row r="7">
          <cell r="AH7" t="str">
            <v>SP1</v>
          </cell>
        </row>
      </sheetData>
      <sheetData sheetId="442">
        <row r="7">
          <cell r="AH7" t="str">
            <v>SP1</v>
          </cell>
        </row>
      </sheetData>
      <sheetData sheetId="443">
        <row r="7">
          <cell r="AH7" t="str">
            <v>SP1</v>
          </cell>
        </row>
      </sheetData>
      <sheetData sheetId="444">
        <row r="7">
          <cell r="AH7" t="str">
            <v>SP1</v>
          </cell>
        </row>
      </sheetData>
      <sheetData sheetId="445">
        <row r="7">
          <cell r="AH7" t="str">
            <v>SP1</v>
          </cell>
        </row>
      </sheetData>
      <sheetData sheetId="446">
        <row r="7">
          <cell r="AH7" t="str">
            <v>SP1</v>
          </cell>
        </row>
      </sheetData>
      <sheetData sheetId="447">
        <row r="7">
          <cell r="AH7" t="str">
            <v>SP1</v>
          </cell>
        </row>
      </sheetData>
      <sheetData sheetId="448">
        <row r="7">
          <cell r="AH7" t="str">
            <v>SP1</v>
          </cell>
        </row>
      </sheetData>
      <sheetData sheetId="449">
        <row r="7">
          <cell r="AH7" t="str">
            <v>SP1</v>
          </cell>
        </row>
      </sheetData>
      <sheetData sheetId="450">
        <row r="7">
          <cell r="AH7" t="str">
            <v>SP1</v>
          </cell>
        </row>
      </sheetData>
      <sheetData sheetId="451">
        <row r="7">
          <cell r="AH7" t="str">
            <v>SP1</v>
          </cell>
        </row>
      </sheetData>
      <sheetData sheetId="452">
        <row r="7">
          <cell r="AH7" t="str">
            <v>SP1</v>
          </cell>
        </row>
      </sheetData>
      <sheetData sheetId="453">
        <row r="7">
          <cell r="AH7" t="str">
            <v>SP1</v>
          </cell>
        </row>
      </sheetData>
      <sheetData sheetId="454">
        <row r="7">
          <cell r="AH7" t="str">
            <v>SP1</v>
          </cell>
        </row>
      </sheetData>
      <sheetData sheetId="455">
        <row r="7">
          <cell r="AH7" t="str">
            <v>SP1</v>
          </cell>
        </row>
      </sheetData>
      <sheetData sheetId="456">
        <row r="7">
          <cell r="AH7" t="str">
            <v>SP1</v>
          </cell>
        </row>
      </sheetData>
      <sheetData sheetId="457">
        <row r="7">
          <cell r="AH7" t="str">
            <v>SP1</v>
          </cell>
        </row>
      </sheetData>
      <sheetData sheetId="458">
        <row r="7">
          <cell r="AH7" t="str">
            <v>SP1</v>
          </cell>
        </row>
      </sheetData>
      <sheetData sheetId="459">
        <row r="7">
          <cell r="AH7" t="str">
            <v>SP1</v>
          </cell>
        </row>
      </sheetData>
      <sheetData sheetId="460">
        <row r="7">
          <cell r="AH7" t="str">
            <v>SP1</v>
          </cell>
        </row>
      </sheetData>
      <sheetData sheetId="461">
        <row r="7">
          <cell r="AH7" t="str">
            <v>SP1</v>
          </cell>
        </row>
      </sheetData>
      <sheetData sheetId="462">
        <row r="7">
          <cell r="AH7" t="str">
            <v>SP1</v>
          </cell>
        </row>
      </sheetData>
      <sheetData sheetId="463">
        <row r="7">
          <cell r="AH7" t="str">
            <v>SP1</v>
          </cell>
        </row>
      </sheetData>
      <sheetData sheetId="464">
        <row r="7">
          <cell r="AH7" t="str">
            <v>SP1</v>
          </cell>
        </row>
      </sheetData>
      <sheetData sheetId="465">
        <row r="7">
          <cell r="AH7" t="str">
            <v>SP1</v>
          </cell>
        </row>
      </sheetData>
      <sheetData sheetId="466">
        <row r="7">
          <cell r="AH7" t="str">
            <v>SP1</v>
          </cell>
        </row>
      </sheetData>
      <sheetData sheetId="467">
        <row r="7">
          <cell r="AH7" t="str">
            <v>SP1</v>
          </cell>
        </row>
      </sheetData>
      <sheetData sheetId="468">
        <row r="7">
          <cell r="AH7" t="str">
            <v>SP1</v>
          </cell>
        </row>
      </sheetData>
      <sheetData sheetId="469">
        <row r="7">
          <cell r="AI7">
            <v>10000</v>
          </cell>
        </row>
      </sheetData>
      <sheetData sheetId="470">
        <row r="7">
          <cell r="AI7">
            <v>10000</v>
          </cell>
        </row>
      </sheetData>
      <sheetData sheetId="471">
        <row r="7">
          <cell r="AH7" t="str">
            <v>SP1</v>
          </cell>
        </row>
      </sheetData>
      <sheetData sheetId="472">
        <row r="7">
          <cell r="AI7">
            <v>10000</v>
          </cell>
        </row>
      </sheetData>
      <sheetData sheetId="473">
        <row r="7">
          <cell r="AH7" t="str">
            <v>SP1</v>
          </cell>
        </row>
      </sheetData>
      <sheetData sheetId="474">
        <row r="7">
          <cell r="AH7" t="str">
            <v>SP1</v>
          </cell>
        </row>
      </sheetData>
      <sheetData sheetId="475">
        <row r="7">
          <cell r="AI7">
            <v>10000</v>
          </cell>
        </row>
      </sheetData>
      <sheetData sheetId="476">
        <row r="7">
          <cell r="AH7" t="str">
            <v>SP1</v>
          </cell>
        </row>
      </sheetData>
      <sheetData sheetId="477">
        <row r="7">
          <cell r="AI7">
            <v>10000</v>
          </cell>
        </row>
      </sheetData>
      <sheetData sheetId="478">
        <row r="7">
          <cell r="AH7" t="str">
            <v>SP1</v>
          </cell>
        </row>
      </sheetData>
      <sheetData sheetId="479">
        <row r="7">
          <cell r="AH7" t="str">
            <v>SP1</v>
          </cell>
        </row>
      </sheetData>
      <sheetData sheetId="480">
        <row r="7">
          <cell r="AH7" t="str">
            <v>SP1</v>
          </cell>
        </row>
      </sheetData>
      <sheetData sheetId="481">
        <row r="7">
          <cell r="AH7" t="str">
            <v>SP1</v>
          </cell>
        </row>
      </sheetData>
      <sheetData sheetId="482">
        <row r="7">
          <cell r="AI7">
            <v>10000</v>
          </cell>
        </row>
      </sheetData>
      <sheetData sheetId="483">
        <row r="7">
          <cell r="AI7">
            <v>10000</v>
          </cell>
        </row>
      </sheetData>
      <sheetData sheetId="484">
        <row r="7">
          <cell r="AI7">
            <v>10000</v>
          </cell>
        </row>
      </sheetData>
      <sheetData sheetId="485">
        <row r="7">
          <cell r="AI7">
            <v>10000</v>
          </cell>
        </row>
      </sheetData>
      <sheetData sheetId="486">
        <row r="7">
          <cell r="AI7">
            <v>10000</v>
          </cell>
        </row>
      </sheetData>
      <sheetData sheetId="487">
        <row r="7">
          <cell r="AI7">
            <v>10000</v>
          </cell>
        </row>
      </sheetData>
      <sheetData sheetId="488">
        <row r="7">
          <cell r="AI7">
            <v>10000</v>
          </cell>
        </row>
      </sheetData>
      <sheetData sheetId="489">
        <row r="7">
          <cell r="AI7">
            <v>10000</v>
          </cell>
        </row>
      </sheetData>
      <sheetData sheetId="490">
        <row r="7">
          <cell r="AI7">
            <v>10000</v>
          </cell>
        </row>
      </sheetData>
      <sheetData sheetId="491">
        <row r="7">
          <cell r="AI7">
            <v>10000</v>
          </cell>
        </row>
      </sheetData>
      <sheetData sheetId="492">
        <row r="7">
          <cell r="AH7" t="str">
            <v>SP1</v>
          </cell>
        </row>
      </sheetData>
      <sheetData sheetId="493">
        <row r="7">
          <cell r="AI7">
            <v>10000</v>
          </cell>
        </row>
      </sheetData>
      <sheetData sheetId="494">
        <row r="7">
          <cell r="AH7" t="str">
            <v>SP1</v>
          </cell>
        </row>
      </sheetData>
      <sheetData sheetId="495">
        <row r="7">
          <cell r="AI7">
            <v>10000</v>
          </cell>
        </row>
      </sheetData>
      <sheetData sheetId="496">
        <row r="7">
          <cell r="AH7" t="str">
            <v>SP1</v>
          </cell>
        </row>
      </sheetData>
      <sheetData sheetId="497">
        <row r="7">
          <cell r="AH7" t="str">
            <v>SP1</v>
          </cell>
        </row>
      </sheetData>
      <sheetData sheetId="498">
        <row r="7">
          <cell r="AH7" t="str">
            <v>SP1</v>
          </cell>
        </row>
      </sheetData>
      <sheetData sheetId="499">
        <row r="7">
          <cell r="AH7" t="str">
            <v>SP1</v>
          </cell>
        </row>
      </sheetData>
      <sheetData sheetId="500">
        <row r="7">
          <cell r="AH7" t="str">
            <v>SP1</v>
          </cell>
        </row>
      </sheetData>
      <sheetData sheetId="501">
        <row r="7">
          <cell r="AH7" t="str">
            <v>SP1</v>
          </cell>
        </row>
      </sheetData>
      <sheetData sheetId="502">
        <row r="7">
          <cell r="AH7" t="str">
            <v>SP1</v>
          </cell>
        </row>
      </sheetData>
      <sheetData sheetId="503">
        <row r="7">
          <cell r="AH7" t="str">
            <v>SP1</v>
          </cell>
        </row>
      </sheetData>
      <sheetData sheetId="504">
        <row r="7">
          <cell r="AH7" t="str">
            <v>SP1</v>
          </cell>
        </row>
      </sheetData>
      <sheetData sheetId="505">
        <row r="7">
          <cell r="AH7" t="str">
            <v>SP1</v>
          </cell>
        </row>
      </sheetData>
      <sheetData sheetId="506">
        <row r="7">
          <cell r="AH7" t="str">
            <v>SP1</v>
          </cell>
        </row>
      </sheetData>
      <sheetData sheetId="507">
        <row r="7">
          <cell r="AH7" t="str">
            <v>SP1</v>
          </cell>
        </row>
      </sheetData>
      <sheetData sheetId="508">
        <row r="7">
          <cell r="AH7" t="str">
            <v>SP1</v>
          </cell>
        </row>
      </sheetData>
      <sheetData sheetId="509">
        <row r="7">
          <cell r="AH7" t="str">
            <v>SP1</v>
          </cell>
        </row>
      </sheetData>
      <sheetData sheetId="510">
        <row r="7">
          <cell r="AH7" t="str">
            <v>SP1</v>
          </cell>
        </row>
      </sheetData>
      <sheetData sheetId="511">
        <row r="7">
          <cell r="AH7" t="str">
            <v>SP1</v>
          </cell>
        </row>
      </sheetData>
      <sheetData sheetId="512">
        <row r="7">
          <cell r="AH7" t="str">
            <v>SP1</v>
          </cell>
        </row>
      </sheetData>
      <sheetData sheetId="513">
        <row r="7">
          <cell r="AH7" t="str">
            <v>SP1</v>
          </cell>
        </row>
      </sheetData>
      <sheetData sheetId="514">
        <row r="7">
          <cell r="AH7" t="str">
            <v>SP1</v>
          </cell>
        </row>
      </sheetData>
      <sheetData sheetId="515">
        <row r="7">
          <cell r="AI7">
            <v>10000</v>
          </cell>
        </row>
      </sheetData>
      <sheetData sheetId="516">
        <row r="7">
          <cell r="AI7">
            <v>10000</v>
          </cell>
        </row>
      </sheetData>
      <sheetData sheetId="517">
        <row r="7">
          <cell r="AH7" t="str">
            <v>SP1</v>
          </cell>
        </row>
      </sheetData>
      <sheetData sheetId="518">
        <row r="7">
          <cell r="AI7">
            <v>10000</v>
          </cell>
        </row>
      </sheetData>
      <sheetData sheetId="519">
        <row r="7">
          <cell r="AH7" t="str">
            <v>SP1</v>
          </cell>
        </row>
      </sheetData>
      <sheetData sheetId="520">
        <row r="7">
          <cell r="AH7" t="str">
            <v>SP1</v>
          </cell>
        </row>
      </sheetData>
      <sheetData sheetId="521">
        <row r="7">
          <cell r="AH7" t="str">
            <v>SP1</v>
          </cell>
        </row>
      </sheetData>
      <sheetData sheetId="522">
        <row r="7">
          <cell r="AH7" t="str">
            <v>SP1</v>
          </cell>
        </row>
      </sheetData>
      <sheetData sheetId="523">
        <row r="7">
          <cell r="AI7">
            <v>10000</v>
          </cell>
        </row>
      </sheetData>
      <sheetData sheetId="524">
        <row r="7">
          <cell r="AH7" t="str">
            <v>SP1</v>
          </cell>
        </row>
      </sheetData>
      <sheetData sheetId="525">
        <row r="7">
          <cell r="AH7" t="str">
            <v>SP1</v>
          </cell>
        </row>
      </sheetData>
      <sheetData sheetId="526">
        <row r="7">
          <cell r="AH7" t="str">
            <v>SP1</v>
          </cell>
        </row>
      </sheetData>
      <sheetData sheetId="527">
        <row r="7">
          <cell r="AH7" t="str">
            <v>SP1</v>
          </cell>
        </row>
      </sheetData>
      <sheetData sheetId="528">
        <row r="7">
          <cell r="AI7">
            <v>10000</v>
          </cell>
        </row>
      </sheetData>
      <sheetData sheetId="529">
        <row r="7">
          <cell r="AH7" t="str">
            <v>SP1</v>
          </cell>
        </row>
      </sheetData>
      <sheetData sheetId="530">
        <row r="7">
          <cell r="AH7" t="str">
            <v>SP1</v>
          </cell>
        </row>
      </sheetData>
      <sheetData sheetId="531">
        <row r="7">
          <cell r="AH7" t="str">
            <v>SP1</v>
          </cell>
        </row>
      </sheetData>
      <sheetData sheetId="532">
        <row r="7">
          <cell r="AH7" t="str">
            <v>SP1</v>
          </cell>
        </row>
      </sheetData>
      <sheetData sheetId="533">
        <row r="7">
          <cell r="AH7" t="str">
            <v>SP1</v>
          </cell>
        </row>
      </sheetData>
      <sheetData sheetId="534">
        <row r="7">
          <cell r="AH7" t="str">
            <v>SP1</v>
          </cell>
        </row>
      </sheetData>
      <sheetData sheetId="535">
        <row r="7">
          <cell r="AH7" t="str">
            <v>SP1</v>
          </cell>
        </row>
      </sheetData>
      <sheetData sheetId="536">
        <row r="7">
          <cell r="AH7" t="str">
            <v>SP1</v>
          </cell>
        </row>
      </sheetData>
      <sheetData sheetId="537">
        <row r="7">
          <cell r="AH7" t="str">
            <v>SP1</v>
          </cell>
        </row>
      </sheetData>
      <sheetData sheetId="538">
        <row r="7">
          <cell r="AH7" t="str">
            <v>SP1</v>
          </cell>
        </row>
      </sheetData>
      <sheetData sheetId="539">
        <row r="7">
          <cell r="AH7" t="str">
            <v>SP1</v>
          </cell>
        </row>
      </sheetData>
      <sheetData sheetId="540">
        <row r="7">
          <cell r="AH7" t="str">
            <v>SP1</v>
          </cell>
        </row>
      </sheetData>
      <sheetData sheetId="541">
        <row r="7">
          <cell r="AH7" t="str">
            <v>SP1</v>
          </cell>
        </row>
      </sheetData>
      <sheetData sheetId="542">
        <row r="7">
          <cell r="AH7" t="str">
            <v>SP1</v>
          </cell>
        </row>
      </sheetData>
      <sheetData sheetId="543">
        <row r="7">
          <cell r="AH7" t="str">
            <v>SP1</v>
          </cell>
        </row>
      </sheetData>
      <sheetData sheetId="544">
        <row r="7">
          <cell r="AH7" t="str">
            <v>SP1</v>
          </cell>
        </row>
      </sheetData>
      <sheetData sheetId="545">
        <row r="7">
          <cell r="AH7" t="str">
            <v>SP1</v>
          </cell>
        </row>
      </sheetData>
      <sheetData sheetId="546">
        <row r="7">
          <cell r="AI7">
            <v>10000</v>
          </cell>
        </row>
      </sheetData>
      <sheetData sheetId="547">
        <row r="7">
          <cell r="AH7" t="str">
            <v>SP1</v>
          </cell>
        </row>
      </sheetData>
      <sheetData sheetId="548">
        <row r="7">
          <cell r="AH7" t="str">
            <v>SP1</v>
          </cell>
        </row>
      </sheetData>
      <sheetData sheetId="549">
        <row r="7">
          <cell r="AH7" t="str">
            <v>SP1</v>
          </cell>
        </row>
      </sheetData>
      <sheetData sheetId="550">
        <row r="7">
          <cell r="AH7" t="str">
            <v>SP1</v>
          </cell>
        </row>
      </sheetData>
      <sheetData sheetId="551">
        <row r="7">
          <cell r="AH7" t="str">
            <v>SP1</v>
          </cell>
        </row>
      </sheetData>
      <sheetData sheetId="552">
        <row r="7">
          <cell r="AH7" t="str">
            <v>SP1</v>
          </cell>
        </row>
      </sheetData>
      <sheetData sheetId="553">
        <row r="7">
          <cell r="AH7" t="str">
            <v>SP1</v>
          </cell>
        </row>
      </sheetData>
      <sheetData sheetId="554">
        <row r="7">
          <cell r="AH7" t="str">
            <v>SP1</v>
          </cell>
        </row>
      </sheetData>
      <sheetData sheetId="555">
        <row r="7">
          <cell r="AI7">
            <v>10000</v>
          </cell>
        </row>
      </sheetData>
      <sheetData sheetId="556">
        <row r="7">
          <cell r="AH7" t="str">
            <v>SP1</v>
          </cell>
        </row>
      </sheetData>
      <sheetData sheetId="557"/>
      <sheetData sheetId="558"/>
      <sheetData sheetId="559">
        <row r="7">
          <cell r="AI7">
            <v>10000</v>
          </cell>
        </row>
      </sheetData>
      <sheetData sheetId="560">
        <row r="7">
          <cell r="AH7" t="str">
            <v>SP1</v>
          </cell>
        </row>
      </sheetData>
      <sheetData sheetId="561">
        <row r="7">
          <cell r="AH7" t="str">
            <v>SP1</v>
          </cell>
        </row>
      </sheetData>
      <sheetData sheetId="562">
        <row r="7">
          <cell r="AH7" t="str">
            <v>SP1</v>
          </cell>
        </row>
      </sheetData>
      <sheetData sheetId="563">
        <row r="7">
          <cell r="AH7" t="str">
            <v>SP1</v>
          </cell>
        </row>
      </sheetData>
      <sheetData sheetId="564">
        <row r="7">
          <cell r="AH7" t="str">
            <v>SP1</v>
          </cell>
        </row>
      </sheetData>
      <sheetData sheetId="565">
        <row r="7">
          <cell r="AH7" t="str">
            <v>SP1</v>
          </cell>
        </row>
      </sheetData>
      <sheetData sheetId="566">
        <row r="7">
          <cell r="AH7" t="str">
            <v>SP1</v>
          </cell>
        </row>
      </sheetData>
      <sheetData sheetId="567">
        <row r="7">
          <cell r="AI7">
            <v>10000</v>
          </cell>
        </row>
      </sheetData>
      <sheetData sheetId="568" refreshError="1"/>
      <sheetData sheetId="569" refreshError="1"/>
      <sheetData sheetId="570">
        <row r="7">
          <cell r="AI7">
            <v>10000</v>
          </cell>
        </row>
      </sheetData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7">
          <cell r="AH7" t="str">
            <v>SP1</v>
          </cell>
        </row>
      </sheetData>
      <sheetData sheetId="587">
        <row r="7">
          <cell r="AH7" t="str">
            <v>SP1</v>
          </cell>
        </row>
      </sheetData>
      <sheetData sheetId="588">
        <row r="7">
          <cell r="AH7" t="str">
            <v>SP1</v>
          </cell>
        </row>
      </sheetData>
      <sheetData sheetId="589">
        <row r="7">
          <cell r="AH7" t="str">
            <v>SP1</v>
          </cell>
        </row>
      </sheetData>
      <sheetData sheetId="590">
        <row r="7">
          <cell r="AH7" t="str">
            <v>SP1</v>
          </cell>
        </row>
      </sheetData>
      <sheetData sheetId="591">
        <row r="7">
          <cell r="AH7" t="str">
            <v>SP1</v>
          </cell>
        </row>
      </sheetData>
      <sheetData sheetId="592">
        <row r="7">
          <cell r="AH7" t="str">
            <v>SP1</v>
          </cell>
        </row>
      </sheetData>
      <sheetData sheetId="593">
        <row r="7">
          <cell r="AH7" t="str">
            <v>SP1</v>
          </cell>
        </row>
      </sheetData>
      <sheetData sheetId="594">
        <row r="7">
          <cell r="AH7" t="str">
            <v>SP1</v>
          </cell>
        </row>
      </sheetData>
      <sheetData sheetId="595">
        <row r="7">
          <cell r="AH7" t="str">
            <v>SP1</v>
          </cell>
        </row>
      </sheetData>
      <sheetData sheetId="596">
        <row r="7">
          <cell r="AH7" t="str">
            <v>SP1</v>
          </cell>
        </row>
      </sheetData>
      <sheetData sheetId="597">
        <row r="7">
          <cell r="AH7" t="str">
            <v>SP1</v>
          </cell>
        </row>
      </sheetData>
      <sheetData sheetId="598">
        <row r="7">
          <cell r="AH7" t="str">
            <v>SP1</v>
          </cell>
        </row>
      </sheetData>
      <sheetData sheetId="599">
        <row r="7">
          <cell r="AH7" t="str">
            <v>SP1</v>
          </cell>
        </row>
      </sheetData>
      <sheetData sheetId="600">
        <row r="7">
          <cell r="AH7" t="str">
            <v>SP1</v>
          </cell>
        </row>
      </sheetData>
      <sheetData sheetId="601">
        <row r="7">
          <cell r="AI7">
            <v>10000</v>
          </cell>
        </row>
      </sheetData>
      <sheetData sheetId="602">
        <row r="7">
          <cell r="AH7" t="str">
            <v>SP1</v>
          </cell>
        </row>
      </sheetData>
      <sheetData sheetId="603">
        <row r="7">
          <cell r="AH7" t="str">
            <v>SP1</v>
          </cell>
        </row>
      </sheetData>
      <sheetData sheetId="604">
        <row r="7">
          <cell r="AH7" t="str">
            <v>SP1</v>
          </cell>
        </row>
      </sheetData>
      <sheetData sheetId="605">
        <row r="7">
          <cell r="AH7" t="str">
            <v>SP1</v>
          </cell>
        </row>
      </sheetData>
      <sheetData sheetId="606">
        <row r="7">
          <cell r="AH7" t="str">
            <v>SP1</v>
          </cell>
        </row>
      </sheetData>
      <sheetData sheetId="607">
        <row r="7">
          <cell r="AH7" t="str">
            <v>SP1</v>
          </cell>
        </row>
      </sheetData>
      <sheetData sheetId="608">
        <row r="7">
          <cell r="AH7" t="str">
            <v>SP1</v>
          </cell>
        </row>
      </sheetData>
      <sheetData sheetId="609">
        <row r="7">
          <cell r="AI7">
            <v>10000</v>
          </cell>
        </row>
      </sheetData>
      <sheetData sheetId="610">
        <row r="7">
          <cell r="AI7">
            <v>10000</v>
          </cell>
        </row>
      </sheetData>
      <sheetData sheetId="611">
        <row r="7">
          <cell r="AI7">
            <v>10000</v>
          </cell>
        </row>
      </sheetData>
      <sheetData sheetId="612">
        <row r="7">
          <cell r="AH7" t="str">
            <v>SP1</v>
          </cell>
        </row>
      </sheetData>
      <sheetData sheetId="613">
        <row r="7">
          <cell r="AI7">
            <v>10000</v>
          </cell>
        </row>
      </sheetData>
      <sheetData sheetId="614">
        <row r="7">
          <cell r="AH7" t="str">
            <v>SP1</v>
          </cell>
        </row>
      </sheetData>
      <sheetData sheetId="615">
        <row r="7">
          <cell r="AH7" t="str">
            <v>SP1</v>
          </cell>
        </row>
      </sheetData>
      <sheetData sheetId="616">
        <row r="7">
          <cell r="AH7" t="str">
            <v>SP1</v>
          </cell>
        </row>
      </sheetData>
      <sheetData sheetId="617">
        <row r="7">
          <cell r="AH7" t="str">
            <v>SP1</v>
          </cell>
        </row>
      </sheetData>
      <sheetData sheetId="618">
        <row r="7">
          <cell r="AH7" t="str">
            <v>SP1</v>
          </cell>
        </row>
      </sheetData>
      <sheetData sheetId="619">
        <row r="7">
          <cell r="AH7" t="str">
            <v>SP1</v>
          </cell>
        </row>
      </sheetData>
      <sheetData sheetId="620">
        <row r="7">
          <cell r="AH7" t="str">
            <v>SP1</v>
          </cell>
        </row>
      </sheetData>
      <sheetData sheetId="621">
        <row r="7">
          <cell r="AH7" t="str">
            <v>SP1</v>
          </cell>
        </row>
      </sheetData>
      <sheetData sheetId="622">
        <row r="7">
          <cell r="AH7" t="str">
            <v>SP1</v>
          </cell>
        </row>
      </sheetData>
      <sheetData sheetId="623">
        <row r="7">
          <cell r="AH7" t="str">
            <v>SP1</v>
          </cell>
        </row>
      </sheetData>
      <sheetData sheetId="624">
        <row r="7">
          <cell r="AH7" t="str">
            <v>SP1</v>
          </cell>
        </row>
      </sheetData>
      <sheetData sheetId="625">
        <row r="7">
          <cell r="AH7" t="str">
            <v>SP1</v>
          </cell>
        </row>
      </sheetData>
      <sheetData sheetId="626">
        <row r="7">
          <cell r="AH7" t="str">
            <v>SP1</v>
          </cell>
        </row>
      </sheetData>
      <sheetData sheetId="627">
        <row r="7">
          <cell r="AH7" t="str">
            <v>SP1</v>
          </cell>
        </row>
      </sheetData>
      <sheetData sheetId="628">
        <row r="7">
          <cell r="AH7" t="str">
            <v>SP1</v>
          </cell>
        </row>
      </sheetData>
      <sheetData sheetId="629">
        <row r="7">
          <cell r="AH7" t="str">
            <v>SP1</v>
          </cell>
        </row>
      </sheetData>
      <sheetData sheetId="630">
        <row r="7">
          <cell r="AH7" t="str">
            <v>SP1</v>
          </cell>
        </row>
      </sheetData>
      <sheetData sheetId="631">
        <row r="7">
          <cell r="AH7" t="str">
            <v>SP1</v>
          </cell>
        </row>
      </sheetData>
      <sheetData sheetId="632">
        <row r="7">
          <cell r="AH7" t="str">
            <v>SP1</v>
          </cell>
        </row>
      </sheetData>
      <sheetData sheetId="633">
        <row r="7">
          <cell r="AH7" t="str">
            <v>SP1</v>
          </cell>
        </row>
      </sheetData>
      <sheetData sheetId="634">
        <row r="7">
          <cell r="AH7" t="str">
            <v>SP1</v>
          </cell>
        </row>
      </sheetData>
      <sheetData sheetId="635">
        <row r="7">
          <cell r="AI7">
            <v>10000</v>
          </cell>
        </row>
      </sheetData>
      <sheetData sheetId="636">
        <row r="7">
          <cell r="AH7" t="str">
            <v>SP1</v>
          </cell>
        </row>
      </sheetData>
      <sheetData sheetId="637">
        <row r="7">
          <cell r="AI7">
            <v>10000</v>
          </cell>
        </row>
      </sheetData>
      <sheetData sheetId="638">
        <row r="7">
          <cell r="AI7">
            <v>10000</v>
          </cell>
        </row>
      </sheetData>
      <sheetData sheetId="639">
        <row r="7">
          <cell r="AH7" t="str">
            <v>SP1</v>
          </cell>
        </row>
      </sheetData>
      <sheetData sheetId="640">
        <row r="7">
          <cell r="AH7" t="str">
            <v>SP1</v>
          </cell>
        </row>
      </sheetData>
      <sheetData sheetId="641">
        <row r="7">
          <cell r="AH7" t="str">
            <v>SP1</v>
          </cell>
        </row>
      </sheetData>
      <sheetData sheetId="642">
        <row r="7">
          <cell r="AH7" t="str">
            <v>SP1</v>
          </cell>
        </row>
      </sheetData>
      <sheetData sheetId="643">
        <row r="7">
          <cell r="AH7" t="str">
            <v>SP1</v>
          </cell>
        </row>
      </sheetData>
      <sheetData sheetId="644">
        <row r="7">
          <cell r="AH7" t="str">
            <v>SP1</v>
          </cell>
        </row>
      </sheetData>
      <sheetData sheetId="645">
        <row r="7">
          <cell r="AH7" t="str">
            <v>SP1</v>
          </cell>
        </row>
      </sheetData>
      <sheetData sheetId="646">
        <row r="7">
          <cell r="AH7" t="str">
            <v>SP1</v>
          </cell>
        </row>
      </sheetData>
      <sheetData sheetId="647">
        <row r="7">
          <cell r="AH7" t="str">
            <v>SP1</v>
          </cell>
        </row>
      </sheetData>
      <sheetData sheetId="648">
        <row r="7">
          <cell r="AH7" t="str">
            <v>SP1</v>
          </cell>
        </row>
      </sheetData>
      <sheetData sheetId="649">
        <row r="7">
          <cell r="AI7">
            <v>10000</v>
          </cell>
        </row>
      </sheetData>
      <sheetData sheetId="650">
        <row r="7">
          <cell r="AI7">
            <v>10000</v>
          </cell>
        </row>
      </sheetData>
      <sheetData sheetId="651">
        <row r="7">
          <cell r="AH7" t="str">
            <v>SP1</v>
          </cell>
        </row>
      </sheetData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>
        <row r="7">
          <cell r="AH7" t="str">
            <v>SP1</v>
          </cell>
        </row>
      </sheetData>
      <sheetData sheetId="672">
        <row r="7">
          <cell r="AI7">
            <v>10000</v>
          </cell>
        </row>
      </sheetData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>
        <row r="7">
          <cell r="AI7">
            <v>10000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>
        <row r="7">
          <cell r="AI7">
            <v>10000</v>
          </cell>
        </row>
      </sheetData>
      <sheetData sheetId="711" refreshError="1"/>
      <sheetData sheetId="712" refreshError="1"/>
      <sheetData sheetId="713" refreshError="1"/>
      <sheetData sheetId="714" refreshError="1"/>
      <sheetData sheetId="715">
        <row r="7">
          <cell r="AH7" t="str">
            <v>SP1</v>
          </cell>
        </row>
      </sheetData>
      <sheetData sheetId="716">
        <row r="7">
          <cell r="AH7" t="str">
            <v>SP1</v>
          </cell>
        </row>
      </sheetData>
      <sheetData sheetId="717">
        <row r="7">
          <cell r="AH7" t="str">
            <v>SP1</v>
          </cell>
        </row>
      </sheetData>
      <sheetData sheetId="718">
        <row r="7">
          <cell r="AI7">
            <v>10000</v>
          </cell>
        </row>
      </sheetData>
      <sheetData sheetId="719">
        <row r="7">
          <cell r="AI7">
            <v>10000</v>
          </cell>
        </row>
      </sheetData>
      <sheetData sheetId="720">
        <row r="7">
          <cell r="AI7">
            <v>10000</v>
          </cell>
        </row>
      </sheetData>
      <sheetData sheetId="721">
        <row r="7">
          <cell r="AI7">
            <v>10000</v>
          </cell>
        </row>
      </sheetData>
      <sheetData sheetId="722"/>
      <sheetData sheetId="723"/>
      <sheetData sheetId="724"/>
      <sheetData sheetId="725"/>
      <sheetData sheetId="726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>
        <row r="7">
          <cell r="AH7" t="str">
            <v>SP1</v>
          </cell>
        </row>
      </sheetData>
      <sheetData sheetId="741"/>
      <sheetData sheetId="742"/>
      <sheetData sheetId="743">
        <row r="7">
          <cell r="AH7" t="str">
            <v>SP1</v>
          </cell>
        </row>
      </sheetData>
      <sheetData sheetId="744">
        <row r="7">
          <cell r="AI7">
            <v>10000</v>
          </cell>
        </row>
      </sheetData>
      <sheetData sheetId="745">
        <row r="7">
          <cell r="AI7">
            <v>10000</v>
          </cell>
        </row>
      </sheetData>
      <sheetData sheetId="746">
        <row r="7">
          <cell r="AH7" t="str">
            <v>SP1</v>
          </cell>
        </row>
      </sheetData>
      <sheetData sheetId="747">
        <row r="7">
          <cell r="AH7" t="str">
            <v>SP1</v>
          </cell>
        </row>
      </sheetData>
      <sheetData sheetId="748"/>
      <sheetData sheetId="749"/>
      <sheetData sheetId="750">
        <row r="7">
          <cell r="AI7">
            <v>10000</v>
          </cell>
        </row>
      </sheetData>
      <sheetData sheetId="751"/>
      <sheetData sheetId="752"/>
      <sheetData sheetId="753"/>
      <sheetData sheetId="754">
        <row r="7">
          <cell r="AI7">
            <v>10000</v>
          </cell>
        </row>
      </sheetData>
      <sheetData sheetId="755">
        <row r="7">
          <cell r="AI7">
            <v>10000</v>
          </cell>
        </row>
      </sheetData>
      <sheetData sheetId="756">
        <row r="7">
          <cell r="AH7" t="str">
            <v>SP1</v>
          </cell>
        </row>
      </sheetData>
      <sheetData sheetId="757">
        <row r="7">
          <cell r="AH7" t="str">
            <v>SP1</v>
          </cell>
        </row>
      </sheetData>
      <sheetData sheetId="758">
        <row r="7">
          <cell r="AH7" t="str">
            <v>SP1</v>
          </cell>
        </row>
      </sheetData>
      <sheetData sheetId="759">
        <row r="7">
          <cell r="AH7" t="str">
            <v>SP1</v>
          </cell>
        </row>
      </sheetData>
      <sheetData sheetId="760">
        <row r="7">
          <cell r="AI7">
            <v>10000</v>
          </cell>
        </row>
      </sheetData>
      <sheetData sheetId="761" refreshError="1"/>
      <sheetData sheetId="762">
        <row r="7">
          <cell r="AI7">
            <v>10000</v>
          </cell>
        </row>
      </sheetData>
      <sheetData sheetId="763"/>
      <sheetData sheetId="764">
        <row r="7">
          <cell r="AI7">
            <v>10000</v>
          </cell>
        </row>
      </sheetData>
      <sheetData sheetId="765">
        <row r="7">
          <cell r="AH7" t="str">
            <v>SP1</v>
          </cell>
        </row>
      </sheetData>
      <sheetData sheetId="766">
        <row r="7">
          <cell r="AH7" t="str">
            <v>SP1</v>
          </cell>
        </row>
      </sheetData>
      <sheetData sheetId="767">
        <row r="7">
          <cell r="AH7" t="str">
            <v>SP1</v>
          </cell>
        </row>
      </sheetData>
      <sheetData sheetId="768">
        <row r="7">
          <cell r="AH7" t="str">
            <v>SP1</v>
          </cell>
        </row>
      </sheetData>
      <sheetData sheetId="769" refreshError="1"/>
      <sheetData sheetId="770">
        <row r="7">
          <cell r="AH7" t="str">
            <v>SP1</v>
          </cell>
        </row>
      </sheetData>
      <sheetData sheetId="771">
        <row r="7">
          <cell r="AI7">
            <v>10000</v>
          </cell>
        </row>
      </sheetData>
      <sheetData sheetId="772">
        <row r="7">
          <cell r="AI7">
            <v>10000</v>
          </cell>
        </row>
      </sheetData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>
        <row r="7">
          <cell r="AI7">
            <v>10000</v>
          </cell>
        </row>
      </sheetData>
      <sheetData sheetId="791" refreshError="1"/>
      <sheetData sheetId="792" refreshError="1"/>
      <sheetData sheetId="793">
        <row r="7">
          <cell r="AI7">
            <v>10000</v>
          </cell>
        </row>
      </sheetData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>
        <row r="7">
          <cell r="AI7">
            <v>10000</v>
          </cell>
        </row>
      </sheetData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/>
      <sheetData sheetId="867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>
        <row r="7">
          <cell r="AI7">
            <v>10000</v>
          </cell>
        </row>
      </sheetData>
      <sheetData sheetId="887">
        <row r="7">
          <cell r="AI7">
            <v>10000</v>
          </cell>
        </row>
      </sheetData>
      <sheetData sheetId="888">
        <row r="7">
          <cell r="AI7">
            <v>10000</v>
          </cell>
        </row>
      </sheetData>
      <sheetData sheetId="889">
        <row r="7">
          <cell r="AI7">
            <v>10000</v>
          </cell>
        </row>
      </sheetData>
      <sheetData sheetId="890">
        <row r="7">
          <cell r="AI7">
            <v>10000</v>
          </cell>
        </row>
      </sheetData>
      <sheetData sheetId="891">
        <row r="7">
          <cell r="AI7">
            <v>10000</v>
          </cell>
        </row>
      </sheetData>
      <sheetData sheetId="892">
        <row r="7">
          <cell r="AI7">
            <v>10000</v>
          </cell>
        </row>
      </sheetData>
      <sheetData sheetId="893">
        <row r="7">
          <cell r="AI7">
            <v>10000</v>
          </cell>
        </row>
      </sheetData>
      <sheetData sheetId="894">
        <row r="7">
          <cell r="AI7">
            <v>10000</v>
          </cell>
        </row>
      </sheetData>
      <sheetData sheetId="895">
        <row r="7">
          <cell r="AI7">
            <v>10000</v>
          </cell>
        </row>
      </sheetData>
      <sheetData sheetId="896">
        <row r="7">
          <cell r="AI7">
            <v>10000</v>
          </cell>
        </row>
      </sheetData>
      <sheetData sheetId="897">
        <row r="7">
          <cell r="AI7">
            <v>10000</v>
          </cell>
        </row>
      </sheetData>
      <sheetData sheetId="898">
        <row r="7">
          <cell r="AI7">
            <v>10000</v>
          </cell>
        </row>
      </sheetData>
      <sheetData sheetId="899">
        <row r="7">
          <cell r="AI7">
            <v>10000</v>
          </cell>
        </row>
      </sheetData>
      <sheetData sheetId="900">
        <row r="7">
          <cell r="AI7">
            <v>10000</v>
          </cell>
        </row>
      </sheetData>
      <sheetData sheetId="901">
        <row r="7">
          <cell r="AI7">
            <v>10000</v>
          </cell>
        </row>
      </sheetData>
      <sheetData sheetId="902">
        <row r="7">
          <cell r="AI7">
            <v>10000</v>
          </cell>
        </row>
      </sheetData>
      <sheetData sheetId="903">
        <row r="7">
          <cell r="AH7" t="str">
            <v>SP1</v>
          </cell>
        </row>
      </sheetData>
      <sheetData sheetId="904"/>
      <sheetData sheetId="905">
        <row r="7">
          <cell r="AH7" t="str">
            <v>SP1</v>
          </cell>
        </row>
      </sheetData>
      <sheetData sheetId="906">
        <row r="7">
          <cell r="AI7">
            <v>10000</v>
          </cell>
        </row>
      </sheetData>
      <sheetData sheetId="907">
        <row r="7">
          <cell r="AI7">
            <v>10000</v>
          </cell>
        </row>
      </sheetData>
      <sheetData sheetId="908">
        <row r="7">
          <cell r="AI7">
            <v>10000</v>
          </cell>
        </row>
      </sheetData>
      <sheetData sheetId="909">
        <row r="7">
          <cell r="AI7">
            <v>10000</v>
          </cell>
        </row>
      </sheetData>
      <sheetData sheetId="910">
        <row r="7">
          <cell r="AI7">
            <v>10000</v>
          </cell>
        </row>
      </sheetData>
      <sheetData sheetId="911"/>
      <sheetData sheetId="912"/>
      <sheetData sheetId="913" refreshError="1"/>
      <sheetData sheetId="914" refreshError="1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>
        <row r="7">
          <cell r="AI7">
            <v>10000</v>
          </cell>
        </row>
      </sheetData>
      <sheetData sheetId="999">
        <row r="7">
          <cell r="AI7">
            <v>10000</v>
          </cell>
        </row>
      </sheetData>
      <sheetData sheetId="1000">
        <row r="7">
          <cell r="AI7">
            <v>10000</v>
          </cell>
        </row>
      </sheetData>
      <sheetData sheetId="1001">
        <row r="7">
          <cell r="AI7">
            <v>10000</v>
          </cell>
        </row>
      </sheetData>
      <sheetData sheetId="1002">
        <row r="7">
          <cell r="AI7">
            <v>10000</v>
          </cell>
        </row>
      </sheetData>
      <sheetData sheetId="1003">
        <row r="7">
          <cell r="AI7">
            <v>10000</v>
          </cell>
        </row>
      </sheetData>
      <sheetData sheetId="1004">
        <row r="7">
          <cell r="AI7">
            <v>10000</v>
          </cell>
        </row>
      </sheetData>
      <sheetData sheetId="1005">
        <row r="7">
          <cell r="AI7">
            <v>10000</v>
          </cell>
        </row>
      </sheetData>
      <sheetData sheetId="1006">
        <row r="7">
          <cell r="AI7">
            <v>10000</v>
          </cell>
        </row>
      </sheetData>
      <sheetData sheetId="1007"/>
      <sheetData sheetId="1008"/>
      <sheetData sheetId="1009">
        <row r="7">
          <cell r="AI7">
            <v>10000</v>
          </cell>
        </row>
      </sheetData>
      <sheetData sheetId="1010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7">
          <cell r="AI7">
            <v>10000</v>
          </cell>
        </row>
      </sheetData>
      <sheetData sheetId="1205">
        <row r="7">
          <cell r="AI7">
            <v>10000</v>
          </cell>
        </row>
      </sheetData>
      <sheetData sheetId="1206">
        <row r="7">
          <cell r="AI7">
            <v>10000</v>
          </cell>
        </row>
      </sheetData>
      <sheetData sheetId="1207">
        <row r="7">
          <cell r="AI7">
            <v>10000</v>
          </cell>
        </row>
      </sheetData>
      <sheetData sheetId="1208">
        <row r="7">
          <cell r="AI7">
            <v>10000</v>
          </cell>
        </row>
      </sheetData>
      <sheetData sheetId="1209" refreshError="1"/>
      <sheetData sheetId="1210"/>
      <sheetData sheetId="1211" refreshError="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>
        <row r="7">
          <cell r="AI7">
            <v>10000</v>
          </cell>
        </row>
      </sheetData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>
        <row r="7">
          <cell r="AI7">
            <v>10000</v>
          </cell>
        </row>
      </sheetData>
      <sheetData sheetId="1239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/>
      <sheetData sheetId="1669"/>
      <sheetData sheetId="1670">
        <row r="7">
          <cell r="AI7">
            <v>10000</v>
          </cell>
        </row>
      </sheetData>
      <sheetData sheetId="1671">
        <row r="7">
          <cell r="AI7">
            <v>10000</v>
          </cell>
        </row>
      </sheetData>
      <sheetData sheetId="1672">
        <row r="7">
          <cell r="AI7">
            <v>10000</v>
          </cell>
        </row>
      </sheetData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>
        <row r="7">
          <cell r="AI7">
            <v>10000</v>
          </cell>
        </row>
      </sheetData>
      <sheetData sheetId="1680">
        <row r="7">
          <cell r="AI7">
            <v>10000</v>
          </cell>
        </row>
      </sheetData>
      <sheetData sheetId="1681" refreshError="1"/>
      <sheetData sheetId="1682">
        <row r="7">
          <cell r="AI7">
            <v>10000</v>
          </cell>
        </row>
      </sheetData>
      <sheetData sheetId="1683" refreshError="1"/>
      <sheetData sheetId="1684" refreshError="1"/>
      <sheetData sheetId="1685" refreshError="1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>
        <row r="7">
          <cell r="AI7">
            <v>10000</v>
          </cell>
        </row>
      </sheetData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>
        <row r="7">
          <cell r="AI7">
            <v>10000</v>
          </cell>
        </row>
      </sheetData>
      <sheetData sheetId="1700">
        <row r="7">
          <cell r="AI7">
            <v>10000</v>
          </cell>
        </row>
      </sheetData>
      <sheetData sheetId="1701" refreshError="1"/>
      <sheetData sheetId="1702" refreshError="1"/>
      <sheetData sheetId="1703">
        <row r="7">
          <cell r="AI7">
            <v>10000</v>
          </cell>
        </row>
      </sheetData>
      <sheetData sheetId="1704">
        <row r="7">
          <cell r="AI7">
            <v>10000</v>
          </cell>
        </row>
      </sheetData>
      <sheetData sheetId="1705">
        <row r="7">
          <cell r="AH7" t="str">
            <v>SP1</v>
          </cell>
        </row>
      </sheetData>
      <sheetData sheetId="1706">
        <row r="7">
          <cell r="AH7" t="str">
            <v>SP1</v>
          </cell>
        </row>
      </sheetData>
      <sheetData sheetId="1707">
        <row r="7">
          <cell r="AI7">
            <v>10000</v>
          </cell>
        </row>
      </sheetData>
      <sheetData sheetId="1708">
        <row r="7">
          <cell r="AI7">
            <v>10000</v>
          </cell>
        </row>
      </sheetData>
      <sheetData sheetId="1709">
        <row r="7">
          <cell r="AH7" t="str">
            <v>SP1</v>
          </cell>
        </row>
      </sheetData>
      <sheetData sheetId="1710">
        <row r="7">
          <cell r="AH7" t="str">
            <v>SP1</v>
          </cell>
        </row>
      </sheetData>
      <sheetData sheetId="1711"/>
      <sheetData sheetId="1712" refreshError="1"/>
      <sheetData sheetId="1713" refreshError="1"/>
      <sheetData sheetId="1714">
        <row r="7">
          <cell r="AI7">
            <v>10000</v>
          </cell>
        </row>
      </sheetData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>
        <row r="7">
          <cell r="AI7">
            <v>10000</v>
          </cell>
        </row>
      </sheetData>
      <sheetData sheetId="1722" refreshError="1"/>
      <sheetData sheetId="1723" refreshError="1"/>
      <sheetData sheetId="1724">
        <row r="7">
          <cell r="AH7" t="str">
            <v>SP1</v>
          </cell>
        </row>
      </sheetData>
      <sheetData sheetId="1725" refreshError="1"/>
      <sheetData sheetId="1726" refreshError="1"/>
      <sheetData sheetId="1727">
        <row r="7">
          <cell r="AI7">
            <v>10000</v>
          </cell>
        </row>
      </sheetData>
      <sheetData sheetId="1728">
        <row r="7">
          <cell r="AH7" t="str">
            <v>SP1</v>
          </cell>
        </row>
      </sheetData>
      <sheetData sheetId="1729"/>
      <sheetData sheetId="1730" refreshError="1"/>
      <sheetData sheetId="1731" refreshError="1"/>
      <sheetData sheetId="1732">
        <row r="7">
          <cell r="AH7" t="str">
            <v>SP1</v>
          </cell>
        </row>
      </sheetData>
      <sheetData sheetId="1733" refreshError="1"/>
      <sheetData sheetId="1734" refreshError="1"/>
      <sheetData sheetId="1735" refreshError="1"/>
      <sheetData sheetId="1736">
        <row r="7">
          <cell r="AH7" t="str">
            <v>SP1</v>
          </cell>
        </row>
      </sheetData>
      <sheetData sheetId="1737">
        <row r="7">
          <cell r="AI7">
            <v>10000</v>
          </cell>
        </row>
      </sheetData>
      <sheetData sheetId="1738">
        <row r="7">
          <cell r="AI7">
            <v>10000</v>
          </cell>
        </row>
      </sheetData>
      <sheetData sheetId="1739">
        <row r="7">
          <cell r="AI7">
            <v>10000</v>
          </cell>
        </row>
      </sheetData>
      <sheetData sheetId="1740">
        <row r="7">
          <cell r="AH7" t="str">
            <v>SP1</v>
          </cell>
        </row>
      </sheetData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>
        <row r="7">
          <cell r="AI7">
            <v>10000</v>
          </cell>
        </row>
      </sheetData>
      <sheetData sheetId="1748" refreshError="1"/>
      <sheetData sheetId="1749">
        <row r="7">
          <cell r="AI7">
            <v>10000</v>
          </cell>
        </row>
      </sheetData>
      <sheetData sheetId="1750">
        <row r="7">
          <cell r="AI7">
            <v>10000</v>
          </cell>
        </row>
      </sheetData>
      <sheetData sheetId="1751">
        <row r="7">
          <cell r="AI7">
            <v>10000</v>
          </cell>
        </row>
      </sheetData>
      <sheetData sheetId="1752">
        <row r="7">
          <cell r="AI7">
            <v>10000</v>
          </cell>
        </row>
      </sheetData>
      <sheetData sheetId="1753" refreshError="1"/>
      <sheetData sheetId="1754">
        <row r="7">
          <cell r="AH7" t="str">
            <v>SP1</v>
          </cell>
        </row>
      </sheetData>
      <sheetData sheetId="1755">
        <row r="7">
          <cell r="AI7">
            <v>10000</v>
          </cell>
        </row>
      </sheetData>
      <sheetData sheetId="1756">
        <row r="7">
          <cell r="AI7">
            <v>10000</v>
          </cell>
        </row>
      </sheetData>
      <sheetData sheetId="1757">
        <row r="7">
          <cell r="AI7">
            <v>10000</v>
          </cell>
        </row>
      </sheetData>
      <sheetData sheetId="1758">
        <row r="7">
          <cell r="AI7">
            <v>10000</v>
          </cell>
        </row>
      </sheetData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>
        <row r="7">
          <cell r="AI7">
            <v>10000</v>
          </cell>
        </row>
      </sheetData>
      <sheetData sheetId="1766">
        <row r="7">
          <cell r="AI7">
            <v>10000</v>
          </cell>
        </row>
      </sheetData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>
        <row r="7">
          <cell r="AI7">
            <v>10000</v>
          </cell>
        </row>
      </sheetData>
      <sheetData sheetId="1791" refreshError="1"/>
      <sheetData sheetId="1792">
        <row r="7">
          <cell r="AI7">
            <v>10000</v>
          </cell>
        </row>
      </sheetData>
      <sheetData sheetId="1793">
        <row r="7">
          <cell r="AI7">
            <v>10000</v>
          </cell>
        </row>
      </sheetData>
      <sheetData sheetId="1794">
        <row r="7">
          <cell r="AI7">
            <v>10000</v>
          </cell>
        </row>
      </sheetData>
      <sheetData sheetId="1795">
        <row r="7">
          <cell r="AH7" t="str">
            <v>SP1</v>
          </cell>
        </row>
      </sheetData>
      <sheetData sheetId="1796">
        <row r="7">
          <cell r="AH7" t="str">
            <v>SP1</v>
          </cell>
        </row>
      </sheetData>
      <sheetData sheetId="1797">
        <row r="7">
          <cell r="AI7">
            <v>10000</v>
          </cell>
        </row>
      </sheetData>
      <sheetData sheetId="1798">
        <row r="7">
          <cell r="AI7">
            <v>10000</v>
          </cell>
        </row>
      </sheetData>
      <sheetData sheetId="1799">
        <row r="7">
          <cell r="AI7">
            <v>10000</v>
          </cell>
        </row>
      </sheetData>
      <sheetData sheetId="1800">
        <row r="7">
          <cell r="AI7">
            <v>10000</v>
          </cell>
        </row>
      </sheetData>
      <sheetData sheetId="1801" refreshError="1"/>
      <sheetData sheetId="1802">
        <row r="7">
          <cell r="AI7">
            <v>10000</v>
          </cell>
        </row>
      </sheetData>
      <sheetData sheetId="1803">
        <row r="7">
          <cell r="AI7">
            <v>10000</v>
          </cell>
        </row>
      </sheetData>
      <sheetData sheetId="1804">
        <row r="7">
          <cell r="AI7">
            <v>10000</v>
          </cell>
        </row>
      </sheetData>
      <sheetData sheetId="1805">
        <row r="7">
          <cell r="AI7">
            <v>10000</v>
          </cell>
        </row>
      </sheetData>
      <sheetData sheetId="1806">
        <row r="7">
          <cell r="AI7">
            <v>10000</v>
          </cell>
        </row>
      </sheetData>
      <sheetData sheetId="1807">
        <row r="7">
          <cell r="AI7">
            <v>10000</v>
          </cell>
        </row>
      </sheetData>
      <sheetData sheetId="1808" refreshError="1"/>
      <sheetData sheetId="1809">
        <row r="7">
          <cell r="AI7">
            <v>10000</v>
          </cell>
        </row>
      </sheetData>
      <sheetData sheetId="1810">
        <row r="7">
          <cell r="AH7" t="str">
            <v>SP1</v>
          </cell>
        </row>
      </sheetData>
      <sheetData sheetId="1811">
        <row r="7">
          <cell r="AH7" t="str">
            <v>SP1</v>
          </cell>
        </row>
      </sheetData>
      <sheetData sheetId="1812" refreshError="1"/>
      <sheetData sheetId="1813" refreshError="1"/>
      <sheetData sheetId="1814" refreshError="1"/>
      <sheetData sheetId="1815">
        <row r="7">
          <cell r="AI7">
            <v>10000</v>
          </cell>
        </row>
      </sheetData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>
        <row r="7">
          <cell r="AI7">
            <v>10000</v>
          </cell>
        </row>
      </sheetData>
      <sheetData sheetId="1825">
        <row r="7">
          <cell r="AI7">
            <v>10000</v>
          </cell>
        </row>
      </sheetData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>
        <row r="7">
          <cell r="AI7">
            <v>10000</v>
          </cell>
        </row>
      </sheetData>
      <sheetData sheetId="1852">
        <row r="7">
          <cell r="AH7" t="str">
            <v>SP1</v>
          </cell>
        </row>
      </sheetData>
      <sheetData sheetId="1853">
        <row r="7">
          <cell r="AH7" t="str">
            <v>SP1</v>
          </cell>
        </row>
      </sheetData>
      <sheetData sheetId="1854">
        <row r="7">
          <cell r="AH7" t="str">
            <v>SP1</v>
          </cell>
        </row>
      </sheetData>
      <sheetData sheetId="1855">
        <row r="7">
          <cell r="AH7" t="str">
            <v>SP1</v>
          </cell>
        </row>
      </sheetData>
      <sheetData sheetId="1856">
        <row r="7">
          <cell r="AH7" t="str">
            <v>SP1</v>
          </cell>
        </row>
      </sheetData>
      <sheetData sheetId="1857">
        <row r="7">
          <cell r="AH7" t="str">
            <v>SP1</v>
          </cell>
        </row>
      </sheetData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>
        <row r="7">
          <cell r="AH7" t="str">
            <v>SP1</v>
          </cell>
        </row>
      </sheetData>
      <sheetData sheetId="1864" refreshError="1"/>
      <sheetData sheetId="1865" refreshError="1"/>
      <sheetData sheetId="1866" refreshError="1"/>
      <sheetData sheetId="1867">
        <row r="7">
          <cell r="AI7">
            <v>10000</v>
          </cell>
        </row>
      </sheetData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>
        <row r="7">
          <cell r="AI7">
            <v>10000</v>
          </cell>
        </row>
      </sheetData>
      <sheetData sheetId="1882">
        <row r="7">
          <cell r="AI7">
            <v>10000</v>
          </cell>
        </row>
      </sheetData>
      <sheetData sheetId="1883">
        <row r="7">
          <cell r="AI7">
            <v>10000</v>
          </cell>
        </row>
      </sheetData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>
        <row r="7">
          <cell r="AI7">
            <v>10000</v>
          </cell>
        </row>
      </sheetData>
      <sheetData sheetId="1891">
        <row r="7">
          <cell r="AI7">
            <v>10000</v>
          </cell>
        </row>
      </sheetData>
      <sheetData sheetId="1892">
        <row r="7">
          <cell r="AI7">
            <v>10000</v>
          </cell>
        </row>
      </sheetData>
      <sheetData sheetId="1893">
        <row r="7">
          <cell r="AH7" t="str">
            <v>SP1</v>
          </cell>
        </row>
      </sheetData>
      <sheetData sheetId="1894">
        <row r="7">
          <cell r="AI7">
            <v>10000</v>
          </cell>
        </row>
      </sheetData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>
        <row r="7">
          <cell r="AI7">
            <v>10000</v>
          </cell>
        </row>
      </sheetData>
      <sheetData sheetId="1914">
        <row r="7">
          <cell r="AI7">
            <v>10000</v>
          </cell>
        </row>
      </sheetData>
      <sheetData sheetId="1915">
        <row r="7">
          <cell r="AI7">
            <v>10000</v>
          </cell>
        </row>
      </sheetData>
      <sheetData sheetId="1916">
        <row r="7">
          <cell r="AI7">
            <v>10000</v>
          </cell>
        </row>
      </sheetData>
      <sheetData sheetId="1917">
        <row r="7">
          <cell r="AI7">
            <v>10000</v>
          </cell>
        </row>
      </sheetData>
      <sheetData sheetId="1918">
        <row r="7">
          <cell r="AI7">
            <v>10000</v>
          </cell>
        </row>
      </sheetData>
      <sheetData sheetId="1919">
        <row r="7">
          <cell r="AI7">
            <v>10000</v>
          </cell>
        </row>
      </sheetData>
      <sheetData sheetId="1920">
        <row r="7">
          <cell r="AI7">
            <v>10000</v>
          </cell>
        </row>
      </sheetData>
      <sheetData sheetId="1921">
        <row r="7">
          <cell r="AI7">
            <v>10000</v>
          </cell>
        </row>
      </sheetData>
      <sheetData sheetId="1922">
        <row r="7">
          <cell r="AI7">
            <v>10000</v>
          </cell>
        </row>
      </sheetData>
      <sheetData sheetId="1923">
        <row r="7">
          <cell r="AI7">
            <v>10000</v>
          </cell>
        </row>
      </sheetData>
      <sheetData sheetId="1924">
        <row r="7">
          <cell r="AI7">
            <v>10000</v>
          </cell>
        </row>
      </sheetData>
      <sheetData sheetId="1925">
        <row r="7">
          <cell r="AI7">
            <v>10000</v>
          </cell>
        </row>
      </sheetData>
      <sheetData sheetId="1926">
        <row r="7">
          <cell r="AI7">
            <v>10000</v>
          </cell>
        </row>
      </sheetData>
      <sheetData sheetId="1927">
        <row r="7">
          <cell r="AI7">
            <v>10000</v>
          </cell>
        </row>
      </sheetData>
      <sheetData sheetId="1928">
        <row r="7">
          <cell r="AI7">
            <v>10000</v>
          </cell>
        </row>
      </sheetData>
      <sheetData sheetId="1929">
        <row r="7">
          <cell r="AI7">
            <v>10000</v>
          </cell>
        </row>
      </sheetData>
      <sheetData sheetId="1930">
        <row r="7">
          <cell r="AI7">
            <v>10000</v>
          </cell>
        </row>
      </sheetData>
      <sheetData sheetId="1931">
        <row r="7">
          <cell r="AI7">
            <v>10000</v>
          </cell>
        </row>
      </sheetData>
      <sheetData sheetId="1932">
        <row r="7">
          <cell r="AI7">
            <v>10000</v>
          </cell>
        </row>
      </sheetData>
      <sheetData sheetId="1933">
        <row r="7">
          <cell r="AI7">
            <v>10000</v>
          </cell>
        </row>
      </sheetData>
      <sheetData sheetId="1934">
        <row r="7">
          <cell r="AI7">
            <v>10000</v>
          </cell>
        </row>
      </sheetData>
      <sheetData sheetId="1935">
        <row r="7">
          <cell r="AI7">
            <v>10000</v>
          </cell>
        </row>
      </sheetData>
      <sheetData sheetId="1936">
        <row r="7">
          <cell r="AI7">
            <v>10000</v>
          </cell>
        </row>
      </sheetData>
      <sheetData sheetId="1937">
        <row r="7">
          <cell r="AI7">
            <v>10000</v>
          </cell>
        </row>
      </sheetData>
      <sheetData sheetId="1938">
        <row r="7">
          <cell r="AI7">
            <v>10000</v>
          </cell>
        </row>
      </sheetData>
      <sheetData sheetId="1939">
        <row r="7">
          <cell r="AI7">
            <v>10000</v>
          </cell>
        </row>
      </sheetData>
      <sheetData sheetId="1940">
        <row r="7">
          <cell r="AI7">
            <v>10000</v>
          </cell>
        </row>
      </sheetData>
      <sheetData sheetId="1941">
        <row r="7">
          <cell r="AI7">
            <v>10000</v>
          </cell>
        </row>
      </sheetData>
      <sheetData sheetId="1942">
        <row r="7">
          <cell r="AI7">
            <v>10000</v>
          </cell>
        </row>
      </sheetData>
      <sheetData sheetId="1943">
        <row r="7">
          <cell r="AI7">
            <v>10000</v>
          </cell>
        </row>
      </sheetData>
      <sheetData sheetId="1944">
        <row r="7">
          <cell r="AI7">
            <v>10000</v>
          </cell>
        </row>
      </sheetData>
      <sheetData sheetId="1945">
        <row r="7">
          <cell r="AI7">
            <v>10000</v>
          </cell>
        </row>
      </sheetData>
      <sheetData sheetId="1946">
        <row r="7">
          <cell r="AI7">
            <v>10000</v>
          </cell>
        </row>
      </sheetData>
      <sheetData sheetId="1947">
        <row r="7">
          <cell r="AI7">
            <v>10000</v>
          </cell>
        </row>
      </sheetData>
      <sheetData sheetId="1948">
        <row r="7">
          <cell r="AI7">
            <v>10000</v>
          </cell>
        </row>
      </sheetData>
      <sheetData sheetId="1949">
        <row r="7">
          <cell r="AI7">
            <v>10000</v>
          </cell>
        </row>
      </sheetData>
      <sheetData sheetId="1950">
        <row r="7">
          <cell r="AI7">
            <v>10000</v>
          </cell>
        </row>
      </sheetData>
      <sheetData sheetId="1951">
        <row r="7">
          <cell r="AI7">
            <v>10000</v>
          </cell>
        </row>
      </sheetData>
      <sheetData sheetId="1952">
        <row r="7">
          <cell r="AI7">
            <v>10000</v>
          </cell>
        </row>
      </sheetData>
      <sheetData sheetId="1953">
        <row r="7">
          <cell r="AI7">
            <v>10000</v>
          </cell>
        </row>
      </sheetData>
      <sheetData sheetId="1954">
        <row r="7">
          <cell r="AI7">
            <v>10000</v>
          </cell>
        </row>
      </sheetData>
      <sheetData sheetId="1955">
        <row r="7">
          <cell r="AI7">
            <v>10000</v>
          </cell>
        </row>
      </sheetData>
      <sheetData sheetId="1956">
        <row r="7">
          <cell r="AI7">
            <v>10000</v>
          </cell>
        </row>
      </sheetData>
      <sheetData sheetId="1957">
        <row r="7">
          <cell r="AI7">
            <v>10000</v>
          </cell>
        </row>
      </sheetData>
      <sheetData sheetId="1958">
        <row r="7">
          <cell r="AI7">
            <v>10000</v>
          </cell>
        </row>
      </sheetData>
      <sheetData sheetId="1959">
        <row r="7">
          <cell r="AI7">
            <v>10000</v>
          </cell>
        </row>
      </sheetData>
      <sheetData sheetId="1960">
        <row r="7">
          <cell r="AI7">
            <v>10000</v>
          </cell>
        </row>
      </sheetData>
      <sheetData sheetId="1961">
        <row r="7">
          <cell r="AI7">
            <v>10000</v>
          </cell>
        </row>
      </sheetData>
      <sheetData sheetId="1962">
        <row r="7">
          <cell r="AI7">
            <v>10000</v>
          </cell>
        </row>
      </sheetData>
      <sheetData sheetId="1963">
        <row r="7">
          <cell r="AI7">
            <v>10000</v>
          </cell>
        </row>
      </sheetData>
      <sheetData sheetId="1964">
        <row r="7">
          <cell r="AI7">
            <v>10000</v>
          </cell>
        </row>
      </sheetData>
      <sheetData sheetId="1965">
        <row r="7">
          <cell r="AI7">
            <v>10000</v>
          </cell>
        </row>
      </sheetData>
      <sheetData sheetId="1966">
        <row r="7">
          <cell r="AI7">
            <v>10000</v>
          </cell>
        </row>
      </sheetData>
      <sheetData sheetId="1967">
        <row r="7">
          <cell r="AI7">
            <v>10000</v>
          </cell>
        </row>
      </sheetData>
      <sheetData sheetId="1968">
        <row r="7">
          <cell r="AI7">
            <v>10000</v>
          </cell>
        </row>
      </sheetData>
      <sheetData sheetId="1969">
        <row r="7">
          <cell r="AI7">
            <v>10000</v>
          </cell>
        </row>
      </sheetData>
      <sheetData sheetId="1970">
        <row r="7">
          <cell r="AI7">
            <v>10000</v>
          </cell>
        </row>
      </sheetData>
      <sheetData sheetId="1971">
        <row r="7">
          <cell r="AI7">
            <v>10000</v>
          </cell>
        </row>
      </sheetData>
      <sheetData sheetId="1972">
        <row r="7">
          <cell r="AI7">
            <v>10000</v>
          </cell>
        </row>
      </sheetData>
      <sheetData sheetId="1973">
        <row r="7">
          <cell r="AI7">
            <v>10000</v>
          </cell>
        </row>
      </sheetData>
      <sheetData sheetId="1974">
        <row r="7">
          <cell r="AI7">
            <v>10000</v>
          </cell>
        </row>
      </sheetData>
      <sheetData sheetId="1975">
        <row r="7">
          <cell r="AI7">
            <v>10000</v>
          </cell>
        </row>
      </sheetData>
      <sheetData sheetId="1976">
        <row r="7">
          <cell r="AI7">
            <v>10000</v>
          </cell>
        </row>
      </sheetData>
      <sheetData sheetId="1977">
        <row r="7">
          <cell r="AI7">
            <v>10000</v>
          </cell>
        </row>
      </sheetData>
      <sheetData sheetId="1978">
        <row r="7">
          <cell r="AI7">
            <v>10000</v>
          </cell>
        </row>
      </sheetData>
      <sheetData sheetId="1979">
        <row r="7">
          <cell r="AI7">
            <v>10000</v>
          </cell>
        </row>
      </sheetData>
      <sheetData sheetId="1980">
        <row r="7">
          <cell r="AI7">
            <v>10000</v>
          </cell>
        </row>
      </sheetData>
      <sheetData sheetId="1981">
        <row r="7">
          <cell r="AI7">
            <v>10000</v>
          </cell>
        </row>
      </sheetData>
      <sheetData sheetId="1982">
        <row r="7">
          <cell r="AI7">
            <v>10000</v>
          </cell>
        </row>
      </sheetData>
      <sheetData sheetId="1983">
        <row r="7">
          <cell r="AI7">
            <v>10000</v>
          </cell>
        </row>
      </sheetData>
      <sheetData sheetId="1984">
        <row r="7">
          <cell r="AI7">
            <v>10000</v>
          </cell>
        </row>
      </sheetData>
      <sheetData sheetId="1985">
        <row r="7">
          <cell r="AI7">
            <v>10000</v>
          </cell>
        </row>
      </sheetData>
      <sheetData sheetId="1986">
        <row r="7">
          <cell r="AI7">
            <v>10000</v>
          </cell>
        </row>
      </sheetData>
      <sheetData sheetId="1987">
        <row r="7">
          <cell r="AI7">
            <v>10000</v>
          </cell>
        </row>
      </sheetData>
      <sheetData sheetId="1988">
        <row r="7">
          <cell r="AI7">
            <v>10000</v>
          </cell>
        </row>
      </sheetData>
      <sheetData sheetId="1989">
        <row r="7">
          <cell r="AI7">
            <v>10000</v>
          </cell>
        </row>
      </sheetData>
      <sheetData sheetId="1990">
        <row r="7">
          <cell r="AI7">
            <v>10000</v>
          </cell>
        </row>
      </sheetData>
      <sheetData sheetId="1991">
        <row r="7">
          <cell r="AI7">
            <v>10000</v>
          </cell>
        </row>
      </sheetData>
      <sheetData sheetId="1992">
        <row r="7">
          <cell r="AI7">
            <v>10000</v>
          </cell>
        </row>
      </sheetData>
      <sheetData sheetId="1993">
        <row r="7">
          <cell r="AI7">
            <v>10000</v>
          </cell>
        </row>
      </sheetData>
      <sheetData sheetId="1994">
        <row r="7">
          <cell r="AI7">
            <v>10000</v>
          </cell>
        </row>
      </sheetData>
      <sheetData sheetId="1995">
        <row r="7">
          <cell r="AI7">
            <v>10000</v>
          </cell>
        </row>
      </sheetData>
      <sheetData sheetId="1996">
        <row r="7">
          <cell r="AI7">
            <v>10000</v>
          </cell>
        </row>
      </sheetData>
      <sheetData sheetId="1997">
        <row r="7">
          <cell r="AI7">
            <v>10000</v>
          </cell>
        </row>
      </sheetData>
      <sheetData sheetId="1998">
        <row r="7">
          <cell r="AI7">
            <v>10000</v>
          </cell>
        </row>
      </sheetData>
      <sheetData sheetId="1999">
        <row r="7">
          <cell r="AI7">
            <v>10000</v>
          </cell>
        </row>
      </sheetData>
      <sheetData sheetId="2000">
        <row r="7">
          <cell r="AI7">
            <v>10000</v>
          </cell>
        </row>
      </sheetData>
      <sheetData sheetId="2001">
        <row r="7">
          <cell r="AI7">
            <v>10000</v>
          </cell>
        </row>
      </sheetData>
      <sheetData sheetId="2002">
        <row r="7">
          <cell r="AI7">
            <v>10000</v>
          </cell>
        </row>
      </sheetData>
      <sheetData sheetId="2003">
        <row r="7">
          <cell r="AI7">
            <v>10000</v>
          </cell>
        </row>
      </sheetData>
      <sheetData sheetId="2004">
        <row r="7">
          <cell r="AI7">
            <v>10000</v>
          </cell>
        </row>
      </sheetData>
      <sheetData sheetId="2005">
        <row r="7">
          <cell r="AI7">
            <v>10000</v>
          </cell>
        </row>
      </sheetData>
      <sheetData sheetId="2006">
        <row r="7">
          <cell r="AI7">
            <v>10000</v>
          </cell>
        </row>
      </sheetData>
      <sheetData sheetId="2007">
        <row r="7">
          <cell r="AI7">
            <v>10000</v>
          </cell>
        </row>
      </sheetData>
      <sheetData sheetId="2008">
        <row r="7">
          <cell r="AI7">
            <v>10000</v>
          </cell>
        </row>
      </sheetData>
      <sheetData sheetId="2009">
        <row r="7">
          <cell r="AI7">
            <v>10000</v>
          </cell>
        </row>
      </sheetData>
      <sheetData sheetId="2010">
        <row r="7">
          <cell r="AI7">
            <v>10000</v>
          </cell>
        </row>
      </sheetData>
      <sheetData sheetId="2011">
        <row r="7">
          <cell r="AI7">
            <v>10000</v>
          </cell>
        </row>
      </sheetData>
      <sheetData sheetId="2012">
        <row r="7">
          <cell r="AI7">
            <v>10000</v>
          </cell>
        </row>
      </sheetData>
      <sheetData sheetId="2013">
        <row r="7">
          <cell r="AI7">
            <v>10000</v>
          </cell>
        </row>
      </sheetData>
      <sheetData sheetId="2014">
        <row r="7">
          <cell r="AI7">
            <v>10000</v>
          </cell>
        </row>
      </sheetData>
      <sheetData sheetId="2015">
        <row r="7">
          <cell r="AI7">
            <v>10000</v>
          </cell>
        </row>
      </sheetData>
      <sheetData sheetId="2016">
        <row r="7">
          <cell r="AI7">
            <v>10000</v>
          </cell>
        </row>
      </sheetData>
      <sheetData sheetId="2017">
        <row r="7">
          <cell r="AI7">
            <v>10000</v>
          </cell>
        </row>
      </sheetData>
      <sheetData sheetId="2018">
        <row r="7">
          <cell r="AI7">
            <v>10000</v>
          </cell>
        </row>
      </sheetData>
      <sheetData sheetId="2019">
        <row r="7">
          <cell r="AI7">
            <v>10000</v>
          </cell>
        </row>
      </sheetData>
      <sheetData sheetId="2020">
        <row r="7">
          <cell r="AI7">
            <v>10000</v>
          </cell>
        </row>
      </sheetData>
      <sheetData sheetId="2021">
        <row r="7">
          <cell r="AI7">
            <v>10000</v>
          </cell>
        </row>
      </sheetData>
      <sheetData sheetId="2022">
        <row r="7">
          <cell r="AI7">
            <v>10000</v>
          </cell>
        </row>
      </sheetData>
      <sheetData sheetId="2023">
        <row r="7">
          <cell r="AI7">
            <v>10000</v>
          </cell>
        </row>
      </sheetData>
      <sheetData sheetId="2024">
        <row r="7">
          <cell r="AI7">
            <v>10000</v>
          </cell>
        </row>
      </sheetData>
      <sheetData sheetId="2025">
        <row r="7">
          <cell r="AI7">
            <v>10000</v>
          </cell>
        </row>
      </sheetData>
      <sheetData sheetId="2026">
        <row r="7">
          <cell r="AI7">
            <v>10000</v>
          </cell>
        </row>
      </sheetData>
      <sheetData sheetId="2027">
        <row r="7">
          <cell r="AI7">
            <v>10000</v>
          </cell>
        </row>
      </sheetData>
      <sheetData sheetId="2028">
        <row r="7">
          <cell r="AI7">
            <v>10000</v>
          </cell>
        </row>
      </sheetData>
      <sheetData sheetId="2029">
        <row r="7">
          <cell r="AI7">
            <v>10000</v>
          </cell>
        </row>
      </sheetData>
      <sheetData sheetId="2030">
        <row r="7">
          <cell r="AI7">
            <v>10000</v>
          </cell>
        </row>
      </sheetData>
      <sheetData sheetId="2031">
        <row r="7">
          <cell r="AI7">
            <v>10000</v>
          </cell>
        </row>
      </sheetData>
      <sheetData sheetId="2032">
        <row r="7">
          <cell r="AI7">
            <v>10000</v>
          </cell>
        </row>
      </sheetData>
      <sheetData sheetId="2033">
        <row r="7">
          <cell r="AI7">
            <v>10000</v>
          </cell>
        </row>
      </sheetData>
      <sheetData sheetId="2034">
        <row r="7">
          <cell r="AI7">
            <v>10000</v>
          </cell>
        </row>
      </sheetData>
      <sheetData sheetId="2035">
        <row r="7">
          <cell r="AI7">
            <v>10000</v>
          </cell>
        </row>
      </sheetData>
      <sheetData sheetId="2036">
        <row r="7">
          <cell r="AI7">
            <v>10000</v>
          </cell>
        </row>
      </sheetData>
      <sheetData sheetId="2037">
        <row r="7">
          <cell r="AI7">
            <v>10000</v>
          </cell>
        </row>
      </sheetData>
      <sheetData sheetId="2038">
        <row r="7">
          <cell r="AI7">
            <v>10000</v>
          </cell>
        </row>
      </sheetData>
      <sheetData sheetId="2039">
        <row r="7">
          <cell r="AI7">
            <v>10000</v>
          </cell>
        </row>
      </sheetData>
      <sheetData sheetId="2040">
        <row r="7">
          <cell r="AI7">
            <v>10000</v>
          </cell>
        </row>
      </sheetData>
      <sheetData sheetId="2041">
        <row r="7">
          <cell r="AI7">
            <v>10000</v>
          </cell>
        </row>
      </sheetData>
      <sheetData sheetId="2042">
        <row r="7">
          <cell r="AI7">
            <v>10000</v>
          </cell>
        </row>
      </sheetData>
      <sheetData sheetId="2043">
        <row r="7">
          <cell r="AI7">
            <v>10000</v>
          </cell>
        </row>
      </sheetData>
      <sheetData sheetId="2044">
        <row r="7">
          <cell r="AI7">
            <v>10000</v>
          </cell>
        </row>
      </sheetData>
      <sheetData sheetId="2045">
        <row r="7">
          <cell r="AI7">
            <v>10000</v>
          </cell>
        </row>
      </sheetData>
      <sheetData sheetId="2046">
        <row r="7">
          <cell r="AI7">
            <v>10000</v>
          </cell>
        </row>
      </sheetData>
      <sheetData sheetId="2047">
        <row r="7">
          <cell r="AI7">
            <v>10000</v>
          </cell>
        </row>
      </sheetData>
      <sheetData sheetId="2048">
        <row r="7">
          <cell r="AI7">
            <v>10000</v>
          </cell>
        </row>
      </sheetData>
      <sheetData sheetId="2049">
        <row r="7">
          <cell r="AI7">
            <v>10000</v>
          </cell>
        </row>
      </sheetData>
      <sheetData sheetId="2050">
        <row r="7">
          <cell r="AI7">
            <v>10000</v>
          </cell>
        </row>
      </sheetData>
      <sheetData sheetId="2051">
        <row r="7">
          <cell r="AI7">
            <v>10000</v>
          </cell>
        </row>
      </sheetData>
      <sheetData sheetId="2052">
        <row r="7">
          <cell r="AI7">
            <v>10000</v>
          </cell>
        </row>
      </sheetData>
      <sheetData sheetId="2053">
        <row r="7">
          <cell r="AI7">
            <v>10000</v>
          </cell>
        </row>
      </sheetData>
      <sheetData sheetId="2054">
        <row r="7">
          <cell r="AI7">
            <v>10000</v>
          </cell>
        </row>
      </sheetData>
      <sheetData sheetId="2055">
        <row r="7">
          <cell r="AI7">
            <v>10000</v>
          </cell>
        </row>
      </sheetData>
      <sheetData sheetId="2056">
        <row r="7">
          <cell r="AI7">
            <v>10000</v>
          </cell>
        </row>
      </sheetData>
      <sheetData sheetId="2057">
        <row r="7">
          <cell r="AI7">
            <v>10000</v>
          </cell>
        </row>
      </sheetData>
      <sheetData sheetId="2058">
        <row r="7">
          <cell r="AI7">
            <v>10000</v>
          </cell>
        </row>
      </sheetData>
      <sheetData sheetId="2059">
        <row r="7">
          <cell r="AI7">
            <v>10000</v>
          </cell>
        </row>
      </sheetData>
      <sheetData sheetId="2060">
        <row r="7">
          <cell r="AI7">
            <v>10000</v>
          </cell>
        </row>
      </sheetData>
      <sheetData sheetId="2061">
        <row r="7">
          <cell r="AI7">
            <v>10000</v>
          </cell>
        </row>
      </sheetData>
      <sheetData sheetId="2062">
        <row r="7">
          <cell r="AI7">
            <v>10000</v>
          </cell>
        </row>
      </sheetData>
      <sheetData sheetId="2063">
        <row r="7">
          <cell r="AI7">
            <v>10000</v>
          </cell>
        </row>
      </sheetData>
      <sheetData sheetId="2064">
        <row r="7">
          <cell r="AI7">
            <v>10000</v>
          </cell>
        </row>
      </sheetData>
      <sheetData sheetId="2065">
        <row r="7">
          <cell r="AI7">
            <v>10000</v>
          </cell>
        </row>
      </sheetData>
      <sheetData sheetId="2066">
        <row r="7">
          <cell r="AI7">
            <v>10000</v>
          </cell>
        </row>
      </sheetData>
      <sheetData sheetId="2067">
        <row r="7">
          <cell r="AI7">
            <v>10000</v>
          </cell>
        </row>
      </sheetData>
      <sheetData sheetId="2068">
        <row r="7">
          <cell r="AI7">
            <v>10000</v>
          </cell>
        </row>
      </sheetData>
      <sheetData sheetId="2069">
        <row r="7">
          <cell r="AI7">
            <v>10000</v>
          </cell>
        </row>
      </sheetData>
      <sheetData sheetId="2070">
        <row r="7">
          <cell r="AI7">
            <v>10000</v>
          </cell>
        </row>
      </sheetData>
      <sheetData sheetId="2071">
        <row r="7">
          <cell r="AI7">
            <v>10000</v>
          </cell>
        </row>
      </sheetData>
      <sheetData sheetId="2072">
        <row r="7">
          <cell r="AI7">
            <v>10000</v>
          </cell>
        </row>
      </sheetData>
      <sheetData sheetId="2073">
        <row r="7">
          <cell r="AI7">
            <v>10000</v>
          </cell>
        </row>
      </sheetData>
      <sheetData sheetId="2074">
        <row r="7">
          <cell r="AI7">
            <v>10000</v>
          </cell>
        </row>
      </sheetData>
      <sheetData sheetId="2075">
        <row r="7">
          <cell r="AI7">
            <v>10000</v>
          </cell>
        </row>
      </sheetData>
      <sheetData sheetId="2076">
        <row r="7">
          <cell r="AI7">
            <v>10000</v>
          </cell>
        </row>
      </sheetData>
      <sheetData sheetId="2077">
        <row r="7">
          <cell r="AI7">
            <v>10000</v>
          </cell>
        </row>
      </sheetData>
      <sheetData sheetId="2078">
        <row r="7">
          <cell r="AI7">
            <v>10000</v>
          </cell>
        </row>
      </sheetData>
      <sheetData sheetId="2079">
        <row r="7">
          <cell r="AI7">
            <v>10000</v>
          </cell>
        </row>
      </sheetData>
      <sheetData sheetId="2080">
        <row r="7">
          <cell r="AI7">
            <v>10000</v>
          </cell>
        </row>
      </sheetData>
      <sheetData sheetId="2081">
        <row r="7">
          <cell r="AI7">
            <v>10000</v>
          </cell>
        </row>
      </sheetData>
      <sheetData sheetId="2082">
        <row r="7">
          <cell r="AI7">
            <v>10000</v>
          </cell>
        </row>
      </sheetData>
      <sheetData sheetId="2083">
        <row r="7">
          <cell r="AI7">
            <v>10000</v>
          </cell>
        </row>
      </sheetData>
      <sheetData sheetId="2084">
        <row r="7">
          <cell r="AI7">
            <v>10000</v>
          </cell>
        </row>
      </sheetData>
      <sheetData sheetId="2085">
        <row r="7">
          <cell r="AI7">
            <v>10000</v>
          </cell>
        </row>
      </sheetData>
      <sheetData sheetId="2086">
        <row r="7">
          <cell r="AI7">
            <v>10000</v>
          </cell>
        </row>
      </sheetData>
      <sheetData sheetId="2087">
        <row r="7">
          <cell r="AI7">
            <v>10000</v>
          </cell>
        </row>
      </sheetData>
      <sheetData sheetId="2088">
        <row r="7">
          <cell r="AI7">
            <v>10000</v>
          </cell>
        </row>
      </sheetData>
      <sheetData sheetId="2089">
        <row r="7">
          <cell r="AI7">
            <v>10000</v>
          </cell>
        </row>
      </sheetData>
      <sheetData sheetId="2090">
        <row r="7">
          <cell r="AH7" t="str">
            <v>SP1</v>
          </cell>
        </row>
      </sheetData>
      <sheetData sheetId="2091">
        <row r="7">
          <cell r="AH7" t="str">
            <v>SP1</v>
          </cell>
        </row>
      </sheetData>
      <sheetData sheetId="2092">
        <row r="7">
          <cell r="AH7" t="str">
            <v>SP1</v>
          </cell>
        </row>
      </sheetData>
      <sheetData sheetId="2093">
        <row r="7">
          <cell r="AI7">
            <v>10000</v>
          </cell>
        </row>
      </sheetData>
      <sheetData sheetId="2094">
        <row r="7">
          <cell r="AI7">
            <v>10000</v>
          </cell>
        </row>
      </sheetData>
      <sheetData sheetId="2095">
        <row r="7">
          <cell r="AI7">
            <v>10000</v>
          </cell>
        </row>
      </sheetData>
      <sheetData sheetId="2096">
        <row r="7">
          <cell r="AI7">
            <v>10000</v>
          </cell>
        </row>
      </sheetData>
      <sheetData sheetId="2097">
        <row r="7">
          <cell r="AI7">
            <v>10000</v>
          </cell>
        </row>
      </sheetData>
      <sheetData sheetId="2098">
        <row r="7">
          <cell r="AI7">
            <v>10000</v>
          </cell>
        </row>
      </sheetData>
      <sheetData sheetId="2099">
        <row r="7">
          <cell r="AH7" t="str">
            <v>SP1</v>
          </cell>
        </row>
      </sheetData>
      <sheetData sheetId="2100">
        <row r="7">
          <cell r="AH7" t="str">
            <v>SP1</v>
          </cell>
        </row>
      </sheetData>
      <sheetData sheetId="2101">
        <row r="7">
          <cell r="AH7" t="str">
            <v>SP1</v>
          </cell>
        </row>
      </sheetData>
      <sheetData sheetId="2102">
        <row r="7">
          <cell r="AH7" t="str">
            <v>SP1</v>
          </cell>
        </row>
      </sheetData>
      <sheetData sheetId="2103">
        <row r="7">
          <cell r="AH7" t="str">
            <v>SP1</v>
          </cell>
        </row>
      </sheetData>
      <sheetData sheetId="2104">
        <row r="7">
          <cell r="AI7">
            <v>10000</v>
          </cell>
        </row>
      </sheetData>
      <sheetData sheetId="2105">
        <row r="7">
          <cell r="AH7" t="str">
            <v>SP1</v>
          </cell>
        </row>
      </sheetData>
      <sheetData sheetId="2106">
        <row r="7">
          <cell r="AH7" t="str">
            <v>SP1</v>
          </cell>
        </row>
      </sheetData>
      <sheetData sheetId="2107">
        <row r="7">
          <cell r="AH7" t="str">
            <v>SP1</v>
          </cell>
        </row>
      </sheetData>
      <sheetData sheetId="2108">
        <row r="7">
          <cell r="AI7">
            <v>10000</v>
          </cell>
        </row>
      </sheetData>
      <sheetData sheetId="2109">
        <row r="7">
          <cell r="AI7">
            <v>10000</v>
          </cell>
        </row>
      </sheetData>
      <sheetData sheetId="2110">
        <row r="7">
          <cell r="AI7">
            <v>10000</v>
          </cell>
        </row>
      </sheetData>
      <sheetData sheetId="2111">
        <row r="7">
          <cell r="AI7">
            <v>10000</v>
          </cell>
        </row>
      </sheetData>
      <sheetData sheetId="2112">
        <row r="7">
          <cell r="AI7">
            <v>10000</v>
          </cell>
        </row>
      </sheetData>
      <sheetData sheetId="2113">
        <row r="7">
          <cell r="AI7">
            <v>10000</v>
          </cell>
        </row>
      </sheetData>
      <sheetData sheetId="2114">
        <row r="7">
          <cell r="AH7" t="str">
            <v>SP1</v>
          </cell>
        </row>
      </sheetData>
      <sheetData sheetId="2115">
        <row r="7">
          <cell r="AH7" t="str">
            <v>SP1</v>
          </cell>
        </row>
      </sheetData>
      <sheetData sheetId="2116">
        <row r="7">
          <cell r="AH7" t="str">
            <v>SP1</v>
          </cell>
        </row>
      </sheetData>
      <sheetData sheetId="2117">
        <row r="7">
          <cell r="AH7" t="str">
            <v>SP1</v>
          </cell>
        </row>
      </sheetData>
      <sheetData sheetId="2118">
        <row r="7">
          <cell r="AH7" t="str">
            <v>SP1</v>
          </cell>
        </row>
      </sheetData>
      <sheetData sheetId="2119">
        <row r="7">
          <cell r="AI7">
            <v>10000</v>
          </cell>
        </row>
      </sheetData>
      <sheetData sheetId="2120">
        <row r="7">
          <cell r="AH7" t="str">
            <v>SP1</v>
          </cell>
        </row>
      </sheetData>
      <sheetData sheetId="2121">
        <row r="7">
          <cell r="AH7" t="str">
            <v>SP1</v>
          </cell>
        </row>
      </sheetData>
      <sheetData sheetId="2122">
        <row r="7">
          <cell r="AH7" t="str">
            <v>SP1</v>
          </cell>
        </row>
      </sheetData>
      <sheetData sheetId="2123">
        <row r="7">
          <cell r="AI7">
            <v>10000</v>
          </cell>
        </row>
      </sheetData>
      <sheetData sheetId="2124">
        <row r="7">
          <cell r="AI7">
            <v>10000</v>
          </cell>
        </row>
      </sheetData>
      <sheetData sheetId="2125">
        <row r="7">
          <cell r="AI7">
            <v>10000</v>
          </cell>
        </row>
      </sheetData>
      <sheetData sheetId="2126">
        <row r="7">
          <cell r="AH7" t="str">
            <v>SP1</v>
          </cell>
        </row>
      </sheetData>
      <sheetData sheetId="2127">
        <row r="7">
          <cell r="AH7" t="str">
            <v>SP1</v>
          </cell>
        </row>
      </sheetData>
      <sheetData sheetId="2128">
        <row r="7">
          <cell r="AH7" t="str">
            <v>SP1</v>
          </cell>
        </row>
      </sheetData>
      <sheetData sheetId="2129">
        <row r="7">
          <cell r="AI7">
            <v>10000</v>
          </cell>
        </row>
      </sheetData>
      <sheetData sheetId="2130">
        <row r="7">
          <cell r="AI7">
            <v>10000</v>
          </cell>
        </row>
      </sheetData>
      <sheetData sheetId="2131">
        <row r="7">
          <cell r="AH7" t="str">
            <v>SP1</v>
          </cell>
        </row>
      </sheetData>
      <sheetData sheetId="2132">
        <row r="7">
          <cell r="AH7" t="str">
            <v>SP1</v>
          </cell>
        </row>
      </sheetData>
      <sheetData sheetId="2133">
        <row r="7">
          <cell r="AH7" t="str">
            <v>SP1</v>
          </cell>
        </row>
      </sheetData>
      <sheetData sheetId="2134">
        <row r="7">
          <cell r="AI7">
            <v>10000</v>
          </cell>
        </row>
      </sheetData>
      <sheetData sheetId="2135">
        <row r="7">
          <cell r="AH7" t="str">
            <v>SP1</v>
          </cell>
        </row>
      </sheetData>
      <sheetData sheetId="2136">
        <row r="7">
          <cell r="AH7" t="str">
            <v>SP1</v>
          </cell>
        </row>
      </sheetData>
      <sheetData sheetId="2137">
        <row r="7">
          <cell r="AH7" t="str">
            <v>SP1</v>
          </cell>
        </row>
      </sheetData>
      <sheetData sheetId="2138">
        <row r="7">
          <cell r="AH7" t="str">
            <v>SP1</v>
          </cell>
        </row>
      </sheetData>
      <sheetData sheetId="2139">
        <row r="7">
          <cell r="AH7" t="str">
            <v>SP1</v>
          </cell>
        </row>
      </sheetData>
      <sheetData sheetId="2140">
        <row r="7">
          <cell r="AI7">
            <v>10000</v>
          </cell>
        </row>
      </sheetData>
      <sheetData sheetId="2141">
        <row r="7">
          <cell r="AH7" t="str">
            <v>SP1</v>
          </cell>
        </row>
      </sheetData>
      <sheetData sheetId="2142">
        <row r="7">
          <cell r="AH7" t="str">
            <v>SP1</v>
          </cell>
        </row>
      </sheetData>
      <sheetData sheetId="2143">
        <row r="7">
          <cell r="AH7" t="str">
            <v>SP1</v>
          </cell>
        </row>
      </sheetData>
      <sheetData sheetId="2144">
        <row r="7">
          <cell r="AH7" t="str">
            <v>SP1</v>
          </cell>
        </row>
      </sheetData>
      <sheetData sheetId="2145">
        <row r="7">
          <cell r="AH7" t="str">
            <v>SP1</v>
          </cell>
        </row>
      </sheetData>
      <sheetData sheetId="2146">
        <row r="7">
          <cell r="AH7" t="str">
            <v>SP1</v>
          </cell>
        </row>
      </sheetData>
      <sheetData sheetId="2147">
        <row r="7">
          <cell r="AH7" t="str">
            <v>SP1</v>
          </cell>
        </row>
      </sheetData>
      <sheetData sheetId="2148">
        <row r="7">
          <cell r="AH7" t="str">
            <v>SP1</v>
          </cell>
        </row>
      </sheetData>
      <sheetData sheetId="2149">
        <row r="7">
          <cell r="AI7">
            <v>10000</v>
          </cell>
        </row>
      </sheetData>
      <sheetData sheetId="2150">
        <row r="7">
          <cell r="AH7" t="str">
            <v>SP1</v>
          </cell>
        </row>
      </sheetData>
      <sheetData sheetId="2151">
        <row r="7">
          <cell r="AH7" t="str">
            <v>SP1</v>
          </cell>
        </row>
      </sheetData>
      <sheetData sheetId="2152">
        <row r="7">
          <cell r="AH7" t="str">
            <v>SP1</v>
          </cell>
        </row>
      </sheetData>
      <sheetData sheetId="2153">
        <row r="7">
          <cell r="AI7">
            <v>10000</v>
          </cell>
        </row>
      </sheetData>
      <sheetData sheetId="2154">
        <row r="7">
          <cell r="AI7">
            <v>10000</v>
          </cell>
        </row>
      </sheetData>
      <sheetData sheetId="2155">
        <row r="7">
          <cell r="AI7">
            <v>10000</v>
          </cell>
        </row>
      </sheetData>
      <sheetData sheetId="2156">
        <row r="7">
          <cell r="AI7">
            <v>10000</v>
          </cell>
        </row>
      </sheetData>
      <sheetData sheetId="2157">
        <row r="7">
          <cell r="AI7">
            <v>10000</v>
          </cell>
        </row>
      </sheetData>
      <sheetData sheetId="2158">
        <row r="7">
          <cell r="AI7">
            <v>10000</v>
          </cell>
        </row>
      </sheetData>
      <sheetData sheetId="2159">
        <row r="7">
          <cell r="AH7" t="str">
            <v>SP1</v>
          </cell>
        </row>
      </sheetData>
      <sheetData sheetId="2160">
        <row r="7">
          <cell r="AH7" t="str">
            <v>SP1</v>
          </cell>
        </row>
      </sheetData>
      <sheetData sheetId="2161">
        <row r="7">
          <cell r="AH7" t="str">
            <v>SP1</v>
          </cell>
        </row>
      </sheetData>
      <sheetData sheetId="2162">
        <row r="7">
          <cell r="AH7" t="str">
            <v>SP1</v>
          </cell>
        </row>
      </sheetData>
      <sheetData sheetId="2163">
        <row r="7">
          <cell r="AH7" t="str">
            <v>SP1</v>
          </cell>
        </row>
      </sheetData>
      <sheetData sheetId="2164">
        <row r="7">
          <cell r="AI7">
            <v>10000</v>
          </cell>
        </row>
      </sheetData>
      <sheetData sheetId="2165">
        <row r="7">
          <cell r="AH7" t="str">
            <v>SP1</v>
          </cell>
        </row>
      </sheetData>
      <sheetData sheetId="2166">
        <row r="7">
          <cell r="AH7" t="str">
            <v>SP1</v>
          </cell>
        </row>
      </sheetData>
      <sheetData sheetId="2167">
        <row r="7">
          <cell r="AH7" t="str">
            <v>SP1</v>
          </cell>
        </row>
      </sheetData>
      <sheetData sheetId="2168">
        <row r="7">
          <cell r="AH7" t="str">
            <v>SP1</v>
          </cell>
        </row>
      </sheetData>
      <sheetData sheetId="2169">
        <row r="7">
          <cell r="AI7">
            <v>10000</v>
          </cell>
        </row>
      </sheetData>
      <sheetData sheetId="2170">
        <row r="7">
          <cell r="AI7">
            <v>10000</v>
          </cell>
        </row>
      </sheetData>
      <sheetData sheetId="2171">
        <row r="7">
          <cell r="AH7" t="str">
            <v>SP1</v>
          </cell>
        </row>
      </sheetData>
      <sheetData sheetId="2172">
        <row r="7">
          <cell r="AH7" t="str">
            <v>SP1</v>
          </cell>
        </row>
      </sheetData>
      <sheetData sheetId="2173">
        <row r="7">
          <cell r="AH7" t="str">
            <v>SP1</v>
          </cell>
        </row>
      </sheetData>
      <sheetData sheetId="2174">
        <row r="7">
          <cell r="AI7">
            <v>10000</v>
          </cell>
        </row>
      </sheetData>
      <sheetData sheetId="2175">
        <row r="7">
          <cell r="AI7">
            <v>10000</v>
          </cell>
        </row>
      </sheetData>
      <sheetData sheetId="2176">
        <row r="7">
          <cell r="AH7" t="str">
            <v>SP1</v>
          </cell>
        </row>
      </sheetData>
      <sheetData sheetId="2177">
        <row r="7">
          <cell r="AH7" t="str">
            <v>SP1</v>
          </cell>
        </row>
      </sheetData>
      <sheetData sheetId="2178">
        <row r="7">
          <cell r="AH7" t="str">
            <v>SP1</v>
          </cell>
        </row>
      </sheetData>
      <sheetData sheetId="2179">
        <row r="7">
          <cell r="AI7">
            <v>10000</v>
          </cell>
        </row>
      </sheetData>
      <sheetData sheetId="2180">
        <row r="7">
          <cell r="AH7" t="str">
            <v>SP1</v>
          </cell>
        </row>
      </sheetData>
      <sheetData sheetId="2181">
        <row r="7">
          <cell r="AH7" t="str">
            <v>SP1</v>
          </cell>
        </row>
      </sheetData>
      <sheetData sheetId="2182">
        <row r="7">
          <cell r="AH7" t="str">
            <v>SP1</v>
          </cell>
        </row>
      </sheetData>
      <sheetData sheetId="2183">
        <row r="7">
          <cell r="AH7" t="str">
            <v>SP1</v>
          </cell>
        </row>
      </sheetData>
      <sheetData sheetId="2184">
        <row r="7">
          <cell r="AH7" t="str">
            <v>SP1</v>
          </cell>
        </row>
      </sheetData>
      <sheetData sheetId="2185">
        <row r="7">
          <cell r="AI7">
            <v>10000</v>
          </cell>
        </row>
      </sheetData>
      <sheetData sheetId="2186">
        <row r="7">
          <cell r="AH7" t="str">
            <v>SP1</v>
          </cell>
        </row>
      </sheetData>
      <sheetData sheetId="2187">
        <row r="7">
          <cell r="AH7" t="str">
            <v>SP1</v>
          </cell>
        </row>
      </sheetData>
      <sheetData sheetId="2188">
        <row r="7">
          <cell r="AH7" t="str">
            <v>SP1</v>
          </cell>
        </row>
      </sheetData>
      <sheetData sheetId="2189">
        <row r="7">
          <cell r="AI7">
            <v>10000</v>
          </cell>
        </row>
      </sheetData>
      <sheetData sheetId="2190">
        <row r="7">
          <cell r="AI7">
            <v>10000</v>
          </cell>
        </row>
      </sheetData>
      <sheetData sheetId="2191">
        <row r="7">
          <cell r="AH7" t="str">
            <v>SP1</v>
          </cell>
        </row>
      </sheetData>
      <sheetData sheetId="2192">
        <row r="7">
          <cell r="AH7" t="str">
            <v>SP1</v>
          </cell>
        </row>
      </sheetData>
      <sheetData sheetId="2193">
        <row r="7">
          <cell r="AH7" t="str">
            <v>SP1</v>
          </cell>
        </row>
      </sheetData>
      <sheetData sheetId="2194">
        <row r="7">
          <cell r="AI7">
            <v>10000</v>
          </cell>
        </row>
      </sheetData>
      <sheetData sheetId="2195">
        <row r="7">
          <cell r="AI7">
            <v>10000</v>
          </cell>
        </row>
      </sheetData>
      <sheetData sheetId="2196">
        <row r="7">
          <cell r="AI7">
            <v>10000</v>
          </cell>
        </row>
      </sheetData>
      <sheetData sheetId="2197">
        <row r="7">
          <cell r="AI7">
            <v>10000</v>
          </cell>
        </row>
      </sheetData>
      <sheetData sheetId="2198">
        <row r="7">
          <cell r="AI7">
            <v>10000</v>
          </cell>
        </row>
      </sheetData>
      <sheetData sheetId="2199" refreshError="1"/>
      <sheetData sheetId="2200">
        <row r="7">
          <cell r="AI7">
            <v>10000</v>
          </cell>
        </row>
      </sheetData>
      <sheetData sheetId="2201">
        <row r="7">
          <cell r="AI7">
            <v>10000</v>
          </cell>
        </row>
      </sheetData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>
        <row r="7">
          <cell r="AI7">
            <v>10000</v>
          </cell>
        </row>
      </sheetData>
      <sheetData sheetId="2226" refreshError="1"/>
      <sheetData sheetId="2227" refreshError="1"/>
      <sheetData sheetId="2228" refreshError="1"/>
      <sheetData sheetId="2229" refreshError="1"/>
      <sheetData sheetId="2230">
        <row r="7">
          <cell r="AI7">
            <v>10000</v>
          </cell>
        </row>
      </sheetData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>
        <row r="7">
          <cell r="AI7">
            <v>10000</v>
          </cell>
        </row>
      </sheetData>
      <sheetData sheetId="2237">
        <row r="7">
          <cell r="AI7">
            <v>10000</v>
          </cell>
        </row>
      </sheetData>
      <sheetData sheetId="2238">
        <row r="7">
          <cell r="AI7">
            <v>10000</v>
          </cell>
        </row>
      </sheetData>
      <sheetData sheetId="2239">
        <row r="7">
          <cell r="AI7">
            <v>10000</v>
          </cell>
        </row>
      </sheetData>
      <sheetData sheetId="2240">
        <row r="7">
          <cell r="AI7">
            <v>10000</v>
          </cell>
        </row>
      </sheetData>
      <sheetData sheetId="2241">
        <row r="7">
          <cell r="AI7">
            <v>10000</v>
          </cell>
        </row>
      </sheetData>
      <sheetData sheetId="2242">
        <row r="7">
          <cell r="AI7">
            <v>10000</v>
          </cell>
        </row>
      </sheetData>
      <sheetData sheetId="2243">
        <row r="7">
          <cell r="AI7">
            <v>10000</v>
          </cell>
        </row>
      </sheetData>
      <sheetData sheetId="2244">
        <row r="7">
          <cell r="AI7">
            <v>10000</v>
          </cell>
        </row>
      </sheetData>
      <sheetData sheetId="2245">
        <row r="7">
          <cell r="AI7">
            <v>10000</v>
          </cell>
        </row>
      </sheetData>
      <sheetData sheetId="2246">
        <row r="7">
          <cell r="AI7">
            <v>10000</v>
          </cell>
        </row>
      </sheetData>
      <sheetData sheetId="2247">
        <row r="7">
          <cell r="AI7">
            <v>10000</v>
          </cell>
        </row>
      </sheetData>
      <sheetData sheetId="2248">
        <row r="7">
          <cell r="AI7">
            <v>10000</v>
          </cell>
        </row>
      </sheetData>
      <sheetData sheetId="2249">
        <row r="7">
          <cell r="AI7">
            <v>10000</v>
          </cell>
        </row>
      </sheetData>
      <sheetData sheetId="2250">
        <row r="7">
          <cell r="AI7">
            <v>10000</v>
          </cell>
        </row>
      </sheetData>
      <sheetData sheetId="2251">
        <row r="7">
          <cell r="AI7">
            <v>10000</v>
          </cell>
        </row>
      </sheetData>
      <sheetData sheetId="2252">
        <row r="7">
          <cell r="AI7">
            <v>10000</v>
          </cell>
        </row>
      </sheetData>
      <sheetData sheetId="2253">
        <row r="7">
          <cell r="AI7">
            <v>10000</v>
          </cell>
        </row>
      </sheetData>
      <sheetData sheetId="2254">
        <row r="7">
          <cell r="AI7">
            <v>10000</v>
          </cell>
        </row>
      </sheetData>
      <sheetData sheetId="2255">
        <row r="7">
          <cell r="AI7">
            <v>10000</v>
          </cell>
        </row>
      </sheetData>
      <sheetData sheetId="2256">
        <row r="7">
          <cell r="AI7">
            <v>10000</v>
          </cell>
        </row>
      </sheetData>
      <sheetData sheetId="2257">
        <row r="7">
          <cell r="AI7">
            <v>10000</v>
          </cell>
        </row>
      </sheetData>
      <sheetData sheetId="2258">
        <row r="7">
          <cell r="AI7">
            <v>10000</v>
          </cell>
        </row>
      </sheetData>
      <sheetData sheetId="2259">
        <row r="7">
          <cell r="AI7">
            <v>10000</v>
          </cell>
        </row>
      </sheetData>
      <sheetData sheetId="2260">
        <row r="7">
          <cell r="AI7">
            <v>10000</v>
          </cell>
        </row>
      </sheetData>
      <sheetData sheetId="2261">
        <row r="7">
          <cell r="AI7">
            <v>10000</v>
          </cell>
        </row>
      </sheetData>
      <sheetData sheetId="2262">
        <row r="7">
          <cell r="AI7">
            <v>10000</v>
          </cell>
        </row>
      </sheetData>
      <sheetData sheetId="2263">
        <row r="7">
          <cell r="AI7">
            <v>10000</v>
          </cell>
        </row>
      </sheetData>
      <sheetData sheetId="2264">
        <row r="7">
          <cell r="AI7">
            <v>10000</v>
          </cell>
        </row>
      </sheetData>
      <sheetData sheetId="2265">
        <row r="7">
          <cell r="AI7">
            <v>10000</v>
          </cell>
        </row>
      </sheetData>
      <sheetData sheetId="2266">
        <row r="7">
          <cell r="AI7">
            <v>10000</v>
          </cell>
        </row>
      </sheetData>
      <sheetData sheetId="2267">
        <row r="7">
          <cell r="AI7">
            <v>10000</v>
          </cell>
        </row>
      </sheetData>
      <sheetData sheetId="2268">
        <row r="7">
          <cell r="AI7">
            <v>10000</v>
          </cell>
        </row>
      </sheetData>
      <sheetData sheetId="2269">
        <row r="7">
          <cell r="AI7">
            <v>10000</v>
          </cell>
        </row>
      </sheetData>
      <sheetData sheetId="2270">
        <row r="7">
          <cell r="AI7">
            <v>10000</v>
          </cell>
        </row>
      </sheetData>
      <sheetData sheetId="2271">
        <row r="7">
          <cell r="AI7">
            <v>10000</v>
          </cell>
        </row>
      </sheetData>
      <sheetData sheetId="2272">
        <row r="7">
          <cell r="AI7">
            <v>10000</v>
          </cell>
        </row>
      </sheetData>
      <sheetData sheetId="2273">
        <row r="7">
          <cell r="AI7">
            <v>10000</v>
          </cell>
        </row>
      </sheetData>
      <sheetData sheetId="2274">
        <row r="7">
          <cell r="AI7">
            <v>10000</v>
          </cell>
        </row>
      </sheetData>
      <sheetData sheetId="2275">
        <row r="7">
          <cell r="AI7">
            <v>10000</v>
          </cell>
        </row>
      </sheetData>
      <sheetData sheetId="2276">
        <row r="7">
          <cell r="AI7">
            <v>10000</v>
          </cell>
        </row>
      </sheetData>
      <sheetData sheetId="2277">
        <row r="7">
          <cell r="AI7">
            <v>10000</v>
          </cell>
        </row>
      </sheetData>
      <sheetData sheetId="2278">
        <row r="7">
          <cell r="AI7">
            <v>10000</v>
          </cell>
        </row>
      </sheetData>
      <sheetData sheetId="2279">
        <row r="7">
          <cell r="AI7">
            <v>10000</v>
          </cell>
        </row>
      </sheetData>
      <sheetData sheetId="2280">
        <row r="7">
          <cell r="AI7">
            <v>10000</v>
          </cell>
        </row>
      </sheetData>
      <sheetData sheetId="2281">
        <row r="7">
          <cell r="AI7">
            <v>10000</v>
          </cell>
        </row>
      </sheetData>
      <sheetData sheetId="2282">
        <row r="7">
          <cell r="AI7">
            <v>10000</v>
          </cell>
        </row>
      </sheetData>
      <sheetData sheetId="2283">
        <row r="7">
          <cell r="AI7">
            <v>10000</v>
          </cell>
        </row>
      </sheetData>
      <sheetData sheetId="2284">
        <row r="7">
          <cell r="AI7">
            <v>10000</v>
          </cell>
        </row>
      </sheetData>
      <sheetData sheetId="2285">
        <row r="7">
          <cell r="AI7">
            <v>10000</v>
          </cell>
        </row>
      </sheetData>
      <sheetData sheetId="2286">
        <row r="7">
          <cell r="AI7">
            <v>10000</v>
          </cell>
        </row>
      </sheetData>
      <sheetData sheetId="2287">
        <row r="7">
          <cell r="AI7">
            <v>10000</v>
          </cell>
        </row>
      </sheetData>
      <sheetData sheetId="2288">
        <row r="7">
          <cell r="AI7">
            <v>10000</v>
          </cell>
        </row>
      </sheetData>
      <sheetData sheetId="2289">
        <row r="7">
          <cell r="AI7">
            <v>10000</v>
          </cell>
        </row>
      </sheetData>
      <sheetData sheetId="2290">
        <row r="7">
          <cell r="AI7">
            <v>10000</v>
          </cell>
        </row>
      </sheetData>
      <sheetData sheetId="2291">
        <row r="7">
          <cell r="AI7">
            <v>10000</v>
          </cell>
        </row>
      </sheetData>
      <sheetData sheetId="2292">
        <row r="7">
          <cell r="AI7">
            <v>10000</v>
          </cell>
        </row>
      </sheetData>
      <sheetData sheetId="2293">
        <row r="7">
          <cell r="AI7">
            <v>10000</v>
          </cell>
        </row>
      </sheetData>
      <sheetData sheetId="2294">
        <row r="7">
          <cell r="AI7">
            <v>10000</v>
          </cell>
        </row>
      </sheetData>
      <sheetData sheetId="2295">
        <row r="7">
          <cell r="AI7">
            <v>10000</v>
          </cell>
        </row>
      </sheetData>
      <sheetData sheetId="2296">
        <row r="7">
          <cell r="AI7">
            <v>10000</v>
          </cell>
        </row>
      </sheetData>
      <sheetData sheetId="2297">
        <row r="7">
          <cell r="AI7">
            <v>10000</v>
          </cell>
        </row>
      </sheetData>
      <sheetData sheetId="2298">
        <row r="7">
          <cell r="AI7">
            <v>10000</v>
          </cell>
        </row>
      </sheetData>
      <sheetData sheetId="2299">
        <row r="7">
          <cell r="AI7">
            <v>10000</v>
          </cell>
        </row>
      </sheetData>
      <sheetData sheetId="2300">
        <row r="7">
          <cell r="AI7">
            <v>10000</v>
          </cell>
        </row>
      </sheetData>
      <sheetData sheetId="2301">
        <row r="7">
          <cell r="AI7">
            <v>10000</v>
          </cell>
        </row>
      </sheetData>
      <sheetData sheetId="2302">
        <row r="7">
          <cell r="AI7">
            <v>10000</v>
          </cell>
        </row>
      </sheetData>
      <sheetData sheetId="2303">
        <row r="7">
          <cell r="AI7">
            <v>10000</v>
          </cell>
        </row>
      </sheetData>
      <sheetData sheetId="2304">
        <row r="7">
          <cell r="AI7">
            <v>10000</v>
          </cell>
        </row>
      </sheetData>
      <sheetData sheetId="2305">
        <row r="7">
          <cell r="AI7">
            <v>10000</v>
          </cell>
        </row>
      </sheetData>
      <sheetData sheetId="2306">
        <row r="7">
          <cell r="AI7">
            <v>10000</v>
          </cell>
        </row>
      </sheetData>
      <sheetData sheetId="2307">
        <row r="7">
          <cell r="AI7">
            <v>10000</v>
          </cell>
        </row>
      </sheetData>
      <sheetData sheetId="2308">
        <row r="7">
          <cell r="AH7" t="str">
            <v>SP1</v>
          </cell>
        </row>
      </sheetData>
      <sheetData sheetId="2309">
        <row r="7">
          <cell r="AI7">
            <v>10000</v>
          </cell>
        </row>
      </sheetData>
      <sheetData sheetId="2310">
        <row r="7">
          <cell r="AI7">
            <v>10000</v>
          </cell>
        </row>
      </sheetData>
      <sheetData sheetId="2311">
        <row r="7">
          <cell r="AI7">
            <v>10000</v>
          </cell>
        </row>
      </sheetData>
      <sheetData sheetId="2312">
        <row r="7">
          <cell r="AI7">
            <v>10000</v>
          </cell>
        </row>
      </sheetData>
      <sheetData sheetId="2313">
        <row r="7">
          <cell r="AI7">
            <v>10000</v>
          </cell>
        </row>
      </sheetData>
      <sheetData sheetId="2314">
        <row r="7">
          <cell r="AI7">
            <v>10000</v>
          </cell>
        </row>
      </sheetData>
      <sheetData sheetId="2315">
        <row r="7">
          <cell r="AI7">
            <v>10000</v>
          </cell>
        </row>
      </sheetData>
      <sheetData sheetId="2316">
        <row r="7">
          <cell r="AI7">
            <v>10000</v>
          </cell>
        </row>
      </sheetData>
      <sheetData sheetId="2317">
        <row r="7">
          <cell r="AI7">
            <v>10000</v>
          </cell>
        </row>
      </sheetData>
      <sheetData sheetId="2318">
        <row r="7">
          <cell r="AI7">
            <v>10000</v>
          </cell>
        </row>
      </sheetData>
      <sheetData sheetId="2319">
        <row r="7">
          <cell r="AI7">
            <v>10000</v>
          </cell>
        </row>
      </sheetData>
      <sheetData sheetId="2320">
        <row r="7">
          <cell r="AI7">
            <v>10000</v>
          </cell>
        </row>
      </sheetData>
      <sheetData sheetId="2321">
        <row r="7">
          <cell r="AI7">
            <v>10000</v>
          </cell>
        </row>
      </sheetData>
      <sheetData sheetId="2322">
        <row r="7">
          <cell r="AI7">
            <v>10000</v>
          </cell>
        </row>
      </sheetData>
      <sheetData sheetId="2323">
        <row r="7">
          <cell r="AH7" t="str">
            <v>SP1</v>
          </cell>
        </row>
      </sheetData>
      <sheetData sheetId="2324">
        <row r="7">
          <cell r="AI7">
            <v>10000</v>
          </cell>
        </row>
      </sheetData>
      <sheetData sheetId="2325">
        <row r="7">
          <cell r="AI7">
            <v>10000</v>
          </cell>
        </row>
      </sheetData>
      <sheetData sheetId="2326">
        <row r="7">
          <cell r="AI7">
            <v>10000</v>
          </cell>
        </row>
      </sheetData>
      <sheetData sheetId="2327">
        <row r="7">
          <cell r="AI7">
            <v>10000</v>
          </cell>
        </row>
      </sheetData>
      <sheetData sheetId="2328">
        <row r="7">
          <cell r="AI7">
            <v>10000</v>
          </cell>
        </row>
      </sheetData>
      <sheetData sheetId="2329">
        <row r="7">
          <cell r="AI7">
            <v>10000</v>
          </cell>
        </row>
      </sheetData>
      <sheetData sheetId="2330">
        <row r="7">
          <cell r="AI7">
            <v>10000</v>
          </cell>
        </row>
      </sheetData>
      <sheetData sheetId="2331">
        <row r="7">
          <cell r="AI7">
            <v>10000</v>
          </cell>
        </row>
      </sheetData>
      <sheetData sheetId="2332">
        <row r="7">
          <cell r="AI7">
            <v>10000</v>
          </cell>
        </row>
      </sheetData>
      <sheetData sheetId="2333">
        <row r="7">
          <cell r="AI7">
            <v>10000</v>
          </cell>
        </row>
      </sheetData>
      <sheetData sheetId="2334">
        <row r="7">
          <cell r="AI7">
            <v>10000</v>
          </cell>
        </row>
      </sheetData>
      <sheetData sheetId="2335">
        <row r="7">
          <cell r="AI7">
            <v>10000</v>
          </cell>
        </row>
      </sheetData>
      <sheetData sheetId="2336">
        <row r="7">
          <cell r="AI7">
            <v>10000</v>
          </cell>
        </row>
      </sheetData>
      <sheetData sheetId="2337">
        <row r="7">
          <cell r="AI7">
            <v>10000</v>
          </cell>
        </row>
      </sheetData>
      <sheetData sheetId="2338">
        <row r="7">
          <cell r="AI7">
            <v>10000</v>
          </cell>
        </row>
      </sheetData>
      <sheetData sheetId="2339">
        <row r="7">
          <cell r="AI7">
            <v>10000</v>
          </cell>
        </row>
      </sheetData>
      <sheetData sheetId="2340">
        <row r="7">
          <cell r="AI7">
            <v>10000</v>
          </cell>
        </row>
      </sheetData>
      <sheetData sheetId="2341">
        <row r="7">
          <cell r="AI7">
            <v>10000</v>
          </cell>
        </row>
      </sheetData>
      <sheetData sheetId="2342">
        <row r="7">
          <cell r="AI7">
            <v>10000</v>
          </cell>
        </row>
      </sheetData>
      <sheetData sheetId="2343">
        <row r="7">
          <cell r="AI7">
            <v>10000</v>
          </cell>
        </row>
      </sheetData>
      <sheetData sheetId="2344">
        <row r="7">
          <cell r="AI7">
            <v>10000</v>
          </cell>
        </row>
      </sheetData>
      <sheetData sheetId="2345">
        <row r="7">
          <cell r="AI7">
            <v>10000</v>
          </cell>
        </row>
      </sheetData>
      <sheetData sheetId="2346">
        <row r="7">
          <cell r="AI7">
            <v>10000</v>
          </cell>
        </row>
      </sheetData>
      <sheetData sheetId="2347">
        <row r="7">
          <cell r="AI7">
            <v>10000</v>
          </cell>
        </row>
      </sheetData>
      <sheetData sheetId="2348">
        <row r="7">
          <cell r="AI7">
            <v>10000</v>
          </cell>
        </row>
      </sheetData>
      <sheetData sheetId="2349">
        <row r="7">
          <cell r="AI7">
            <v>10000</v>
          </cell>
        </row>
      </sheetData>
      <sheetData sheetId="2350">
        <row r="7">
          <cell r="AI7">
            <v>10000</v>
          </cell>
        </row>
      </sheetData>
      <sheetData sheetId="2351">
        <row r="7">
          <cell r="AI7">
            <v>10000</v>
          </cell>
        </row>
      </sheetData>
      <sheetData sheetId="2352">
        <row r="7">
          <cell r="AI7">
            <v>10000</v>
          </cell>
        </row>
      </sheetData>
      <sheetData sheetId="2353">
        <row r="7">
          <cell r="AI7">
            <v>10000</v>
          </cell>
        </row>
      </sheetData>
      <sheetData sheetId="2354">
        <row r="7">
          <cell r="AI7">
            <v>10000</v>
          </cell>
        </row>
      </sheetData>
      <sheetData sheetId="2355">
        <row r="7">
          <cell r="AI7">
            <v>10000</v>
          </cell>
        </row>
      </sheetData>
      <sheetData sheetId="2356">
        <row r="7">
          <cell r="AI7">
            <v>10000</v>
          </cell>
        </row>
      </sheetData>
      <sheetData sheetId="2357">
        <row r="7">
          <cell r="AI7">
            <v>10000</v>
          </cell>
        </row>
      </sheetData>
      <sheetData sheetId="2358">
        <row r="7">
          <cell r="AI7">
            <v>10000</v>
          </cell>
        </row>
      </sheetData>
      <sheetData sheetId="2359">
        <row r="7">
          <cell r="AI7">
            <v>10000</v>
          </cell>
        </row>
      </sheetData>
      <sheetData sheetId="2360">
        <row r="7">
          <cell r="AI7">
            <v>10000</v>
          </cell>
        </row>
      </sheetData>
      <sheetData sheetId="2361">
        <row r="7">
          <cell r="AI7">
            <v>10000</v>
          </cell>
        </row>
      </sheetData>
      <sheetData sheetId="2362">
        <row r="7">
          <cell r="AI7">
            <v>10000</v>
          </cell>
        </row>
      </sheetData>
      <sheetData sheetId="2363">
        <row r="7">
          <cell r="AI7">
            <v>10000</v>
          </cell>
        </row>
      </sheetData>
      <sheetData sheetId="2364">
        <row r="7">
          <cell r="AI7">
            <v>10000</v>
          </cell>
        </row>
      </sheetData>
      <sheetData sheetId="2365">
        <row r="7">
          <cell r="AI7">
            <v>10000</v>
          </cell>
        </row>
      </sheetData>
      <sheetData sheetId="2366">
        <row r="7">
          <cell r="AI7">
            <v>10000</v>
          </cell>
        </row>
      </sheetData>
      <sheetData sheetId="2367">
        <row r="7">
          <cell r="AI7">
            <v>10000</v>
          </cell>
        </row>
      </sheetData>
      <sheetData sheetId="2368">
        <row r="7">
          <cell r="AI7">
            <v>10000</v>
          </cell>
        </row>
      </sheetData>
      <sheetData sheetId="2369">
        <row r="7">
          <cell r="AI7">
            <v>10000</v>
          </cell>
        </row>
      </sheetData>
      <sheetData sheetId="2370">
        <row r="7">
          <cell r="AI7">
            <v>10000</v>
          </cell>
        </row>
      </sheetData>
      <sheetData sheetId="2371">
        <row r="7">
          <cell r="AI7">
            <v>10000</v>
          </cell>
        </row>
      </sheetData>
      <sheetData sheetId="2372">
        <row r="7">
          <cell r="AI7">
            <v>10000</v>
          </cell>
        </row>
      </sheetData>
      <sheetData sheetId="2373">
        <row r="7">
          <cell r="AI7">
            <v>10000</v>
          </cell>
        </row>
      </sheetData>
      <sheetData sheetId="2374">
        <row r="7">
          <cell r="AI7">
            <v>10000</v>
          </cell>
        </row>
      </sheetData>
      <sheetData sheetId="2375">
        <row r="7">
          <cell r="AI7">
            <v>10000</v>
          </cell>
        </row>
      </sheetData>
      <sheetData sheetId="2376">
        <row r="7">
          <cell r="AI7">
            <v>10000</v>
          </cell>
        </row>
      </sheetData>
      <sheetData sheetId="2377">
        <row r="7">
          <cell r="AI7">
            <v>10000</v>
          </cell>
        </row>
      </sheetData>
      <sheetData sheetId="2378">
        <row r="7">
          <cell r="AI7">
            <v>10000</v>
          </cell>
        </row>
      </sheetData>
      <sheetData sheetId="2379">
        <row r="7">
          <cell r="AI7">
            <v>10000</v>
          </cell>
        </row>
      </sheetData>
      <sheetData sheetId="2380">
        <row r="7">
          <cell r="AI7">
            <v>10000</v>
          </cell>
        </row>
      </sheetData>
      <sheetData sheetId="2381">
        <row r="7">
          <cell r="AI7">
            <v>10000</v>
          </cell>
        </row>
      </sheetData>
      <sheetData sheetId="2382">
        <row r="7">
          <cell r="AI7">
            <v>10000</v>
          </cell>
        </row>
      </sheetData>
      <sheetData sheetId="2383">
        <row r="7">
          <cell r="AI7">
            <v>10000</v>
          </cell>
        </row>
      </sheetData>
      <sheetData sheetId="2384">
        <row r="7">
          <cell r="AI7">
            <v>10000</v>
          </cell>
        </row>
      </sheetData>
      <sheetData sheetId="2385">
        <row r="7">
          <cell r="AI7">
            <v>10000</v>
          </cell>
        </row>
      </sheetData>
      <sheetData sheetId="2386">
        <row r="7">
          <cell r="AI7">
            <v>10000</v>
          </cell>
        </row>
      </sheetData>
      <sheetData sheetId="2387">
        <row r="7">
          <cell r="AI7">
            <v>10000</v>
          </cell>
        </row>
      </sheetData>
      <sheetData sheetId="2388">
        <row r="7">
          <cell r="AI7">
            <v>10000</v>
          </cell>
        </row>
      </sheetData>
      <sheetData sheetId="2389">
        <row r="7">
          <cell r="AI7">
            <v>10000</v>
          </cell>
        </row>
      </sheetData>
      <sheetData sheetId="2390">
        <row r="7">
          <cell r="AI7">
            <v>10000</v>
          </cell>
        </row>
      </sheetData>
      <sheetData sheetId="2391">
        <row r="7">
          <cell r="AI7">
            <v>10000</v>
          </cell>
        </row>
      </sheetData>
      <sheetData sheetId="2392">
        <row r="7">
          <cell r="AI7">
            <v>10000</v>
          </cell>
        </row>
      </sheetData>
      <sheetData sheetId="2393">
        <row r="7">
          <cell r="AI7">
            <v>10000</v>
          </cell>
        </row>
      </sheetData>
      <sheetData sheetId="2394">
        <row r="7">
          <cell r="AI7">
            <v>10000</v>
          </cell>
        </row>
      </sheetData>
      <sheetData sheetId="2395">
        <row r="7">
          <cell r="AI7">
            <v>10000</v>
          </cell>
        </row>
      </sheetData>
      <sheetData sheetId="2396">
        <row r="7">
          <cell r="AI7">
            <v>10000</v>
          </cell>
        </row>
      </sheetData>
      <sheetData sheetId="2397">
        <row r="7">
          <cell r="AI7">
            <v>10000</v>
          </cell>
        </row>
      </sheetData>
      <sheetData sheetId="2398">
        <row r="7">
          <cell r="AI7">
            <v>10000</v>
          </cell>
        </row>
      </sheetData>
      <sheetData sheetId="2399">
        <row r="7">
          <cell r="AI7">
            <v>10000</v>
          </cell>
        </row>
      </sheetData>
      <sheetData sheetId="2400">
        <row r="7">
          <cell r="AI7">
            <v>10000</v>
          </cell>
        </row>
      </sheetData>
      <sheetData sheetId="2401">
        <row r="7">
          <cell r="AI7">
            <v>10000</v>
          </cell>
        </row>
      </sheetData>
      <sheetData sheetId="2402">
        <row r="7">
          <cell r="AI7">
            <v>10000</v>
          </cell>
        </row>
      </sheetData>
      <sheetData sheetId="2403">
        <row r="7">
          <cell r="AI7">
            <v>10000</v>
          </cell>
        </row>
      </sheetData>
      <sheetData sheetId="2404">
        <row r="7">
          <cell r="AI7">
            <v>10000</v>
          </cell>
        </row>
      </sheetData>
      <sheetData sheetId="2405">
        <row r="7">
          <cell r="AI7">
            <v>10000</v>
          </cell>
        </row>
      </sheetData>
      <sheetData sheetId="2406">
        <row r="7">
          <cell r="AI7">
            <v>10000</v>
          </cell>
        </row>
      </sheetData>
      <sheetData sheetId="2407">
        <row r="7">
          <cell r="AI7">
            <v>10000</v>
          </cell>
        </row>
      </sheetData>
      <sheetData sheetId="2408">
        <row r="7">
          <cell r="AI7">
            <v>10000</v>
          </cell>
        </row>
      </sheetData>
      <sheetData sheetId="2409">
        <row r="7">
          <cell r="AI7">
            <v>10000</v>
          </cell>
        </row>
      </sheetData>
      <sheetData sheetId="2410">
        <row r="7">
          <cell r="AI7">
            <v>10000</v>
          </cell>
        </row>
      </sheetData>
      <sheetData sheetId="2411">
        <row r="7">
          <cell r="AI7">
            <v>10000</v>
          </cell>
        </row>
      </sheetData>
      <sheetData sheetId="2412">
        <row r="7">
          <cell r="AI7">
            <v>10000</v>
          </cell>
        </row>
      </sheetData>
      <sheetData sheetId="2413">
        <row r="7">
          <cell r="AI7">
            <v>10000</v>
          </cell>
        </row>
      </sheetData>
      <sheetData sheetId="2414">
        <row r="7">
          <cell r="AI7">
            <v>10000</v>
          </cell>
        </row>
      </sheetData>
      <sheetData sheetId="2415">
        <row r="7">
          <cell r="AI7">
            <v>10000</v>
          </cell>
        </row>
      </sheetData>
      <sheetData sheetId="2416">
        <row r="7">
          <cell r="AI7">
            <v>10000</v>
          </cell>
        </row>
      </sheetData>
      <sheetData sheetId="2417">
        <row r="7">
          <cell r="AI7">
            <v>10000</v>
          </cell>
        </row>
      </sheetData>
      <sheetData sheetId="2418">
        <row r="7">
          <cell r="AI7">
            <v>10000</v>
          </cell>
        </row>
      </sheetData>
      <sheetData sheetId="2419">
        <row r="7">
          <cell r="AI7">
            <v>10000</v>
          </cell>
        </row>
      </sheetData>
      <sheetData sheetId="2420">
        <row r="7">
          <cell r="AI7">
            <v>10000</v>
          </cell>
        </row>
      </sheetData>
      <sheetData sheetId="2421">
        <row r="7">
          <cell r="AI7">
            <v>10000</v>
          </cell>
        </row>
      </sheetData>
      <sheetData sheetId="2422">
        <row r="7">
          <cell r="AI7">
            <v>10000</v>
          </cell>
        </row>
      </sheetData>
      <sheetData sheetId="2423">
        <row r="7">
          <cell r="AI7">
            <v>10000</v>
          </cell>
        </row>
      </sheetData>
      <sheetData sheetId="2424">
        <row r="7">
          <cell r="AI7">
            <v>10000</v>
          </cell>
        </row>
      </sheetData>
      <sheetData sheetId="2425">
        <row r="7">
          <cell r="AI7">
            <v>10000</v>
          </cell>
        </row>
      </sheetData>
      <sheetData sheetId="2426">
        <row r="7">
          <cell r="AI7">
            <v>10000</v>
          </cell>
        </row>
      </sheetData>
      <sheetData sheetId="2427">
        <row r="7">
          <cell r="AI7">
            <v>10000</v>
          </cell>
        </row>
      </sheetData>
      <sheetData sheetId="2428">
        <row r="7">
          <cell r="AI7">
            <v>10000</v>
          </cell>
        </row>
      </sheetData>
      <sheetData sheetId="2429">
        <row r="7">
          <cell r="AI7">
            <v>10000</v>
          </cell>
        </row>
      </sheetData>
      <sheetData sheetId="2430">
        <row r="7">
          <cell r="AI7">
            <v>10000</v>
          </cell>
        </row>
      </sheetData>
      <sheetData sheetId="2431">
        <row r="7">
          <cell r="AI7">
            <v>10000</v>
          </cell>
        </row>
      </sheetData>
      <sheetData sheetId="2432">
        <row r="7">
          <cell r="AI7">
            <v>10000</v>
          </cell>
        </row>
      </sheetData>
      <sheetData sheetId="2433">
        <row r="7">
          <cell r="AI7">
            <v>10000</v>
          </cell>
        </row>
      </sheetData>
      <sheetData sheetId="2434">
        <row r="7">
          <cell r="AI7">
            <v>10000</v>
          </cell>
        </row>
      </sheetData>
      <sheetData sheetId="2435">
        <row r="7">
          <cell r="AI7">
            <v>10000</v>
          </cell>
        </row>
      </sheetData>
      <sheetData sheetId="2436">
        <row r="7">
          <cell r="AI7">
            <v>10000</v>
          </cell>
        </row>
      </sheetData>
      <sheetData sheetId="2437">
        <row r="7">
          <cell r="AI7">
            <v>10000</v>
          </cell>
        </row>
      </sheetData>
      <sheetData sheetId="2438">
        <row r="7">
          <cell r="AI7">
            <v>10000</v>
          </cell>
        </row>
      </sheetData>
      <sheetData sheetId="2439">
        <row r="7">
          <cell r="AI7">
            <v>10000</v>
          </cell>
        </row>
      </sheetData>
      <sheetData sheetId="2440">
        <row r="7">
          <cell r="AI7">
            <v>10000</v>
          </cell>
        </row>
      </sheetData>
      <sheetData sheetId="2441">
        <row r="7">
          <cell r="AI7">
            <v>10000</v>
          </cell>
        </row>
      </sheetData>
      <sheetData sheetId="2442">
        <row r="7">
          <cell r="AI7">
            <v>10000</v>
          </cell>
        </row>
      </sheetData>
      <sheetData sheetId="2443">
        <row r="7">
          <cell r="AI7">
            <v>10000</v>
          </cell>
        </row>
      </sheetData>
      <sheetData sheetId="2444">
        <row r="7">
          <cell r="AI7">
            <v>10000</v>
          </cell>
        </row>
      </sheetData>
      <sheetData sheetId="2445">
        <row r="7">
          <cell r="AI7">
            <v>10000</v>
          </cell>
        </row>
      </sheetData>
      <sheetData sheetId="2446">
        <row r="7">
          <cell r="AI7">
            <v>10000</v>
          </cell>
        </row>
      </sheetData>
      <sheetData sheetId="2447">
        <row r="7">
          <cell r="AI7">
            <v>10000</v>
          </cell>
        </row>
      </sheetData>
      <sheetData sheetId="2448">
        <row r="7">
          <cell r="AI7">
            <v>10000</v>
          </cell>
        </row>
      </sheetData>
      <sheetData sheetId="2449">
        <row r="7">
          <cell r="AI7">
            <v>10000</v>
          </cell>
        </row>
      </sheetData>
      <sheetData sheetId="2450">
        <row r="7">
          <cell r="AI7">
            <v>10000</v>
          </cell>
        </row>
      </sheetData>
      <sheetData sheetId="2451">
        <row r="7">
          <cell r="AI7">
            <v>10000</v>
          </cell>
        </row>
      </sheetData>
      <sheetData sheetId="2452">
        <row r="7">
          <cell r="AI7">
            <v>10000</v>
          </cell>
        </row>
      </sheetData>
      <sheetData sheetId="2453">
        <row r="7">
          <cell r="AI7">
            <v>10000</v>
          </cell>
        </row>
      </sheetData>
      <sheetData sheetId="2454">
        <row r="7">
          <cell r="AI7">
            <v>10000</v>
          </cell>
        </row>
      </sheetData>
      <sheetData sheetId="2455">
        <row r="7">
          <cell r="AI7">
            <v>10000</v>
          </cell>
        </row>
      </sheetData>
      <sheetData sheetId="2456">
        <row r="7">
          <cell r="AI7">
            <v>10000</v>
          </cell>
        </row>
      </sheetData>
      <sheetData sheetId="2457">
        <row r="7">
          <cell r="AI7">
            <v>10000</v>
          </cell>
        </row>
      </sheetData>
      <sheetData sheetId="2458">
        <row r="7">
          <cell r="AI7">
            <v>10000</v>
          </cell>
        </row>
      </sheetData>
      <sheetData sheetId="2459">
        <row r="7">
          <cell r="AI7">
            <v>10000</v>
          </cell>
        </row>
      </sheetData>
      <sheetData sheetId="2460">
        <row r="7">
          <cell r="AI7">
            <v>10000</v>
          </cell>
        </row>
      </sheetData>
      <sheetData sheetId="2461">
        <row r="7">
          <cell r="AI7">
            <v>10000</v>
          </cell>
        </row>
      </sheetData>
      <sheetData sheetId="2462">
        <row r="7">
          <cell r="AI7">
            <v>10000</v>
          </cell>
        </row>
      </sheetData>
      <sheetData sheetId="2463">
        <row r="7">
          <cell r="AI7">
            <v>10000</v>
          </cell>
        </row>
      </sheetData>
      <sheetData sheetId="2464">
        <row r="7">
          <cell r="AI7">
            <v>10000</v>
          </cell>
        </row>
      </sheetData>
      <sheetData sheetId="2465">
        <row r="7">
          <cell r="AI7">
            <v>10000</v>
          </cell>
        </row>
      </sheetData>
      <sheetData sheetId="2466">
        <row r="7">
          <cell r="AI7">
            <v>10000</v>
          </cell>
        </row>
      </sheetData>
      <sheetData sheetId="2467">
        <row r="7">
          <cell r="AI7">
            <v>10000</v>
          </cell>
        </row>
      </sheetData>
      <sheetData sheetId="2468">
        <row r="7">
          <cell r="AI7">
            <v>10000</v>
          </cell>
        </row>
      </sheetData>
      <sheetData sheetId="2469">
        <row r="7">
          <cell r="AI7">
            <v>10000</v>
          </cell>
        </row>
      </sheetData>
      <sheetData sheetId="2470">
        <row r="7">
          <cell r="AI7">
            <v>10000</v>
          </cell>
        </row>
      </sheetData>
      <sheetData sheetId="2471">
        <row r="7">
          <cell r="AI7">
            <v>10000</v>
          </cell>
        </row>
      </sheetData>
      <sheetData sheetId="2472">
        <row r="7">
          <cell r="AI7">
            <v>10000</v>
          </cell>
        </row>
      </sheetData>
      <sheetData sheetId="2473">
        <row r="7">
          <cell r="AI7">
            <v>10000</v>
          </cell>
        </row>
      </sheetData>
      <sheetData sheetId="2474">
        <row r="7">
          <cell r="AI7">
            <v>10000</v>
          </cell>
        </row>
      </sheetData>
      <sheetData sheetId="2475">
        <row r="7">
          <cell r="AI7">
            <v>10000</v>
          </cell>
        </row>
      </sheetData>
      <sheetData sheetId="2476">
        <row r="7">
          <cell r="AI7">
            <v>10000</v>
          </cell>
        </row>
      </sheetData>
      <sheetData sheetId="2477">
        <row r="7">
          <cell r="AI7">
            <v>10000</v>
          </cell>
        </row>
      </sheetData>
      <sheetData sheetId="2478">
        <row r="7">
          <cell r="AI7">
            <v>10000</v>
          </cell>
        </row>
      </sheetData>
      <sheetData sheetId="2479">
        <row r="7">
          <cell r="AI7">
            <v>10000</v>
          </cell>
        </row>
      </sheetData>
      <sheetData sheetId="2480">
        <row r="7">
          <cell r="AI7">
            <v>10000</v>
          </cell>
        </row>
      </sheetData>
      <sheetData sheetId="2481">
        <row r="7">
          <cell r="AI7">
            <v>10000</v>
          </cell>
        </row>
      </sheetData>
      <sheetData sheetId="2482">
        <row r="7">
          <cell r="AI7">
            <v>10000</v>
          </cell>
        </row>
      </sheetData>
      <sheetData sheetId="2483">
        <row r="7">
          <cell r="AI7">
            <v>10000</v>
          </cell>
        </row>
      </sheetData>
      <sheetData sheetId="2484">
        <row r="7">
          <cell r="AI7">
            <v>10000</v>
          </cell>
        </row>
      </sheetData>
      <sheetData sheetId="2485">
        <row r="7">
          <cell r="AI7">
            <v>10000</v>
          </cell>
        </row>
      </sheetData>
      <sheetData sheetId="2486">
        <row r="7">
          <cell r="AI7">
            <v>10000</v>
          </cell>
        </row>
      </sheetData>
      <sheetData sheetId="2487">
        <row r="7">
          <cell r="AI7">
            <v>10000</v>
          </cell>
        </row>
      </sheetData>
      <sheetData sheetId="2488">
        <row r="7">
          <cell r="AI7">
            <v>10000</v>
          </cell>
        </row>
      </sheetData>
      <sheetData sheetId="2489">
        <row r="7">
          <cell r="AI7">
            <v>10000</v>
          </cell>
        </row>
      </sheetData>
      <sheetData sheetId="2490">
        <row r="7">
          <cell r="AI7">
            <v>10000</v>
          </cell>
        </row>
      </sheetData>
      <sheetData sheetId="2491">
        <row r="7">
          <cell r="AI7">
            <v>10000</v>
          </cell>
        </row>
      </sheetData>
      <sheetData sheetId="2492">
        <row r="7">
          <cell r="AI7">
            <v>10000</v>
          </cell>
        </row>
      </sheetData>
      <sheetData sheetId="2493">
        <row r="7">
          <cell r="AI7">
            <v>10000</v>
          </cell>
        </row>
      </sheetData>
      <sheetData sheetId="2494">
        <row r="7">
          <cell r="AI7">
            <v>10000</v>
          </cell>
        </row>
      </sheetData>
      <sheetData sheetId="2495">
        <row r="7">
          <cell r="AI7">
            <v>10000</v>
          </cell>
        </row>
      </sheetData>
      <sheetData sheetId="2496">
        <row r="7">
          <cell r="AI7">
            <v>10000</v>
          </cell>
        </row>
      </sheetData>
      <sheetData sheetId="2497">
        <row r="7">
          <cell r="AI7">
            <v>10000</v>
          </cell>
        </row>
      </sheetData>
      <sheetData sheetId="2498">
        <row r="7">
          <cell r="AI7">
            <v>10000</v>
          </cell>
        </row>
      </sheetData>
      <sheetData sheetId="2499">
        <row r="7">
          <cell r="AI7">
            <v>10000</v>
          </cell>
        </row>
      </sheetData>
      <sheetData sheetId="2500">
        <row r="7">
          <cell r="AI7">
            <v>10000</v>
          </cell>
        </row>
      </sheetData>
      <sheetData sheetId="2501">
        <row r="7">
          <cell r="AI7">
            <v>10000</v>
          </cell>
        </row>
      </sheetData>
      <sheetData sheetId="2502">
        <row r="7">
          <cell r="AI7">
            <v>10000</v>
          </cell>
        </row>
      </sheetData>
      <sheetData sheetId="2503">
        <row r="7">
          <cell r="AI7">
            <v>10000</v>
          </cell>
        </row>
      </sheetData>
      <sheetData sheetId="2504">
        <row r="7">
          <cell r="AI7">
            <v>10000</v>
          </cell>
        </row>
      </sheetData>
      <sheetData sheetId="2505">
        <row r="7">
          <cell r="AI7">
            <v>10000</v>
          </cell>
        </row>
      </sheetData>
      <sheetData sheetId="2506">
        <row r="7">
          <cell r="AI7">
            <v>10000</v>
          </cell>
        </row>
      </sheetData>
      <sheetData sheetId="2507">
        <row r="7">
          <cell r="AI7">
            <v>10000</v>
          </cell>
        </row>
      </sheetData>
      <sheetData sheetId="2508">
        <row r="7">
          <cell r="AI7">
            <v>10000</v>
          </cell>
        </row>
      </sheetData>
      <sheetData sheetId="2509">
        <row r="7">
          <cell r="AI7">
            <v>10000</v>
          </cell>
        </row>
      </sheetData>
      <sheetData sheetId="2510">
        <row r="7">
          <cell r="AI7">
            <v>10000</v>
          </cell>
        </row>
      </sheetData>
      <sheetData sheetId="2511">
        <row r="7">
          <cell r="AI7">
            <v>10000</v>
          </cell>
        </row>
      </sheetData>
      <sheetData sheetId="2512">
        <row r="7">
          <cell r="AI7">
            <v>10000</v>
          </cell>
        </row>
      </sheetData>
      <sheetData sheetId="2513">
        <row r="7">
          <cell r="AI7">
            <v>10000</v>
          </cell>
        </row>
      </sheetData>
      <sheetData sheetId="2514">
        <row r="7">
          <cell r="AI7">
            <v>10000</v>
          </cell>
        </row>
      </sheetData>
      <sheetData sheetId="2515">
        <row r="7">
          <cell r="AI7">
            <v>10000</v>
          </cell>
        </row>
      </sheetData>
      <sheetData sheetId="2516">
        <row r="7">
          <cell r="AI7">
            <v>10000</v>
          </cell>
        </row>
      </sheetData>
      <sheetData sheetId="2517">
        <row r="7">
          <cell r="AI7">
            <v>10000</v>
          </cell>
        </row>
      </sheetData>
      <sheetData sheetId="2518">
        <row r="7">
          <cell r="AI7">
            <v>10000</v>
          </cell>
        </row>
      </sheetData>
      <sheetData sheetId="2519">
        <row r="7">
          <cell r="AI7">
            <v>10000</v>
          </cell>
        </row>
      </sheetData>
      <sheetData sheetId="2520">
        <row r="7">
          <cell r="AI7">
            <v>10000</v>
          </cell>
        </row>
      </sheetData>
      <sheetData sheetId="2521">
        <row r="7">
          <cell r="AI7">
            <v>10000</v>
          </cell>
        </row>
      </sheetData>
      <sheetData sheetId="2522">
        <row r="7">
          <cell r="AI7">
            <v>10000</v>
          </cell>
        </row>
      </sheetData>
      <sheetData sheetId="2523">
        <row r="7">
          <cell r="AI7">
            <v>10000</v>
          </cell>
        </row>
      </sheetData>
      <sheetData sheetId="2524">
        <row r="7">
          <cell r="AI7">
            <v>10000</v>
          </cell>
        </row>
      </sheetData>
      <sheetData sheetId="2525">
        <row r="7">
          <cell r="AI7">
            <v>10000</v>
          </cell>
        </row>
      </sheetData>
      <sheetData sheetId="2526">
        <row r="7">
          <cell r="AI7">
            <v>10000</v>
          </cell>
        </row>
      </sheetData>
      <sheetData sheetId="2527">
        <row r="7">
          <cell r="AI7">
            <v>10000</v>
          </cell>
        </row>
      </sheetData>
      <sheetData sheetId="2528">
        <row r="7">
          <cell r="AI7">
            <v>10000</v>
          </cell>
        </row>
      </sheetData>
      <sheetData sheetId="2529">
        <row r="7">
          <cell r="AI7">
            <v>10000</v>
          </cell>
        </row>
      </sheetData>
      <sheetData sheetId="2530">
        <row r="7">
          <cell r="AI7">
            <v>10000</v>
          </cell>
        </row>
      </sheetData>
      <sheetData sheetId="2531">
        <row r="7">
          <cell r="AI7">
            <v>10000</v>
          </cell>
        </row>
      </sheetData>
      <sheetData sheetId="2532">
        <row r="7">
          <cell r="AI7">
            <v>10000</v>
          </cell>
        </row>
      </sheetData>
      <sheetData sheetId="2533">
        <row r="7">
          <cell r="AI7">
            <v>10000</v>
          </cell>
        </row>
      </sheetData>
      <sheetData sheetId="2534">
        <row r="7">
          <cell r="AI7">
            <v>10000</v>
          </cell>
        </row>
      </sheetData>
      <sheetData sheetId="2535">
        <row r="7">
          <cell r="AI7">
            <v>10000</v>
          </cell>
        </row>
      </sheetData>
      <sheetData sheetId="2536">
        <row r="7">
          <cell r="AI7">
            <v>10000</v>
          </cell>
        </row>
      </sheetData>
      <sheetData sheetId="2537">
        <row r="7">
          <cell r="AI7">
            <v>10000</v>
          </cell>
        </row>
      </sheetData>
      <sheetData sheetId="2538">
        <row r="7">
          <cell r="AI7">
            <v>10000</v>
          </cell>
        </row>
      </sheetData>
      <sheetData sheetId="2539">
        <row r="7">
          <cell r="AI7">
            <v>10000</v>
          </cell>
        </row>
      </sheetData>
      <sheetData sheetId="2540">
        <row r="7">
          <cell r="AH7" t="str">
            <v>SP1</v>
          </cell>
        </row>
      </sheetData>
      <sheetData sheetId="2541">
        <row r="7">
          <cell r="AI7">
            <v>10000</v>
          </cell>
        </row>
      </sheetData>
      <sheetData sheetId="2542">
        <row r="7">
          <cell r="AI7">
            <v>10000</v>
          </cell>
        </row>
      </sheetData>
      <sheetData sheetId="2543">
        <row r="7">
          <cell r="AI7">
            <v>10000</v>
          </cell>
        </row>
      </sheetData>
      <sheetData sheetId="2544">
        <row r="7">
          <cell r="AI7">
            <v>10000</v>
          </cell>
        </row>
      </sheetData>
      <sheetData sheetId="2545">
        <row r="7">
          <cell r="AI7">
            <v>10000</v>
          </cell>
        </row>
      </sheetData>
      <sheetData sheetId="2546">
        <row r="7">
          <cell r="AI7">
            <v>10000</v>
          </cell>
        </row>
      </sheetData>
      <sheetData sheetId="2547">
        <row r="7">
          <cell r="AI7">
            <v>10000</v>
          </cell>
        </row>
      </sheetData>
      <sheetData sheetId="2548">
        <row r="7">
          <cell r="AI7">
            <v>10000</v>
          </cell>
        </row>
      </sheetData>
      <sheetData sheetId="2549">
        <row r="7">
          <cell r="AI7">
            <v>10000</v>
          </cell>
        </row>
      </sheetData>
      <sheetData sheetId="2550">
        <row r="7">
          <cell r="AI7">
            <v>10000</v>
          </cell>
        </row>
      </sheetData>
      <sheetData sheetId="2551">
        <row r="7">
          <cell r="AH7" t="str">
            <v>SP1</v>
          </cell>
        </row>
      </sheetData>
      <sheetData sheetId="2552">
        <row r="7">
          <cell r="AI7">
            <v>10000</v>
          </cell>
        </row>
      </sheetData>
      <sheetData sheetId="2553">
        <row r="7">
          <cell r="AI7">
            <v>10000</v>
          </cell>
        </row>
      </sheetData>
      <sheetData sheetId="2554">
        <row r="7">
          <cell r="AI7">
            <v>10000</v>
          </cell>
        </row>
      </sheetData>
      <sheetData sheetId="2555">
        <row r="7">
          <cell r="AH7" t="str">
            <v>SP1</v>
          </cell>
        </row>
      </sheetData>
      <sheetData sheetId="2556">
        <row r="7">
          <cell r="AI7">
            <v>10000</v>
          </cell>
        </row>
      </sheetData>
      <sheetData sheetId="2557">
        <row r="7">
          <cell r="AH7" t="str">
            <v>SP1</v>
          </cell>
        </row>
      </sheetData>
      <sheetData sheetId="2558">
        <row r="7">
          <cell r="AI7">
            <v>10000</v>
          </cell>
        </row>
      </sheetData>
      <sheetData sheetId="2559">
        <row r="7">
          <cell r="AI7">
            <v>10000</v>
          </cell>
        </row>
      </sheetData>
      <sheetData sheetId="2560">
        <row r="7">
          <cell r="AI7">
            <v>10000</v>
          </cell>
        </row>
      </sheetData>
      <sheetData sheetId="2561">
        <row r="7">
          <cell r="AI7">
            <v>10000</v>
          </cell>
        </row>
      </sheetData>
      <sheetData sheetId="2562">
        <row r="7">
          <cell r="AI7">
            <v>10000</v>
          </cell>
        </row>
      </sheetData>
      <sheetData sheetId="2563">
        <row r="7">
          <cell r="AI7">
            <v>10000</v>
          </cell>
        </row>
      </sheetData>
      <sheetData sheetId="2564">
        <row r="7">
          <cell r="AI7">
            <v>10000</v>
          </cell>
        </row>
      </sheetData>
      <sheetData sheetId="2565">
        <row r="7">
          <cell r="AI7">
            <v>10000</v>
          </cell>
        </row>
      </sheetData>
      <sheetData sheetId="2566">
        <row r="7">
          <cell r="AH7" t="str">
            <v>SP1</v>
          </cell>
        </row>
      </sheetData>
      <sheetData sheetId="2567">
        <row r="7">
          <cell r="AI7">
            <v>10000</v>
          </cell>
        </row>
      </sheetData>
      <sheetData sheetId="2568">
        <row r="7">
          <cell r="AI7">
            <v>10000</v>
          </cell>
        </row>
      </sheetData>
      <sheetData sheetId="2569">
        <row r="7">
          <cell r="AI7">
            <v>10000</v>
          </cell>
        </row>
      </sheetData>
      <sheetData sheetId="2570">
        <row r="7">
          <cell r="AH7" t="str">
            <v>SP1</v>
          </cell>
        </row>
      </sheetData>
      <sheetData sheetId="2571">
        <row r="7">
          <cell r="AI7">
            <v>10000</v>
          </cell>
        </row>
      </sheetData>
      <sheetData sheetId="2572">
        <row r="7">
          <cell r="AH7" t="str">
            <v>SP1</v>
          </cell>
        </row>
      </sheetData>
      <sheetData sheetId="2573">
        <row r="7">
          <cell r="AI7">
            <v>10000</v>
          </cell>
        </row>
      </sheetData>
      <sheetData sheetId="2574">
        <row r="7">
          <cell r="AI7">
            <v>10000</v>
          </cell>
        </row>
      </sheetData>
      <sheetData sheetId="2575">
        <row r="7">
          <cell r="AI7">
            <v>10000</v>
          </cell>
        </row>
      </sheetData>
      <sheetData sheetId="2576">
        <row r="7">
          <cell r="AH7" t="str">
            <v>SP1</v>
          </cell>
        </row>
      </sheetData>
      <sheetData sheetId="2577">
        <row r="7">
          <cell r="AI7">
            <v>10000</v>
          </cell>
        </row>
      </sheetData>
      <sheetData sheetId="2578">
        <row r="7">
          <cell r="AI7">
            <v>10000</v>
          </cell>
        </row>
      </sheetData>
      <sheetData sheetId="2579">
        <row r="7">
          <cell r="AI7">
            <v>10000</v>
          </cell>
        </row>
      </sheetData>
      <sheetData sheetId="2580">
        <row r="7">
          <cell r="AI7">
            <v>10000</v>
          </cell>
        </row>
      </sheetData>
      <sheetData sheetId="2581">
        <row r="7">
          <cell r="AH7" t="str">
            <v>SP1</v>
          </cell>
        </row>
      </sheetData>
      <sheetData sheetId="2582">
        <row r="7">
          <cell r="AI7">
            <v>10000</v>
          </cell>
        </row>
      </sheetData>
      <sheetData sheetId="2583">
        <row r="7">
          <cell r="AI7">
            <v>10000</v>
          </cell>
        </row>
      </sheetData>
      <sheetData sheetId="2584">
        <row r="7">
          <cell r="AI7">
            <v>10000</v>
          </cell>
        </row>
      </sheetData>
      <sheetData sheetId="2585">
        <row r="7">
          <cell r="AH7" t="str">
            <v>SP1</v>
          </cell>
        </row>
      </sheetData>
      <sheetData sheetId="2586">
        <row r="7">
          <cell r="AI7">
            <v>10000</v>
          </cell>
        </row>
      </sheetData>
      <sheetData sheetId="2587">
        <row r="7">
          <cell r="AH7" t="str">
            <v>SP1</v>
          </cell>
        </row>
      </sheetData>
      <sheetData sheetId="2588">
        <row r="7">
          <cell r="AI7">
            <v>10000</v>
          </cell>
        </row>
      </sheetData>
      <sheetData sheetId="2589">
        <row r="7">
          <cell r="AI7">
            <v>10000</v>
          </cell>
        </row>
      </sheetData>
      <sheetData sheetId="2590">
        <row r="7">
          <cell r="AI7">
            <v>10000</v>
          </cell>
        </row>
      </sheetData>
      <sheetData sheetId="2591">
        <row r="7">
          <cell r="AH7" t="str">
            <v>SP1</v>
          </cell>
        </row>
      </sheetData>
      <sheetData sheetId="2592">
        <row r="7">
          <cell r="AI7">
            <v>10000</v>
          </cell>
        </row>
      </sheetData>
      <sheetData sheetId="2593">
        <row r="7">
          <cell r="AI7">
            <v>10000</v>
          </cell>
        </row>
      </sheetData>
      <sheetData sheetId="2594">
        <row r="7">
          <cell r="AI7">
            <v>10000</v>
          </cell>
        </row>
      </sheetData>
      <sheetData sheetId="2595">
        <row r="7">
          <cell r="AI7">
            <v>10000</v>
          </cell>
        </row>
      </sheetData>
      <sheetData sheetId="2596">
        <row r="7">
          <cell r="AH7" t="str">
            <v>SP1</v>
          </cell>
        </row>
      </sheetData>
      <sheetData sheetId="2597">
        <row r="7">
          <cell r="AI7">
            <v>10000</v>
          </cell>
        </row>
      </sheetData>
      <sheetData sheetId="2598">
        <row r="7">
          <cell r="AI7">
            <v>10000</v>
          </cell>
        </row>
      </sheetData>
      <sheetData sheetId="2599">
        <row r="7">
          <cell r="AH7" t="str">
            <v>SP1</v>
          </cell>
        </row>
      </sheetData>
      <sheetData sheetId="2600">
        <row r="7">
          <cell r="AI7">
            <v>10000</v>
          </cell>
        </row>
      </sheetData>
      <sheetData sheetId="2601">
        <row r="7">
          <cell r="AI7">
            <v>10000</v>
          </cell>
        </row>
      </sheetData>
      <sheetData sheetId="2602">
        <row r="7">
          <cell r="AI7">
            <v>10000</v>
          </cell>
        </row>
      </sheetData>
      <sheetData sheetId="2603">
        <row r="7">
          <cell r="AI7">
            <v>10000</v>
          </cell>
        </row>
      </sheetData>
      <sheetData sheetId="2604">
        <row r="7">
          <cell r="AI7">
            <v>10000</v>
          </cell>
        </row>
      </sheetData>
      <sheetData sheetId="2605">
        <row r="7">
          <cell r="AI7">
            <v>10000</v>
          </cell>
        </row>
      </sheetData>
      <sheetData sheetId="2606">
        <row r="7">
          <cell r="AI7">
            <v>10000</v>
          </cell>
        </row>
      </sheetData>
      <sheetData sheetId="2607">
        <row r="7">
          <cell r="AI7">
            <v>10000</v>
          </cell>
        </row>
      </sheetData>
      <sheetData sheetId="2608">
        <row r="7">
          <cell r="AI7">
            <v>10000</v>
          </cell>
        </row>
      </sheetData>
      <sheetData sheetId="2609">
        <row r="7">
          <cell r="AI7">
            <v>10000</v>
          </cell>
        </row>
      </sheetData>
      <sheetData sheetId="2610">
        <row r="7">
          <cell r="AI7">
            <v>10000</v>
          </cell>
        </row>
      </sheetData>
      <sheetData sheetId="2611">
        <row r="7">
          <cell r="AH7" t="str">
            <v>SP1</v>
          </cell>
        </row>
      </sheetData>
      <sheetData sheetId="2612">
        <row r="7">
          <cell r="AI7">
            <v>10000</v>
          </cell>
        </row>
      </sheetData>
      <sheetData sheetId="2613">
        <row r="7">
          <cell r="AI7">
            <v>10000</v>
          </cell>
        </row>
      </sheetData>
      <sheetData sheetId="2614">
        <row r="7">
          <cell r="AI7">
            <v>10000</v>
          </cell>
        </row>
      </sheetData>
      <sheetData sheetId="2615">
        <row r="7">
          <cell r="AI7">
            <v>10000</v>
          </cell>
        </row>
      </sheetData>
      <sheetData sheetId="2616">
        <row r="7">
          <cell r="AH7" t="str">
            <v>SP1</v>
          </cell>
        </row>
      </sheetData>
      <sheetData sheetId="2617">
        <row r="7">
          <cell r="AI7">
            <v>10000</v>
          </cell>
        </row>
      </sheetData>
      <sheetData sheetId="2618">
        <row r="7">
          <cell r="AI7">
            <v>10000</v>
          </cell>
        </row>
      </sheetData>
      <sheetData sheetId="2619">
        <row r="7">
          <cell r="AI7">
            <v>10000</v>
          </cell>
        </row>
      </sheetData>
      <sheetData sheetId="2620">
        <row r="7">
          <cell r="AI7">
            <v>10000</v>
          </cell>
        </row>
      </sheetData>
      <sheetData sheetId="2621">
        <row r="7">
          <cell r="AI7">
            <v>10000</v>
          </cell>
        </row>
      </sheetData>
      <sheetData sheetId="2622">
        <row r="7">
          <cell r="AI7">
            <v>10000</v>
          </cell>
        </row>
      </sheetData>
      <sheetData sheetId="2623">
        <row r="7">
          <cell r="AI7">
            <v>10000</v>
          </cell>
        </row>
      </sheetData>
      <sheetData sheetId="2624">
        <row r="7">
          <cell r="AI7">
            <v>10000</v>
          </cell>
        </row>
      </sheetData>
      <sheetData sheetId="2625">
        <row r="7">
          <cell r="AI7">
            <v>10000</v>
          </cell>
        </row>
      </sheetData>
      <sheetData sheetId="2626">
        <row r="7">
          <cell r="AI7">
            <v>10000</v>
          </cell>
        </row>
      </sheetData>
      <sheetData sheetId="2627">
        <row r="7">
          <cell r="AI7">
            <v>10000</v>
          </cell>
        </row>
      </sheetData>
      <sheetData sheetId="2628">
        <row r="7">
          <cell r="AI7">
            <v>10000</v>
          </cell>
        </row>
      </sheetData>
      <sheetData sheetId="2629">
        <row r="7">
          <cell r="AI7">
            <v>10000</v>
          </cell>
        </row>
      </sheetData>
      <sheetData sheetId="2630">
        <row r="7">
          <cell r="AI7">
            <v>10000</v>
          </cell>
        </row>
      </sheetData>
      <sheetData sheetId="2631">
        <row r="7">
          <cell r="AI7">
            <v>10000</v>
          </cell>
        </row>
      </sheetData>
      <sheetData sheetId="2632">
        <row r="7">
          <cell r="AI7">
            <v>10000</v>
          </cell>
        </row>
      </sheetData>
      <sheetData sheetId="2633">
        <row r="7">
          <cell r="AI7">
            <v>10000</v>
          </cell>
        </row>
      </sheetData>
      <sheetData sheetId="2634">
        <row r="7">
          <cell r="AI7">
            <v>10000</v>
          </cell>
        </row>
      </sheetData>
      <sheetData sheetId="2635">
        <row r="7">
          <cell r="AI7">
            <v>10000</v>
          </cell>
        </row>
      </sheetData>
      <sheetData sheetId="2636">
        <row r="7">
          <cell r="AI7">
            <v>10000</v>
          </cell>
        </row>
      </sheetData>
      <sheetData sheetId="2637">
        <row r="7">
          <cell r="AI7">
            <v>10000</v>
          </cell>
        </row>
      </sheetData>
      <sheetData sheetId="2638">
        <row r="7">
          <cell r="AI7">
            <v>10000</v>
          </cell>
        </row>
      </sheetData>
      <sheetData sheetId="2639">
        <row r="7">
          <cell r="AI7">
            <v>10000</v>
          </cell>
        </row>
      </sheetData>
      <sheetData sheetId="2640">
        <row r="7">
          <cell r="AI7">
            <v>10000</v>
          </cell>
        </row>
      </sheetData>
      <sheetData sheetId="2641">
        <row r="7">
          <cell r="AI7">
            <v>10000</v>
          </cell>
        </row>
      </sheetData>
      <sheetData sheetId="2642">
        <row r="7">
          <cell r="AI7">
            <v>10000</v>
          </cell>
        </row>
      </sheetData>
      <sheetData sheetId="2643">
        <row r="7">
          <cell r="AI7">
            <v>10000</v>
          </cell>
        </row>
      </sheetData>
      <sheetData sheetId="2644">
        <row r="7">
          <cell r="AI7">
            <v>10000</v>
          </cell>
        </row>
      </sheetData>
      <sheetData sheetId="2645">
        <row r="7">
          <cell r="AI7">
            <v>10000</v>
          </cell>
        </row>
      </sheetData>
      <sheetData sheetId="2646">
        <row r="7">
          <cell r="AI7">
            <v>10000</v>
          </cell>
        </row>
      </sheetData>
      <sheetData sheetId="2647">
        <row r="7">
          <cell r="AI7">
            <v>10000</v>
          </cell>
        </row>
      </sheetData>
      <sheetData sheetId="2648">
        <row r="7">
          <cell r="AI7">
            <v>10000</v>
          </cell>
        </row>
      </sheetData>
      <sheetData sheetId="2649">
        <row r="7">
          <cell r="AI7">
            <v>10000</v>
          </cell>
        </row>
      </sheetData>
      <sheetData sheetId="2650">
        <row r="7">
          <cell r="AI7">
            <v>10000</v>
          </cell>
        </row>
      </sheetData>
      <sheetData sheetId="2651">
        <row r="7">
          <cell r="AI7">
            <v>10000</v>
          </cell>
        </row>
      </sheetData>
      <sheetData sheetId="2652">
        <row r="7">
          <cell r="AI7">
            <v>10000</v>
          </cell>
        </row>
      </sheetData>
      <sheetData sheetId="2653">
        <row r="7">
          <cell r="AI7">
            <v>10000</v>
          </cell>
        </row>
      </sheetData>
      <sheetData sheetId="2654">
        <row r="7">
          <cell r="AI7">
            <v>10000</v>
          </cell>
        </row>
      </sheetData>
      <sheetData sheetId="2655">
        <row r="7">
          <cell r="AI7">
            <v>10000</v>
          </cell>
        </row>
      </sheetData>
      <sheetData sheetId="2656">
        <row r="7">
          <cell r="AI7">
            <v>10000</v>
          </cell>
        </row>
      </sheetData>
      <sheetData sheetId="2657">
        <row r="7">
          <cell r="AI7">
            <v>10000</v>
          </cell>
        </row>
      </sheetData>
      <sheetData sheetId="2658">
        <row r="7">
          <cell r="AI7">
            <v>10000</v>
          </cell>
        </row>
      </sheetData>
      <sheetData sheetId="2659">
        <row r="7">
          <cell r="AI7">
            <v>10000</v>
          </cell>
        </row>
      </sheetData>
      <sheetData sheetId="2660">
        <row r="7">
          <cell r="AI7">
            <v>10000</v>
          </cell>
        </row>
      </sheetData>
      <sheetData sheetId="2661">
        <row r="7">
          <cell r="AI7">
            <v>10000</v>
          </cell>
        </row>
      </sheetData>
      <sheetData sheetId="2662">
        <row r="7">
          <cell r="AI7">
            <v>10000</v>
          </cell>
        </row>
      </sheetData>
      <sheetData sheetId="2663">
        <row r="7">
          <cell r="AI7">
            <v>10000</v>
          </cell>
        </row>
      </sheetData>
      <sheetData sheetId="2664">
        <row r="7">
          <cell r="AI7">
            <v>10000</v>
          </cell>
        </row>
      </sheetData>
      <sheetData sheetId="2665">
        <row r="7">
          <cell r="AI7">
            <v>10000</v>
          </cell>
        </row>
      </sheetData>
      <sheetData sheetId="2666">
        <row r="7">
          <cell r="AI7">
            <v>10000</v>
          </cell>
        </row>
      </sheetData>
      <sheetData sheetId="2667">
        <row r="7">
          <cell r="AI7">
            <v>10000</v>
          </cell>
        </row>
      </sheetData>
      <sheetData sheetId="2668">
        <row r="7">
          <cell r="AI7">
            <v>10000</v>
          </cell>
        </row>
      </sheetData>
      <sheetData sheetId="2669">
        <row r="7">
          <cell r="AI7">
            <v>10000</v>
          </cell>
        </row>
      </sheetData>
      <sheetData sheetId="2670">
        <row r="7">
          <cell r="AI7">
            <v>10000</v>
          </cell>
        </row>
      </sheetData>
      <sheetData sheetId="2671">
        <row r="7">
          <cell r="AI7">
            <v>10000</v>
          </cell>
        </row>
      </sheetData>
      <sheetData sheetId="2672">
        <row r="7">
          <cell r="AI7">
            <v>10000</v>
          </cell>
        </row>
      </sheetData>
      <sheetData sheetId="2673">
        <row r="7">
          <cell r="AI7">
            <v>10000</v>
          </cell>
        </row>
      </sheetData>
      <sheetData sheetId="2674">
        <row r="7">
          <cell r="AI7">
            <v>10000</v>
          </cell>
        </row>
      </sheetData>
      <sheetData sheetId="2675">
        <row r="7">
          <cell r="AI7">
            <v>10000</v>
          </cell>
        </row>
      </sheetData>
      <sheetData sheetId="2676">
        <row r="7">
          <cell r="AI7">
            <v>10000</v>
          </cell>
        </row>
      </sheetData>
      <sheetData sheetId="2677">
        <row r="7">
          <cell r="AI7">
            <v>10000</v>
          </cell>
        </row>
      </sheetData>
      <sheetData sheetId="2678">
        <row r="7">
          <cell r="AI7">
            <v>10000</v>
          </cell>
        </row>
      </sheetData>
      <sheetData sheetId="2679">
        <row r="7">
          <cell r="AI7">
            <v>10000</v>
          </cell>
        </row>
      </sheetData>
      <sheetData sheetId="2680">
        <row r="7">
          <cell r="AI7">
            <v>10000</v>
          </cell>
        </row>
      </sheetData>
      <sheetData sheetId="2681">
        <row r="7">
          <cell r="AI7">
            <v>10000</v>
          </cell>
        </row>
      </sheetData>
      <sheetData sheetId="2682">
        <row r="7">
          <cell r="AI7">
            <v>10000</v>
          </cell>
        </row>
      </sheetData>
      <sheetData sheetId="2683">
        <row r="7">
          <cell r="AI7">
            <v>10000</v>
          </cell>
        </row>
      </sheetData>
      <sheetData sheetId="2684">
        <row r="7">
          <cell r="AI7">
            <v>10000</v>
          </cell>
        </row>
      </sheetData>
      <sheetData sheetId="2685">
        <row r="7">
          <cell r="AI7">
            <v>10000</v>
          </cell>
        </row>
      </sheetData>
      <sheetData sheetId="2686">
        <row r="7">
          <cell r="AI7">
            <v>10000</v>
          </cell>
        </row>
      </sheetData>
      <sheetData sheetId="2687">
        <row r="7">
          <cell r="AI7">
            <v>10000</v>
          </cell>
        </row>
      </sheetData>
      <sheetData sheetId="2688">
        <row r="7">
          <cell r="AI7">
            <v>10000</v>
          </cell>
        </row>
      </sheetData>
      <sheetData sheetId="2689">
        <row r="7">
          <cell r="AI7">
            <v>10000</v>
          </cell>
        </row>
      </sheetData>
      <sheetData sheetId="2690">
        <row r="7">
          <cell r="AI7">
            <v>10000</v>
          </cell>
        </row>
      </sheetData>
      <sheetData sheetId="2691">
        <row r="7">
          <cell r="AI7">
            <v>10000</v>
          </cell>
        </row>
      </sheetData>
      <sheetData sheetId="2692">
        <row r="7">
          <cell r="AI7">
            <v>10000</v>
          </cell>
        </row>
      </sheetData>
      <sheetData sheetId="2693">
        <row r="7">
          <cell r="AI7">
            <v>10000</v>
          </cell>
        </row>
      </sheetData>
      <sheetData sheetId="2694">
        <row r="7">
          <cell r="AI7">
            <v>10000</v>
          </cell>
        </row>
      </sheetData>
      <sheetData sheetId="2695">
        <row r="7">
          <cell r="AI7">
            <v>10000</v>
          </cell>
        </row>
      </sheetData>
      <sheetData sheetId="2696">
        <row r="7">
          <cell r="AI7">
            <v>10000</v>
          </cell>
        </row>
      </sheetData>
      <sheetData sheetId="2697">
        <row r="7">
          <cell r="AI7">
            <v>10000</v>
          </cell>
        </row>
      </sheetData>
      <sheetData sheetId="2698">
        <row r="7">
          <cell r="AI7">
            <v>10000</v>
          </cell>
        </row>
      </sheetData>
      <sheetData sheetId="2699">
        <row r="7">
          <cell r="AI7">
            <v>10000</v>
          </cell>
        </row>
      </sheetData>
      <sheetData sheetId="2700">
        <row r="7">
          <cell r="AI7">
            <v>10000</v>
          </cell>
        </row>
      </sheetData>
      <sheetData sheetId="2701">
        <row r="7">
          <cell r="AI7">
            <v>10000</v>
          </cell>
        </row>
      </sheetData>
      <sheetData sheetId="2702">
        <row r="7">
          <cell r="AI7">
            <v>10000</v>
          </cell>
        </row>
      </sheetData>
      <sheetData sheetId="2703">
        <row r="7">
          <cell r="AI7">
            <v>10000</v>
          </cell>
        </row>
      </sheetData>
      <sheetData sheetId="2704">
        <row r="7">
          <cell r="AI7">
            <v>10000</v>
          </cell>
        </row>
      </sheetData>
      <sheetData sheetId="2705">
        <row r="7">
          <cell r="AI7">
            <v>10000</v>
          </cell>
        </row>
      </sheetData>
      <sheetData sheetId="2706">
        <row r="7">
          <cell r="AI7">
            <v>10000</v>
          </cell>
        </row>
      </sheetData>
      <sheetData sheetId="2707">
        <row r="7">
          <cell r="AI7">
            <v>10000</v>
          </cell>
        </row>
      </sheetData>
      <sheetData sheetId="2708">
        <row r="7">
          <cell r="AI7">
            <v>10000</v>
          </cell>
        </row>
      </sheetData>
      <sheetData sheetId="2709">
        <row r="7">
          <cell r="AI7">
            <v>10000</v>
          </cell>
        </row>
      </sheetData>
      <sheetData sheetId="2710">
        <row r="7">
          <cell r="AI7">
            <v>10000</v>
          </cell>
        </row>
      </sheetData>
      <sheetData sheetId="2711">
        <row r="7">
          <cell r="AI7">
            <v>10000</v>
          </cell>
        </row>
      </sheetData>
      <sheetData sheetId="2712">
        <row r="7">
          <cell r="AI7">
            <v>10000</v>
          </cell>
        </row>
      </sheetData>
      <sheetData sheetId="2713">
        <row r="7">
          <cell r="AI7">
            <v>10000</v>
          </cell>
        </row>
      </sheetData>
      <sheetData sheetId="2714">
        <row r="7">
          <cell r="AI7">
            <v>10000</v>
          </cell>
        </row>
      </sheetData>
      <sheetData sheetId="2715">
        <row r="7">
          <cell r="AI7">
            <v>10000</v>
          </cell>
        </row>
      </sheetData>
      <sheetData sheetId="2716">
        <row r="7">
          <cell r="AI7">
            <v>10000</v>
          </cell>
        </row>
      </sheetData>
      <sheetData sheetId="2717">
        <row r="7">
          <cell r="AI7">
            <v>10000</v>
          </cell>
        </row>
      </sheetData>
      <sheetData sheetId="2718">
        <row r="7">
          <cell r="AI7">
            <v>10000</v>
          </cell>
        </row>
      </sheetData>
      <sheetData sheetId="2719">
        <row r="7">
          <cell r="AI7">
            <v>10000</v>
          </cell>
        </row>
      </sheetData>
      <sheetData sheetId="2720">
        <row r="7">
          <cell r="AI7">
            <v>10000</v>
          </cell>
        </row>
      </sheetData>
      <sheetData sheetId="2721">
        <row r="7">
          <cell r="AI7">
            <v>10000</v>
          </cell>
        </row>
      </sheetData>
      <sheetData sheetId="2722">
        <row r="7">
          <cell r="AI7">
            <v>10000</v>
          </cell>
        </row>
      </sheetData>
      <sheetData sheetId="2723">
        <row r="7">
          <cell r="AI7">
            <v>10000</v>
          </cell>
        </row>
      </sheetData>
      <sheetData sheetId="2724">
        <row r="7">
          <cell r="AI7">
            <v>10000</v>
          </cell>
        </row>
      </sheetData>
      <sheetData sheetId="2725">
        <row r="7">
          <cell r="AI7">
            <v>10000</v>
          </cell>
        </row>
      </sheetData>
      <sheetData sheetId="2726">
        <row r="7">
          <cell r="AI7">
            <v>10000</v>
          </cell>
        </row>
      </sheetData>
      <sheetData sheetId="2727">
        <row r="7">
          <cell r="AI7">
            <v>10000</v>
          </cell>
        </row>
      </sheetData>
      <sheetData sheetId="2728">
        <row r="7">
          <cell r="AI7">
            <v>10000</v>
          </cell>
        </row>
      </sheetData>
      <sheetData sheetId="2729">
        <row r="7">
          <cell r="AI7">
            <v>10000</v>
          </cell>
        </row>
      </sheetData>
      <sheetData sheetId="2730">
        <row r="7">
          <cell r="AI7">
            <v>10000</v>
          </cell>
        </row>
      </sheetData>
      <sheetData sheetId="2731">
        <row r="7">
          <cell r="AI7">
            <v>10000</v>
          </cell>
        </row>
      </sheetData>
      <sheetData sheetId="2732">
        <row r="7">
          <cell r="AI7">
            <v>10000</v>
          </cell>
        </row>
      </sheetData>
      <sheetData sheetId="2733">
        <row r="7">
          <cell r="AI7">
            <v>10000</v>
          </cell>
        </row>
      </sheetData>
      <sheetData sheetId="2734">
        <row r="7">
          <cell r="AI7">
            <v>10000</v>
          </cell>
        </row>
      </sheetData>
      <sheetData sheetId="2735">
        <row r="7">
          <cell r="AI7">
            <v>10000</v>
          </cell>
        </row>
      </sheetData>
      <sheetData sheetId="2736">
        <row r="7">
          <cell r="AI7">
            <v>10000</v>
          </cell>
        </row>
      </sheetData>
      <sheetData sheetId="2737">
        <row r="7">
          <cell r="AI7">
            <v>10000</v>
          </cell>
        </row>
      </sheetData>
      <sheetData sheetId="2738">
        <row r="7">
          <cell r="AI7">
            <v>10000</v>
          </cell>
        </row>
      </sheetData>
      <sheetData sheetId="2739">
        <row r="7">
          <cell r="AI7">
            <v>10000</v>
          </cell>
        </row>
      </sheetData>
      <sheetData sheetId="2740">
        <row r="7">
          <cell r="AI7">
            <v>10000</v>
          </cell>
        </row>
      </sheetData>
      <sheetData sheetId="2741">
        <row r="7">
          <cell r="AI7">
            <v>10000</v>
          </cell>
        </row>
      </sheetData>
      <sheetData sheetId="2742">
        <row r="7">
          <cell r="AI7">
            <v>10000</v>
          </cell>
        </row>
      </sheetData>
      <sheetData sheetId="2743">
        <row r="7">
          <cell r="AI7">
            <v>10000</v>
          </cell>
        </row>
      </sheetData>
      <sheetData sheetId="2744">
        <row r="7">
          <cell r="AI7">
            <v>10000</v>
          </cell>
        </row>
      </sheetData>
      <sheetData sheetId="2745">
        <row r="7">
          <cell r="AI7">
            <v>10000</v>
          </cell>
        </row>
      </sheetData>
      <sheetData sheetId="2746">
        <row r="7">
          <cell r="AI7">
            <v>10000</v>
          </cell>
        </row>
      </sheetData>
      <sheetData sheetId="2747">
        <row r="7">
          <cell r="AI7">
            <v>10000</v>
          </cell>
        </row>
      </sheetData>
      <sheetData sheetId="2748">
        <row r="7">
          <cell r="AI7">
            <v>10000</v>
          </cell>
        </row>
      </sheetData>
      <sheetData sheetId="2749">
        <row r="7">
          <cell r="AI7">
            <v>10000</v>
          </cell>
        </row>
      </sheetData>
      <sheetData sheetId="2750">
        <row r="7">
          <cell r="AI7">
            <v>10000</v>
          </cell>
        </row>
      </sheetData>
      <sheetData sheetId="2751">
        <row r="7">
          <cell r="AI7">
            <v>10000</v>
          </cell>
        </row>
      </sheetData>
      <sheetData sheetId="2752">
        <row r="7">
          <cell r="AI7">
            <v>10000</v>
          </cell>
        </row>
      </sheetData>
      <sheetData sheetId="2753">
        <row r="7">
          <cell r="AI7">
            <v>10000</v>
          </cell>
        </row>
      </sheetData>
      <sheetData sheetId="2754">
        <row r="7">
          <cell r="AI7">
            <v>10000</v>
          </cell>
        </row>
      </sheetData>
      <sheetData sheetId="2755">
        <row r="7">
          <cell r="AI7">
            <v>10000</v>
          </cell>
        </row>
      </sheetData>
      <sheetData sheetId="2756">
        <row r="7">
          <cell r="AI7">
            <v>10000</v>
          </cell>
        </row>
      </sheetData>
      <sheetData sheetId="2757">
        <row r="7">
          <cell r="AI7">
            <v>10000</v>
          </cell>
        </row>
      </sheetData>
      <sheetData sheetId="2758">
        <row r="7">
          <cell r="AI7">
            <v>10000</v>
          </cell>
        </row>
      </sheetData>
      <sheetData sheetId="2759">
        <row r="7">
          <cell r="AI7">
            <v>10000</v>
          </cell>
        </row>
      </sheetData>
      <sheetData sheetId="2760">
        <row r="7">
          <cell r="AI7">
            <v>10000</v>
          </cell>
        </row>
      </sheetData>
      <sheetData sheetId="2761">
        <row r="7">
          <cell r="AI7">
            <v>10000</v>
          </cell>
        </row>
      </sheetData>
      <sheetData sheetId="2762">
        <row r="7">
          <cell r="AI7">
            <v>10000</v>
          </cell>
        </row>
      </sheetData>
      <sheetData sheetId="2763">
        <row r="7">
          <cell r="AI7">
            <v>10000</v>
          </cell>
        </row>
      </sheetData>
      <sheetData sheetId="2764">
        <row r="7">
          <cell r="AI7">
            <v>10000</v>
          </cell>
        </row>
      </sheetData>
      <sheetData sheetId="2765">
        <row r="7">
          <cell r="AI7">
            <v>10000</v>
          </cell>
        </row>
      </sheetData>
      <sheetData sheetId="2766">
        <row r="7">
          <cell r="AI7">
            <v>10000</v>
          </cell>
        </row>
      </sheetData>
      <sheetData sheetId="2767">
        <row r="7">
          <cell r="AI7">
            <v>10000</v>
          </cell>
        </row>
      </sheetData>
      <sheetData sheetId="2768">
        <row r="7">
          <cell r="AI7">
            <v>10000</v>
          </cell>
        </row>
      </sheetData>
      <sheetData sheetId="2769">
        <row r="7">
          <cell r="AI7">
            <v>10000</v>
          </cell>
        </row>
      </sheetData>
      <sheetData sheetId="2770">
        <row r="7">
          <cell r="AI7">
            <v>10000</v>
          </cell>
        </row>
      </sheetData>
      <sheetData sheetId="2771">
        <row r="7">
          <cell r="AI7">
            <v>10000</v>
          </cell>
        </row>
      </sheetData>
      <sheetData sheetId="2772">
        <row r="7">
          <cell r="AI7">
            <v>10000</v>
          </cell>
        </row>
      </sheetData>
      <sheetData sheetId="2773">
        <row r="7">
          <cell r="AI7">
            <v>10000</v>
          </cell>
        </row>
      </sheetData>
      <sheetData sheetId="2774">
        <row r="7">
          <cell r="AI7">
            <v>10000</v>
          </cell>
        </row>
      </sheetData>
      <sheetData sheetId="2775">
        <row r="7">
          <cell r="AI7">
            <v>10000</v>
          </cell>
        </row>
      </sheetData>
      <sheetData sheetId="2776">
        <row r="7">
          <cell r="AI7">
            <v>10000</v>
          </cell>
        </row>
      </sheetData>
      <sheetData sheetId="2777">
        <row r="7">
          <cell r="AI7">
            <v>10000</v>
          </cell>
        </row>
      </sheetData>
      <sheetData sheetId="2778">
        <row r="7">
          <cell r="AI7">
            <v>10000</v>
          </cell>
        </row>
      </sheetData>
      <sheetData sheetId="2779">
        <row r="7">
          <cell r="AI7">
            <v>10000</v>
          </cell>
        </row>
      </sheetData>
      <sheetData sheetId="2780">
        <row r="7">
          <cell r="AI7">
            <v>10000</v>
          </cell>
        </row>
      </sheetData>
      <sheetData sheetId="2781">
        <row r="7">
          <cell r="AI7">
            <v>10000</v>
          </cell>
        </row>
      </sheetData>
      <sheetData sheetId="2782">
        <row r="7">
          <cell r="AI7">
            <v>10000</v>
          </cell>
        </row>
      </sheetData>
      <sheetData sheetId="2783">
        <row r="7">
          <cell r="AI7">
            <v>10000</v>
          </cell>
        </row>
      </sheetData>
      <sheetData sheetId="2784">
        <row r="7">
          <cell r="AI7">
            <v>10000</v>
          </cell>
        </row>
      </sheetData>
      <sheetData sheetId="2785">
        <row r="7">
          <cell r="AI7">
            <v>10000</v>
          </cell>
        </row>
      </sheetData>
      <sheetData sheetId="2786">
        <row r="7">
          <cell r="AI7">
            <v>10000</v>
          </cell>
        </row>
      </sheetData>
      <sheetData sheetId="2787">
        <row r="7">
          <cell r="AI7">
            <v>10000</v>
          </cell>
        </row>
      </sheetData>
      <sheetData sheetId="2788">
        <row r="7">
          <cell r="AI7">
            <v>10000</v>
          </cell>
        </row>
      </sheetData>
      <sheetData sheetId="2789">
        <row r="7">
          <cell r="AI7">
            <v>10000</v>
          </cell>
        </row>
      </sheetData>
      <sheetData sheetId="2790">
        <row r="7">
          <cell r="AI7">
            <v>10000</v>
          </cell>
        </row>
      </sheetData>
      <sheetData sheetId="2791">
        <row r="7">
          <cell r="AI7">
            <v>10000</v>
          </cell>
        </row>
      </sheetData>
      <sheetData sheetId="2792">
        <row r="7">
          <cell r="AI7">
            <v>10000</v>
          </cell>
        </row>
      </sheetData>
      <sheetData sheetId="2793">
        <row r="7">
          <cell r="AI7">
            <v>10000</v>
          </cell>
        </row>
      </sheetData>
      <sheetData sheetId="2794">
        <row r="7">
          <cell r="AI7">
            <v>10000</v>
          </cell>
        </row>
      </sheetData>
      <sheetData sheetId="2795">
        <row r="7">
          <cell r="AI7">
            <v>10000</v>
          </cell>
        </row>
      </sheetData>
      <sheetData sheetId="2796">
        <row r="7">
          <cell r="AI7">
            <v>10000</v>
          </cell>
        </row>
      </sheetData>
      <sheetData sheetId="2797">
        <row r="7">
          <cell r="AI7">
            <v>10000</v>
          </cell>
        </row>
      </sheetData>
      <sheetData sheetId="2798">
        <row r="7">
          <cell r="AI7">
            <v>10000</v>
          </cell>
        </row>
      </sheetData>
      <sheetData sheetId="2799">
        <row r="7">
          <cell r="AI7">
            <v>10000</v>
          </cell>
        </row>
      </sheetData>
      <sheetData sheetId="2800">
        <row r="7">
          <cell r="AI7">
            <v>10000</v>
          </cell>
        </row>
      </sheetData>
      <sheetData sheetId="2801">
        <row r="7">
          <cell r="AI7">
            <v>10000</v>
          </cell>
        </row>
      </sheetData>
      <sheetData sheetId="2802">
        <row r="7">
          <cell r="AI7">
            <v>10000</v>
          </cell>
        </row>
      </sheetData>
      <sheetData sheetId="2803">
        <row r="7">
          <cell r="AI7">
            <v>10000</v>
          </cell>
        </row>
      </sheetData>
      <sheetData sheetId="2804">
        <row r="7">
          <cell r="AI7">
            <v>10000</v>
          </cell>
        </row>
      </sheetData>
      <sheetData sheetId="2805">
        <row r="7">
          <cell r="AI7">
            <v>10000</v>
          </cell>
        </row>
      </sheetData>
      <sheetData sheetId="2806">
        <row r="7">
          <cell r="AI7">
            <v>10000</v>
          </cell>
        </row>
      </sheetData>
      <sheetData sheetId="2807">
        <row r="7">
          <cell r="AI7">
            <v>10000</v>
          </cell>
        </row>
      </sheetData>
      <sheetData sheetId="2808">
        <row r="7">
          <cell r="AI7">
            <v>10000</v>
          </cell>
        </row>
      </sheetData>
      <sheetData sheetId="2809">
        <row r="7">
          <cell r="AI7">
            <v>10000</v>
          </cell>
        </row>
      </sheetData>
      <sheetData sheetId="2810">
        <row r="7">
          <cell r="AI7">
            <v>10000</v>
          </cell>
        </row>
      </sheetData>
      <sheetData sheetId="2811">
        <row r="7">
          <cell r="AI7">
            <v>10000</v>
          </cell>
        </row>
      </sheetData>
      <sheetData sheetId="2812">
        <row r="7">
          <cell r="AI7">
            <v>10000</v>
          </cell>
        </row>
      </sheetData>
      <sheetData sheetId="2813">
        <row r="7">
          <cell r="AI7">
            <v>10000</v>
          </cell>
        </row>
      </sheetData>
      <sheetData sheetId="2814">
        <row r="7">
          <cell r="AI7">
            <v>10000</v>
          </cell>
        </row>
      </sheetData>
      <sheetData sheetId="2815">
        <row r="7">
          <cell r="AI7">
            <v>10000</v>
          </cell>
        </row>
      </sheetData>
      <sheetData sheetId="2816">
        <row r="7">
          <cell r="AI7">
            <v>10000</v>
          </cell>
        </row>
      </sheetData>
      <sheetData sheetId="2817">
        <row r="7">
          <cell r="AI7">
            <v>10000</v>
          </cell>
        </row>
      </sheetData>
      <sheetData sheetId="2818">
        <row r="7">
          <cell r="AI7">
            <v>10000</v>
          </cell>
        </row>
      </sheetData>
      <sheetData sheetId="2819">
        <row r="7">
          <cell r="AI7">
            <v>10000</v>
          </cell>
        </row>
      </sheetData>
      <sheetData sheetId="2820">
        <row r="7">
          <cell r="AI7">
            <v>10000</v>
          </cell>
        </row>
      </sheetData>
      <sheetData sheetId="2821">
        <row r="7">
          <cell r="AI7">
            <v>10000</v>
          </cell>
        </row>
      </sheetData>
      <sheetData sheetId="2822">
        <row r="7">
          <cell r="AI7">
            <v>10000</v>
          </cell>
        </row>
      </sheetData>
      <sheetData sheetId="2823">
        <row r="7">
          <cell r="AI7">
            <v>10000</v>
          </cell>
        </row>
      </sheetData>
      <sheetData sheetId="2824">
        <row r="7">
          <cell r="AI7">
            <v>10000</v>
          </cell>
        </row>
      </sheetData>
      <sheetData sheetId="2825">
        <row r="7">
          <cell r="AI7">
            <v>10000</v>
          </cell>
        </row>
      </sheetData>
      <sheetData sheetId="2826">
        <row r="7">
          <cell r="AI7">
            <v>10000</v>
          </cell>
        </row>
      </sheetData>
      <sheetData sheetId="2827">
        <row r="7">
          <cell r="AI7">
            <v>10000</v>
          </cell>
        </row>
      </sheetData>
      <sheetData sheetId="2828">
        <row r="7">
          <cell r="AI7">
            <v>10000</v>
          </cell>
        </row>
      </sheetData>
      <sheetData sheetId="2829">
        <row r="7">
          <cell r="AI7">
            <v>10000</v>
          </cell>
        </row>
      </sheetData>
      <sheetData sheetId="2830">
        <row r="7">
          <cell r="AI7">
            <v>10000</v>
          </cell>
        </row>
      </sheetData>
      <sheetData sheetId="2831">
        <row r="7">
          <cell r="AI7">
            <v>10000</v>
          </cell>
        </row>
      </sheetData>
      <sheetData sheetId="2832">
        <row r="7">
          <cell r="AI7">
            <v>10000</v>
          </cell>
        </row>
      </sheetData>
      <sheetData sheetId="2833">
        <row r="7">
          <cell r="AI7">
            <v>10000</v>
          </cell>
        </row>
      </sheetData>
      <sheetData sheetId="2834">
        <row r="7">
          <cell r="AI7">
            <v>10000</v>
          </cell>
        </row>
      </sheetData>
      <sheetData sheetId="2835">
        <row r="7">
          <cell r="AI7">
            <v>10000</v>
          </cell>
        </row>
      </sheetData>
      <sheetData sheetId="2836">
        <row r="7">
          <cell r="AI7">
            <v>10000</v>
          </cell>
        </row>
      </sheetData>
      <sheetData sheetId="2837">
        <row r="7">
          <cell r="AI7">
            <v>10000</v>
          </cell>
        </row>
      </sheetData>
      <sheetData sheetId="2838">
        <row r="7">
          <cell r="AI7">
            <v>10000</v>
          </cell>
        </row>
      </sheetData>
      <sheetData sheetId="2839">
        <row r="7">
          <cell r="AI7">
            <v>10000</v>
          </cell>
        </row>
      </sheetData>
      <sheetData sheetId="2840">
        <row r="7">
          <cell r="AI7">
            <v>10000</v>
          </cell>
        </row>
      </sheetData>
      <sheetData sheetId="2841">
        <row r="7">
          <cell r="AI7">
            <v>10000</v>
          </cell>
        </row>
      </sheetData>
      <sheetData sheetId="2842">
        <row r="7">
          <cell r="AI7">
            <v>10000</v>
          </cell>
        </row>
      </sheetData>
      <sheetData sheetId="2843">
        <row r="7">
          <cell r="AI7">
            <v>10000</v>
          </cell>
        </row>
      </sheetData>
      <sheetData sheetId="2844">
        <row r="7">
          <cell r="AI7">
            <v>10000</v>
          </cell>
        </row>
      </sheetData>
      <sheetData sheetId="2845">
        <row r="7">
          <cell r="AI7">
            <v>10000</v>
          </cell>
        </row>
      </sheetData>
      <sheetData sheetId="2846">
        <row r="7">
          <cell r="AI7">
            <v>10000</v>
          </cell>
        </row>
      </sheetData>
      <sheetData sheetId="2847">
        <row r="7">
          <cell r="AI7">
            <v>10000</v>
          </cell>
        </row>
      </sheetData>
      <sheetData sheetId="2848">
        <row r="7">
          <cell r="AI7">
            <v>10000</v>
          </cell>
        </row>
      </sheetData>
      <sheetData sheetId="2849">
        <row r="7">
          <cell r="AI7">
            <v>10000</v>
          </cell>
        </row>
      </sheetData>
      <sheetData sheetId="2850">
        <row r="7">
          <cell r="AI7">
            <v>10000</v>
          </cell>
        </row>
      </sheetData>
      <sheetData sheetId="2851">
        <row r="7">
          <cell r="AI7">
            <v>10000</v>
          </cell>
        </row>
      </sheetData>
      <sheetData sheetId="2852">
        <row r="7">
          <cell r="AI7">
            <v>10000</v>
          </cell>
        </row>
      </sheetData>
      <sheetData sheetId="2853">
        <row r="7">
          <cell r="AI7">
            <v>10000</v>
          </cell>
        </row>
      </sheetData>
      <sheetData sheetId="2854">
        <row r="7">
          <cell r="AI7">
            <v>10000</v>
          </cell>
        </row>
      </sheetData>
      <sheetData sheetId="2855">
        <row r="7">
          <cell r="AI7">
            <v>10000</v>
          </cell>
        </row>
      </sheetData>
      <sheetData sheetId="2856">
        <row r="7">
          <cell r="AI7">
            <v>10000</v>
          </cell>
        </row>
      </sheetData>
      <sheetData sheetId="2857">
        <row r="7">
          <cell r="AI7">
            <v>10000</v>
          </cell>
        </row>
      </sheetData>
      <sheetData sheetId="2858">
        <row r="7">
          <cell r="AI7">
            <v>10000</v>
          </cell>
        </row>
      </sheetData>
      <sheetData sheetId="2859">
        <row r="7">
          <cell r="AI7">
            <v>10000</v>
          </cell>
        </row>
      </sheetData>
      <sheetData sheetId="2860">
        <row r="7">
          <cell r="AI7">
            <v>10000</v>
          </cell>
        </row>
      </sheetData>
      <sheetData sheetId="2861">
        <row r="7">
          <cell r="AI7">
            <v>10000</v>
          </cell>
        </row>
      </sheetData>
      <sheetData sheetId="2862">
        <row r="7">
          <cell r="AI7">
            <v>10000</v>
          </cell>
        </row>
      </sheetData>
      <sheetData sheetId="2863">
        <row r="7">
          <cell r="AI7">
            <v>10000</v>
          </cell>
        </row>
      </sheetData>
      <sheetData sheetId="2864">
        <row r="7">
          <cell r="AI7">
            <v>10000</v>
          </cell>
        </row>
      </sheetData>
      <sheetData sheetId="2865">
        <row r="7">
          <cell r="AI7">
            <v>10000</v>
          </cell>
        </row>
      </sheetData>
      <sheetData sheetId="2866">
        <row r="7">
          <cell r="AI7">
            <v>10000</v>
          </cell>
        </row>
      </sheetData>
      <sheetData sheetId="2867">
        <row r="7">
          <cell r="AI7">
            <v>10000</v>
          </cell>
        </row>
      </sheetData>
      <sheetData sheetId="2868">
        <row r="7">
          <cell r="AI7">
            <v>10000</v>
          </cell>
        </row>
      </sheetData>
      <sheetData sheetId="2869">
        <row r="7">
          <cell r="AI7">
            <v>10000</v>
          </cell>
        </row>
      </sheetData>
      <sheetData sheetId="2870">
        <row r="7">
          <cell r="AI7">
            <v>10000</v>
          </cell>
        </row>
      </sheetData>
      <sheetData sheetId="2871">
        <row r="7">
          <cell r="AI7">
            <v>10000</v>
          </cell>
        </row>
      </sheetData>
      <sheetData sheetId="2872">
        <row r="7">
          <cell r="AI7">
            <v>10000</v>
          </cell>
        </row>
      </sheetData>
      <sheetData sheetId="2873">
        <row r="7">
          <cell r="AI7">
            <v>10000</v>
          </cell>
        </row>
      </sheetData>
      <sheetData sheetId="2874">
        <row r="7">
          <cell r="AI7">
            <v>10000</v>
          </cell>
        </row>
      </sheetData>
      <sheetData sheetId="2875">
        <row r="7">
          <cell r="AI7">
            <v>10000</v>
          </cell>
        </row>
      </sheetData>
      <sheetData sheetId="2876">
        <row r="7">
          <cell r="AI7">
            <v>10000</v>
          </cell>
        </row>
      </sheetData>
      <sheetData sheetId="2877">
        <row r="7">
          <cell r="AI7">
            <v>10000</v>
          </cell>
        </row>
      </sheetData>
      <sheetData sheetId="2878">
        <row r="7">
          <cell r="AI7">
            <v>10000</v>
          </cell>
        </row>
      </sheetData>
      <sheetData sheetId="2879">
        <row r="7">
          <cell r="AI7">
            <v>10000</v>
          </cell>
        </row>
      </sheetData>
      <sheetData sheetId="2880">
        <row r="7">
          <cell r="AI7">
            <v>10000</v>
          </cell>
        </row>
      </sheetData>
      <sheetData sheetId="2881">
        <row r="7">
          <cell r="AI7">
            <v>10000</v>
          </cell>
        </row>
      </sheetData>
      <sheetData sheetId="2882">
        <row r="7">
          <cell r="AI7">
            <v>10000</v>
          </cell>
        </row>
      </sheetData>
      <sheetData sheetId="2883">
        <row r="7">
          <cell r="AI7">
            <v>10000</v>
          </cell>
        </row>
      </sheetData>
      <sheetData sheetId="2884">
        <row r="7">
          <cell r="AI7">
            <v>10000</v>
          </cell>
        </row>
      </sheetData>
      <sheetData sheetId="2885">
        <row r="7">
          <cell r="AI7">
            <v>10000</v>
          </cell>
        </row>
      </sheetData>
      <sheetData sheetId="2886">
        <row r="7">
          <cell r="AI7">
            <v>10000</v>
          </cell>
        </row>
      </sheetData>
      <sheetData sheetId="2887">
        <row r="7">
          <cell r="AI7">
            <v>10000</v>
          </cell>
        </row>
      </sheetData>
      <sheetData sheetId="2888">
        <row r="7">
          <cell r="AI7">
            <v>10000</v>
          </cell>
        </row>
      </sheetData>
      <sheetData sheetId="2889">
        <row r="7">
          <cell r="AI7">
            <v>10000</v>
          </cell>
        </row>
      </sheetData>
      <sheetData sheetId="2890">
        <row r="7">
          <cell r="AI7">
            <v>10000</v>
          </cell>
        </row>
      </sheetData>
      <sheetData sheetId="2891">
        <row r="7">
          <cell r="AI7">
            <v>10000</v>
          </cell>
        </row>
      </sheetData>
      <sheetData sheetId="2892">
        <row r="7">
          <cell r="AI7">
            <v>10000</v>
          </cell>
        </row>
      </sheetData>
      <sheetData sheetId="2893">
        <row r="7">
          <cell r="AI7">
            <v>10000</v>
          </cell>
        </row>
      </sheetData>
      <sheetData sheetId="2894">
        <row r="7">
          <cell r="AI7">
            <v>10000</v>
          </cell>
        </row>
      </sheetData>
      <sheetData sheetId="2895">
        <row r="7">
          <cell r="AI7">
            <v>10000</v>
          </cell>
        </row>
      </sheetData>
      <sheetData sheetId="2896">
        <row r="7">
          <cell r="AI7">
            <v>10000</v>
          </cell>
        </row>
      </sheetData>
      <sheetData sheetId="2897">
        <row r="7">
          <cell r="AI7">
            <v>10000</v>
          </cell>
        </row>
      </sheetData>
      <sheetData sheetId="2898">
        <row r="7">
          <cell r="AI7">
            <v>10000</v>
          </cell>
        </row>
      </sheetData>
      <sheetData sheetId="2899">
        <row r="7">
          <cell r="AI7">
            <v>10000</v>
          </cell>
        </row>
      </sheetData>
      <sheetData sheetId="2900">
        <row r="7">
          <cell r="AI7">
            <v>10000</v>
          </cell>
        </row>
      </sheetData>
      <sheetData sheetId="2901">
        <row r="7">
          <cell r="AI7">
            <v>10000</v>
          </cell>
        </row>
      </sheetData>
      <sheetData sheetId="2902">
        <row r="7">
          <cell r="AI7">
            <v>10000</v>
          </cell>
        </row>
      </sheetData>
      <sheetData sheetId="2903">
        <row r="7">
          <cell r="AI7">
            <v>10000</v>
          </cell>
        </row>
      </sheetData>
      <sheetData sheetId="2904">
        <row r="7">
          <cell r="AI7">
            <v>10000</v>
          </cell>
        </row>
      </sheetData>
      <sheetData sheetId="2905">
        <row r="7">
          <cell r="AI7">
            <v>10000</v>
          </cell>
        </row>
      </sheetData>
      <sheetData sheetId="2906">
        <row r="7">
          <cell r="AI7">
            <v>10000</v>
          </cell>
        </row>
      </sheetData>
      <sheetData sheetId="2907">
        <row r="7">
          <cell r="AI7">
            <v>10000</v>
          </cell>
        </row>
      </sheetData>
      <sheetData sheetId="2908">
        <row r="7">
          <cell r="AI7">
            <v>10000</v>
          </cell>
        </row>
      </sheetData>
      <sheetData sheetId="2909">
        <row r="7">
          <cell r="AI7">
            <v>10000</v>
          </cell>
        </row>
      </sheetData>
      <sheetData sheetId="2910">
        <row r="7">
          <cell r="AI7">
            <v>10000</v>
          </cell>
        </row>
      </sheetData>
      <sheetData sheetId="2911">
        <row r="7">
          <cell r="AI7">
            <v>10000</v>
          </cell>
        </row>
      </sheetData>
      <sheetData sheetId="2912">
        <row r="7">
          <cell r="AI7">
            <v>10000</v>
          </cell>
        </row>
      </sheetData>
      <sheetData sheetId="2913">
        <row r="7">
          <cell r="AI7">
            <v>10000</v>
          </cell>
        </row>
      </sheetData>
      <sheetData sheetId="2914">
        <row r="7">
          <cell r="AI7">
            <v>10000</v>
          </cell>
        </row>
      </sheetData>
      <sheetData sheetId="2915">
        <row r="7">
          <cell r="AI7">
            <v>10000</v>
          </cell>
        </row>
      </sheetData>
      <sheetData sheetId="2916">
        <row r="7">
          <cell r="AI7">
            <v>10000</v>
          </cell>
        </row>
      </sheetData>
      <sheetData sheetId="2917">
        <row r="7">
          <cell r="AI7">
            <v>10000</v>
          </cell>
        </row>
      </sheetData>
      <sheetData sheetId="2918">
        <row r="7">
          <cell r="AI7">
            <v>10000</v>
          </cell>
        </row>
      </sheetData>
      <sheetData sheetId="2919">
        <row r="7">
          <cell r="AI7">
            <v>10000</v>
          </cell>
        </row>
      </sheetData>
      <sheetData sheetId="2920">
        <row r="7">
          <cell r="AI7">
            <v>10000</v>
          </cell>
        </row>
      </sheetData>
      <sheetData sheetId="2921">
        <row r="7">
          <cell r="AI7">
            <v>10000</v>
          </cell>
        </row>
      </sheetData>
      <sheetData sheetId="2922">
        <row r="7">
          <cell r="AI7">
            <v>10000</v>
          </cell>
        </row>
      </sheetData>
      <sheetData sheetId="2923">
        <row r="7">
          <cell r="AI7">
            <v>10000</v>
          </cell>
        </row>
      </sheetData>
      <sheetData sheetId="2924">
        <row r="7">
          <cell r="AI7">
            <v>10000</v>
          </cell>
        </row>
      </sheetData>
      <sheetData sheetId="2925">
        <row r="7">
          <cell r="AI7">
            <v>10000</v>
          </cell>
        </row>
      </sheetData>
      <sheetData sheetId="2926">
        <row r="7">
          <cell r="AI7">
            <v>10000</v>
          </cell>
        </row>
      </sheetData>
      <sheetData sheetId="2927">
        <row r="7">
          <cell r="AI7">
            <v>10000</v>
          </cell>
        </row>
      </sheetData>
      <sheetData sheetId="2928">
        <row r="7">
          <cell r="AI7">
            <v>10000</v>
          </cell>
        </row>
      </sheetData>
      <sheetData sheetId="2929">
        <row r="7">
          <cell r="AI7">
            <v>10000</v>
          </cell>
        </row>
      </sheetData>
      <sheetData sheetId="2930">
        <row r="7">
          <cell r="AI7">
            <v>10000</v>
          </cell>
        </row>
      </sheetData>
      <sheetData sheetId="2931">
        <row r="7">
          <cell r="AI7">
            <v>10000</v>
          </cell>
        </row>
      </sheetData>
      <sheetData sheetId="2932">
        <row r="7">
          <cell r="AI7">
            <v>10000</v>
          </cell>
        </row>
      </sheetData>
      <sheetData sheetId="2933">
        <row r="7">
          <cell r="AI7">
            <v>10000</v>
          </cell>
        </row>
      </sheetData>
      <sheetData sheetId="2934">
        <row r="7">
          <cell r="AI7">
            <v>10000</v>
          </cell>
        </row>
      </sheetData>
      <sheetData sheetId="2935">
        <row r="7">
          <cell r="AI7">
            <v>10000</v>
          </cell>
        </row>
      </sheetData>
      <sheetData sheetId="2936">
        <row r="7">
          <cell r="AI7">
            <v>10000</v>
          </cell>
        </row>
      </sheetData>
      <sheetData sheetId="2937">
        <row r="7">
          <cell r="AI7">
            <v>10000</v>
          </cell>
        </row>
      </sheetData>
      <sheetData sheetId="2938">
        <row r="7">
          <cell r="AI7">
            <v>10000</v>
          </cell>
        </row>
      </sheetData>
      <sheetData sheetId="2939">
        <row r="7">
          <cell r="AI7">
            <v>10000</v>
          </cell>
        </row>
      </sheetData>
      <sheetData sheetId="2940">
        <row r="7">
          <cell r="AI7">
            <v>10000</v>
          </cell>
        </row>
      </sheetData>
      <sheetData sheetId="2941">
        <row r="7">
          <cell r="AI7">
            <v>10000</v>
          </cell>
        </row>
      </sheetData>
      <sheetData sheetId="2942">
        <row r="7">
          <cell r="AI7">
            <v>10000</v>
          </cell>
        </row>
      </sheetData>
      <sheetData sheetId="2943">
        <row r="7">
          <cell r="AI7">
            <v>10000</v>
          </cell>
        </row>
      </sheetData>
      <sheetData sheetId="2944">
        <row r="7">
          <cell r="AI7">
            <v>10000</v>
          </cell>
        </row>
      </sheetData>
      <sheetData sheetId="2945">
        <row r="7">
          <cell r="AI7">
            <v>10000</v>
          </cell>
        </row>
      </sheetData>
      <sheetData sheetId="2946">
        <row r="7">
          <cell r="AI7">
            <v>10000</v>
          </cell>
        </row>
      </sheetData>
      <sheetData sheetId="2947">
        <row r="7">
          <cell r="AI7">
            <v>10000</v>
          </cell>
        </row>
      </sheetData>
      <sheetData sheetId="2948">
        <row r="7">
          <cell r="AI7">
            <v>10000</v>
          </cell>
        </row>
      </sheetData>
      <sheetData sheetId="2949">
        <row r="7">
          <cell r="AI7">
            <v>10000</v>
          </cell>
        </row>
      </sheetData>
      <sheetData sheetId="2950">
        <row r="7">
          <cell r="AI7">
            <v>10000</v>
          </cell>
        </row>
      </sheetData>
      <sheetData sheetId="2951">
        <row r="7">
          <cell r="AI7">
            <v>10000</v>
          </cell>
        </row>
      </sheetData>
      <sheetData sheetId="2952">
        <row r="7">
          <cell r="AI7">
            <v>10000</v>
          </cell>
        </row>
      </sheetData>
      <sheetData sheetId="2953">
        <row r="7">
          <cell r="AI7">
            <v>10000</v>
          </cell>
        </row>
      </sheetData>
      <sheetData sheetId="2954">
        <row r="7">
          <cell r="AI7">
            <v>10000</v>
          </cell>
        </row>
      </sheetData>
      <sheetData sheetId="2955">
        <row r="7">
          <cell r="AI7">
            <v>10000</v>
          </cell>
        </row>
      </sheetData>
      <sheetData sheetId="2956">
        <row r="7">
          <cell r="AI7">
            <v>10000</v>
          </cell>
        </row>
      </sheetData>
      <sheetData sheetId="2957">
        <row r="7">
          <cell r="AI7">
            <v>10000</v>
          </cell>
        </row>
      </sheetData>
      <sheetData sheetId="2958">
        <row r="7">
          <cell r="AI7">
            <v>10000</v>
          </cell>
        </row>
      </sheetData>
      <sheetData sheetId="2959">
        <row r="7">
          <cell r="AI7">
            <v>10000</v>
          </cell>
        </row>
      </sheetData>
      <sheetData sheetId="2960">
        <row r="7">
          <cell r="AI7">
            <v>10000</v>
          </cell>
        </row>
      </sheetData>
      <sheetData sheetId="2961">
        <row r="7">
          <cell r="AI7">
            <v>10000</v>
          </cell>
        </row>
      </sheetData>
      <sheetData sheetId="2962">
        <row r="7">
          <cell r="AI7">
            <v>10000</v>
          </cell>
        </row>
      </sheetData>
      <sheetData sheetId="2963">
        <row r="7">
          <cell r="AI7">
            <v>10000</v>
          </cell>
        </row>
      </sheetData>
      <sheetData sheetId="2964">
        <row r="7">
          <cell r="AI7">
            <v>10000</v>
          </cell>
        </row>
      </sheetData>
      <sheetData sheetId="2965">
        <row r="7">
          <cell r="AI7">
            <v>10000</v>
          </cell>
        </row>
      </sheetData>
      <sheetData sheetId="2966">
        <row r="7">
          <cell r="AI7">
            <v>10000</v>
          </cell>
        </row>
      </sheetData>
      <sheetData sheetId="2967">
        <row r="7">
          <cell r="AI7">
            <v>10000</v>
          </cell>
        </row>
      </sheetData>
      <sheetData sheetId="2968">
        <row r="7">
          <cell r="AI7">
            <v>10000</v>
          </cell>
        </row>
      </sheetData>
      <sheetData sheetId="2969">
        <row r="7">
          <cell r="AI7">
            <v>10000</v>
          </cell>
        </row>
      </sheetData>
      <sheetData sheetId="2970">
        <row r="7">
          <cell r="AI7">
            <v>10000</v>
          </cell>
        </row>
      </sheetData>
      <sheetData sheetId="2971">
        <row r="7">
          <cell r="AI7">
            <v>10000</v>
          </cell>
        </row>
      </sheetData>
      <sheetData sheetId="2972">
        <row r="7">
          <cell r="AI7">
            <v>10000</v>
          </cell>
        </row>
      </sheetData>
      <sheetData sheetId="2973">
        <row r="7">
          <cell r="AI7">
            <v>10000</v>
          </cell>
        </row>
      </sheetData>
      <sheetData sheetId="2974">
        <row r="7">
          <cell r="AI7">
            <v>10000</v>
          </cell>
        </row>
      </sheetData>
      <sheetData sheetId="2975">
        <row r="7">
          <cell r="AI7">
            <v>10000</v>
          </cell>
        </row>
      </sheetData>
      <sheetData sheetId="2976">
        <row r="7">
          <cell r="AI7">
            <v>10000</v>
          </cell>
        </row>
      </sheetData>
      <sheetData sheetId="2977">
        <row r="7">
          <cell r="AI7">
            <v>10000</v>
          </cell>
        </row>
      </sheetData>
      <sheetData sheetId="2978">
        <row r="7">
          <cell r="AI7">
            <v>10000</v>
          </cell>
        </row>
      </sheetData>
      <sheetData sheetId="2979">
        <row r="7">
          <cell r="AI7">
            <v>10000</v>
          </cell>
        </row>
      </sheetData>
      <sheetData sheetId="2980">
        <row r="7">
          <cell r="AI7">
            <v>10000</v>
          </cell>
        </row>
      </sheetData>
      <sheetData sheetId="2981">
        <row r="7">
          <cell r="AI7">
            <v>10000</v>
          </cell>
        </row>
      </sheetData>
      <sheetData sheetId="2982">
        <row r="7">
          <cell r="AI7">
            <v>10000</v>
          </cell>
        </row>
      </sheetData>
      <sheetData sheetId="2983">
        <row r="7">
          <cell r="AI7">
            <v>10000</v>
          </cell>
        </row>
      </sheetData>
      <sheetData sheetId="2984">
        <row r="7">
          <cell r="AI7">
            <v>10000</v>
          </cell>
        </row>
      </sheetData>
      <sheetData sheetId="2985">
        <row r="7">
          <cell r="AI7">
            <v>10000</v>
          </cell>
        </row>
      </sheetData>
      <sheetData sheetId="2986">
        <row r="7">
          <cell r="AI7">
            <v>10000</v>
          </cell>
        </row>
      </sheetData>
      <sheetData sheetId="2987">
        <row r="7">
          <cell r="AI7">
            <v>10000</v>
          </cell>
        </row>
      </sheetData>
      <sheetData sheetId="2988">
        <row r="7">
          <cell r="AI7">
            <v>10000</v>
          </cell>
        </row>
      </sheetData>
      <sheetData sheetId="2989">
        <row r="7">
          <cell r="AI7">
            <v>10000</v>
          </cell>
        </row>
      </sheetData>
      <sheetData sheetId="2990">
        <row r="7">
          <cell r="AI7">
            <v>10000</v>
          </cell>
        </row>
      </sheetData>
      <sheetData sheetId="2991">
        <row r="7">
          <cell r="AI7">
            <v>10000</v>
          </cell>
        </row>
      </sheetData>
      <sheetData sheetId="2992">
        <row r="7">
          <cell r="AI7">
            <v>10000</v>
          </cell>
        </row>
      </sheetData>
      <sheetData sheetId="2993">
        <row r="7">
          <cell r="AI7">
            <v>10000</v>
          </cell>
        </row>
      </sheetData>
      <sheetData sheetId="2994">
        <row r="7">
          <cell r="AI7">
            <v>10000</v>
          </cell>
        </row>
      </sheetData>
      <sheetData sheetId="2995">
        <row r="7">
          <cell r="AI7">
            <v>10000</v>
          </cell>
        </row>
      </sheetData>
      <sheetData sheetId="2996">
        <row r="7">
          <cell r="AI7">
            <v>10000</v>
          </cell>
        </row>
      </sheetData>
      <sheetData sheetId="2997">
        <row r="7">
          <cell r="AI7">
            <v>10000</v>
          </cell>
        </row>
      </sheetData>
      <sheetData sheetId="2998">
        <row r="7">
          <cell r="AI7">
            <v>10000</v>
          </cell>
        </row>
      </sheetData>
      <sheetData sheetId="2999">
        <row r="7">
          <cell r="AI7">
            <v>10000</v>
          </cell>
        </row>
      </sheetData>
      <sheetData sheetId="3000">
        <row r="7">
          <cell r="AI7">
            <v>10000</v>
          </cell>
        </row>
      </sheetData>
      <sheetData sheetId="3001">
        <row r="7">
          <cell r="AI7">
            <v>10000</v>
          </cell>
        </row>
      </sheetData>
      <sheetData sheetId="3002">
        <row r="7">
          <cell r="AI7">
            <v>10000</v>
          </cell>
        </row>
      </sheetData>
      <sheetData sheetId="3003">
        <row r="7">
          <cell r="AI7">
            <v>10000</v>
          </cell>
        </row>
      </sheetData>
      <sheetData sheetId="3004">
        <row r="7">
          <cell r="AI7">
            <v>10000</v>
          </cell>
        </row>
      </sheetData>
      <sheetData sheetId="3005">
        <row r="7">
          <cell r="AI7">
            <v>10000</v>
          </cell>
        </row>
      </sheetData>
      <sheetData sheetId="3006">
        <row r="7">
          <cell r="AI7">
            <v>10000</v>
          </cell>
        </row>
      </sheetData>
      <sheetData sheetId="3007">
        <row r="7">
          <cell r="AI7">
            <v>10000</v>
          </cell>
        </row>
      </sheetData>
      <sheetData sheetId="3008">
        <row r="7">
          <cell r="AI7">
            <v>10000</v>
          </cell>
        </row>
      </sheetData>
      <sheetData sheetId="3009">
        <row r="7">
          <cell r="AI7">
            <v>10000</v>
          </cell>
        </row>
      </sheetData>
      <sheetData sheetId="3010">
        <row r="7">
          <cell r="AI7">
            <v>10000</v>
          </cell>
        </row>
      </sheetData>
      <sheetData sheetId="3011">
        <row r="7">
          <cell r="AI7">
            <v>10000</v>
          </cell>
        </row>
      </sheetData>
      <sheetData sheetId="3012">
        <row r="7">
          <cell r="AI7">
            <v>10000</v>
          </cell>
        </row>
      </sheetData>
      <sheetData sheetId="3013">
        <row r="7">
          <cell r="AI7">
            <v>10000</v>
          </cell>
        </row>
      </sheetData>
      <sheetData sheetId="3014">
        <row r="7">
          <cell r="AI7">
            <v>10000</v>
          </cell>
        </row>
      </sheetData>
      <sheetData sheetId="3015">
        <row r="7">
          <cell r="AI7">
            <v>10000</v>
          </cell>
        </row>
      </sheetData>
      <sheetData sheetId="3016">
        <row r="7">
          <cell r="AI7">
            <v>10000</v>
          </cell>
        </row>
      </sheetData>
      <sheetData sheetId="3017">
        <row r="7">
          <cell r="AI7">
            <v>10000</v>
          </cell>
        </row>
      </sheetData>
      <sheetData sheetId="3018">
        <row r="7">
          <cell r="AI7">
            <v>10000</v>
          </cell>
        </row>
      </sheetData>
      <sheetData sheetId="3019">
        <row r="7">
          <cell r="AI7">
            <v>10000</v>
          </cell>
        </row>
      </sheetData>
      <sheetData sheetId="3020">
        <row r="7">
          <cell r="AI7">
            <v>10000</v>
          </cell>
        </row>
      </sheetData>
      <sheetData sheetId="3021">
        <row r="7">
          <cell r="AI7">
            <v>10000</v>
          </cell>
        </row>
      </sheetData>
      <sheetData sheetId="3022">
        <row r="7">
          <cell r="AI7">
            <v>10000</v>
          </cell>
        </row>
      </sheetData>
      <sheetData sheetId="3023">
        <row r="7">
          <cell r="AI7">
            <v>10000</v>
          </cell>
        </row>
      </sheetData>
      <sheetData sheetId="3024">
        <row r="7">
          <cell r="AI7">
            <v>10000</v>
          </cell>
        </row>
      </sheetData>
      <sheetData sheetId="3025">
        <row r="7">
          <cell r="AI7">
            <v>10000</v>
          </cell>
        </row>
      </sheetData>
      <sheetData sheetId="3026">
        <row r="7">
          <cell r="AI7">
            <v>10000</v>
          </cell>
        </row>
      </sheetData>
      <sheetData sheetId="3027">
        <row r="7">
          <cell r="AI7">
            <v>10000</v>
          </cell>
        </row>
      </sheetData>
      <sheetData sheetId="3028">
        <row r="7">
          <cell r="AI7">
            <v>10000</v>
          </cell>
        </row>
      </sheetData>
      <sheetData sheetId="3029">
        <row r="7">
          <cell r="AI7">
            <v>10000</v>
          </cell>
        </row>
      </sheetData>
      <sheetData sheetId="3030">
        <row r="7">
          <cell r="AI7">
            <v>10000</v>
          </cell>
        </row>
      </sheetData>
      <sheetData sheetId="3031">
        <row r="7">
          <cell r="AI7">
            <v>10000</v>
          </cell>
        </row>
      </sheetData>
      <sheetData sheetId="3032">
        <row r="7">
          <cell r="AI7">
            <v>10000</v>
          </cell>
        </row>
      </sheetData>
      <sheetData sheetId="3033">
        <row r="7">
          <cell r="AI7">
            <v>10000</v>
          </cell>
        </row>
      </sheetData>
      <sheetData sheetId="3034">
        <row r="7">
          <cell r="AI7">
            <v>10000</v>
          </cell>
        </row>
      </sheetData>
      <sheetData sheetId="3035">
        <row r="7">
          <cell r="AI7">
            <v>10000</v>
          </cell>
        </row>
      </sheetData>
      <sheetData sheetId="3036">
        <row r="7">
          <cell r="AI7">
            <v>10000</v>
          </cell>
        </row>
      </sheetData>
      <sheetData sheetId="3037">
        <row r="7">
          <cell r="AI7">
            <v>10000</v>
          </cell>
        </row>
      </sheetData>
      <sheetData sheetId="3038">
        <row r="7">
          <cell r="AI7">
            <v>10000</v>
          </cell>
        </row>
      </sheetData>
      <sheetData sheetId="3039">
        <row r="7">
          <cell r="AI7">
            <v>10000</v>
          </cell>
        </row>
      </sheetData>
      <sheetData sheetId="3040">
        <row r="7">
          <cell r="AI7">
            <v>10000</v>
          </cell>
        </row>
      </sheetData>
      <sheetData sheetId="3041">
        <row r="7">
          <cell r="AI7">
            <v>10000</v>
          </cell>
        </row>
      </sheetData>
      <sheetData sheetId="3042">
        <row r="7">
          <cell r="AI7">
            <v>10000</v>
          </cell>
        </row>
      </sheetData>
      <sheetData sheetId="3043">
        <row r="7">
          <cell r="AI7">
            <v>10000</v>
          </cell>
        </row>
      </sheetData>
      <sheetData sheetId="3044">
        <row r="7">
          <cell r="AI7">
            <v>10000</v>
          </cell>
        </row>
      </sheetData>
      <sheetData sheetId="3045">
        <row r="7">
          <cell r="AI7">
            <v>10000</v>
          </cell>
        </row>
      </sheetData>
      <sheetData sheetId="3046">
        <row r="7">
          <cell r="AI7">
            <v>10000</v>
          </cell>
        </row>
      </sheetData>
      <sheetData sheetId="3047">
        <row r="7">
          <cell r="AI7">
            <v>10000</v>
          </cell>
        </row>
      </sheetData>
      <sheetData sheetId="3048">
        <row r="7">
          <cell r="AI7">
            <v>10000</v>
          </cell>
        </row>
      </sheetData>
      <sheetData sheetId="3049">
        <row r="7">
          <cell r="AI7">
            <v>10000</v>
          </cell>
        </row>
      </sheetData>
      <sheetData sheetId="3050">
        <row r="7">
          <cell r="AI7">
            <v>10000</v>
          </cell>
        </row>
      </sheetData>
      <sheetData sheetId="3051">
        <row r="7">
          <cell r="AI7">
            <v>10000</v>
          </cell>
        </row>
      </sheetData>
      <sheetData sheetId="3052">
        <row r="7">
          <cell r="AI7">
            <v>10000</v>
          </cell>
        </row>
      </sheetData>
      <sheetData sheetId="3053" refreshError="1"/>
      <sheetData sheetId="3054">
        <row r="7">
          <cell r="AI7">
            <v>10000</v>
          </cell>
        </row>
      </sheetData>
      <sheetData sheetId="3055">
        <row r="7">
          <cell r="AI7">
            <v>10000</v>
          </cell>
        </row>
      </sheetData>
      <sheetData sheetId="3056">
        <row r="7">
          <cell r="AI7">
            <v>10000</v>
          </cell>
        </row>
      </sheetData>
      <sheetData sheetId="3057">
        <row r="7">
          <cell r="AI7">
            <v>10000</v>
          </cell>
        </row>
      </sheetData>
      <sheetData sheetId="3058">
        <row r="7">
          <cell r="AI7">
            <v>10000</v>
          </cell>
        </row>
      </sheetData>
      <sheetData sheetId="3059">
        <row r="7">
          <cell r="AI7">
            <v>10000</v>
          </cell>
        </row>
      </sheetData>
      <sheetData sheetId="3060">
        <row r="7">
          <cell r="AI7">
            <v>10000</v>
          </cell>
        </row>
      </sheetData>
      <sheetData sheetId="3061">
        <row r="7">
          <cell r="AI7">
            <v>10000</v>
          </cell>
        </row>
      </sheetData>
      <sheetData sheetId="3062">
        <row r="7">
          <cell r="AI7">
            <v>10000</v>
          </cell>
        </row>
      </sheetData>
      <sheetData sheetId="3063">
        <row r="7">
          <cell r="AI7">
            <v>10000</v>
          </cell>
        </row>
      </sheetData>
      <sheetData sheetId="3064">
        <row r="7">
          <cell r="AI7">
            <v>10000</v>
          </cell>
        </row>
      </sheetData>
      <sheetData sheetId="3065">
        <row r="7">
          <cell r="AI7">
            <v>10000</v>
          </cell>
        </row>
      </sheetData>
      <sheetData sheetId="3066">
        <row r="7">
          <cell r="AI7">
            <v>10000</v>
          </cell>
        </row>
      </sheetData>
      <sheetData sheetId="3067">
        <row r="7">
          <cell r="AI7">
            <v>10000</v>
          </cell>
        </row>
      </sheetData>
      <sheetData sheetId="3068">
        <row r="7">
          <cell r="AI7">
            <v>10000</v>
          </cell>
        </row>
      </sheetData>
      <sheetData sheetId="3069">
        <row r="7">
          <cell r="AI7">
            <v>10000</v>
          </cell>
        </row>
      </sheetData>
      <sheetData sheetId="3070">
        <row r="7">
          <cell r="AI7">
            <v>10000</v>
          </cell>
        </row>
      </sheetData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>
        <row r="7">
          <cell r="AI7">
            <v>10000</v>
          </cell>
        </row>
      </sheetData>
      <sheetData sheetId="3081" refreshError="1"/>
      <sheetData sheetId="3082"/>
      <sheetData sheetId="3083">
        <row r="7">
          <cell r="AI7">
            <v>10000</v>
          </cell>
        </row>
      </sheetData>
      <sheetData sheetId="3084" refreshError="1"/>
      <sheetData sheetId="3085" refreshError="1"/>
      <sheetData sheetId="3086">
        <row r="7">
          <cell r="AI7">
            <v>10000</v>
          </cell>
        </row>
      </sheetData>
      <sheetData sheetId="3087">
        <row r="7">
          <cell r="AI7">
            <v>10000</v>
          </cell>
        </row>
      </sheetData>
      <sheetData sheetId="3088">
        <row r="7">
          <cell r="AI7">
            <v>10000</v>
          </cell>
        </row>
      </sheetData>
      <sheetData sheetId="3089">
        <row r="7">
          <cell r="AI7">
            <v>10000</v>
          </cell>
        </row>
      </sheetData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>
        <row r="7">
          <cell r="AI7">
            <v>10000</v>
          </cell>
        </row>
      </sheetData>
      <sheetData sheetId="3105">
        <row r="7">
          <cell r="AI7">
            <v>10000</v>
          </cell>
        </row>
      </sheetData>
      <sheetData sheetId="3106">
        <row r="7">
          <cell r="AI7">
            <v>10000</v>
          </cell>
        </row>
      </sheetData>
      <sheetData sheetId="3107">
        <row r="7">
          <cell r="AI7">
            <v>10000</v>
          </cell>
        </row>
      </sheetData>
      <sheetData sheetId="3108">
        <row r="7">
          <cell r="AI7">
            <v>10000</v>
          </cell>
        </row>
      </sheetData>
      <sheetData sheetId="3109">
        <row r="7">
          <cell r="AI7">
            <v>10000</v>
          </cell>
        </row>
      </sheetData>
      <sheetData sheetId="3110">
        <row r="7">
          <cell r="AI7">
            <v>10000</v>
          </cell>
        </row>
      </sheetData>
      <sheetData sheetId="3111">
        <row r="7">
          <cell r="AI7">
            <v>10000</v>
          </cell>
        </row>
      </sheetData>
      <sheetData sheetId="3112">
        <row r="7">
          <cell r="AI7">
            <v>10000</v>
          </cell>
        </row>
      </sheetData>
      <sheetData sheetId="3113">
        <row r="7">
          <cell r="AI7">
            <v>10000</v>
          </cell>
        </row>
      </sheetData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>
        <row r="7">
          <cell r="AI7">
            <v>10000</v>
          </cell>
        </row>
      </sheetData>
      <sheetData sheetId="3131">
        <row r="7">
          <cell r="AI7">
            <v>10000</v>
          </cell>
        </row>
      </sheetData>
      <sheetData sheetId="3132">
        <row r="7">
          <cell r="AI7">
            <v>10000</v>
          </cell>
        </row>
      </sheetData>
      <sheetData sheetId="3133">
        <row r="7">
          <cell r="AI7">
            <v>10000</v>
          </cell>
        </row>
      </sheetData>
      <sheetData sheetId="3134">
        <row r="7">
          <cell r="AI7">
            <v>10000</v>
          </cell>
        </row>
      </sheetData>
      <sheetData sheetId="3135">
        <row r="7">
          <cell r="AI7">
            <v>10000</v>
          </cell>
        </row>
      </sheetData>
      <sheetData sheetId="3136">
        <row r="7">
          <cell r="AI7">
            <v>10000</v>
          </cell>
        </row>
      </sheetData>
      <sheetData sheetId="3137">
        <row r="7">
          <cell r="AI7">
            <v>10000</v>
          </cell>
        </row>
      </sheetData>
      <sheetData sheetId="3138">
        <row r="7">
          <cell r="AI7">
            <v>10000</v>
          </cell>
        </row>
      </sheetData>
      <sheetData sheetId="3139">
        <row r="7">
          <cell r="AI7">
            <v>10000</v>
          </cell>
        </row>
      </sheetData>
      <sheetData sheetId="3140">
        <row r="7">
          <cell r="AI7">
            <v>10000</v>
          </cell>
        </row>
      </sheetData>
      <sheetData sheetId="3141">
        <row r="7">
          <cell r="AI7">
            <v>10000</v>
          </cell>
        </row>
      </sheetData>
      <sheetData sheetId="3142">
        <row r="7">
          <cell r="AI7">
            <v>10000</v>
          </cell>
        </row>
      </sheetData>
      <sheetData sheetId="3143">
        <row r="7">
          <cell r="AI7">
            <v>10000</v>
          </cell>
        </row>
      </sheetData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>
        <row r="7">
          <cell r="AI7">
            <v>10000</v>
          </cell>
        </row>
      </sheetData>
      <sheetData sheetId="3172" refreshError="1"/>
      <sheetData sheetId="3173" refreshError="1"/>
      <sheetData sheetId="3174" refreshError="1"/>
      <sheetData sheetId="3175" refreshError="1"/>
      <sheetData sheetId="3176">
        <row r="7">
          <cell r="AI7">
            <v>10000</v>
          </cell>
        </row>
      </sheetData>
      <sheetData sheetId="3177">
        <row r="7">
          <cell r="AI7">
            <v>10000</v>
          </cell>
        </row>
      </sheetData>
      <sheetData sheetId="3178">
        <row r="7">
          <cell r="AI7">
            <v>10000</v>
          </cell>
        </row>
      </sheetData>
      <sheetData sheetId="3179">
        <row r="7">
          <cell r="AI7">
            <v>10000</v>
          </cell>
        </row>
      </sheetData>
      <sheetData sheetId="3180">
        <row r="7">
          <cell r="AI7">
            <v>10000</v>
          </cell>
        </row>
      </sheetData>
      <sheetData sheetId="3181" refreshError="1"/>
      <sheetData sheetId="3182">
        <row r="7">
          <cell r="AI7">
            <v>10000</v>
          </cell>
        </row>
      </sheetData>
      <sheetData sheetId="3183">
        <row r="7">
          <cell r="AI7">
            <v>10000</v>
          </cell>
        </row>
      </sheetData>
      <sheetData sheetId="3184">
        <row r="7">
          <cell r="AI7">
            <v>10000</v>
          </cell>
        </row>
      </sheetData>
      <sheetData sheetId="3185">
        <row r="7">
          <cell r="AI7">
            <v>10000</v>
          </cell>
        </row>
      </sheetData>
      <sheetData sheetId="3186">
        <row r="7">
          <cell r="AI7">
            <v>10000</v>
          </cell>
        </row>
      </sheetData>
      <sheetData sheetId="3187">
        <row r="7">
          <cell r="AI7">
            <v>10000</v>
          </cell>
        </row>
      </sheetData>
      <sheetData sheetId="3188">
        <row r="7">
          <cell r="AI7">
            <v>10000</v>
          </cell>
        </row>
      </sheetData>
      <sheetData sheetId="3189">
        <row r="7">
          <cell r="AI7">
            <v>10000</v>
          </cell>
        </row>
      </sheetData>
      <sheetData sheetId="3190">
        <row r="7">
          <cell r="AI7">
            <v>10000</v>
          </cell>
        </row>
      </sheetData>
      <sheetData sheetId="3191">
        <row r="7">
          <cell r="AI7">
            <v>10000</v>
          </cell>
        </row>
      </sheetData>
      <sheetData sheetId="3192">
        <row r="7">
          <cell r="AI7">
            <v>10000</v>
          </cell>
        </row>
      </sheetData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>
        <row r="7">
          <cell r="AI7">
            <v>10000</v>
          </cell>
        </row>
      </sheetData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>
        <row r="7">
          <cell r="AI7">
            <v>10000</v>
          </cell>
        </row>
      </sheetData>
      <sheetData sheetId="3215">
        <row r="7">
          <cell r="AI7">
            <v>10000</v>
          </cell>
        </row>
      </sheetData>
      <sheetData sheetId="3216">
        <row r="7">
          <cell r="AI7">
            <v>10000</v>
          </cell>
        </row>
      </sheetData>
      <sheetData sheetId="3217">
        <row r="7">
          <cell r="AI7">
            <v>10000</v>
          </cell>
        </row>
      </sheetData>
      <sheetData sheetId="3218">
        <row r="7">
          <cell r="AI7">
            <v>10000</v>
          </cell>
        </row>
      </sheetData>
      <sheetData sheetId="3219" refreshError="1"/>
      <sheetData sheetId="3220" refreshError="1"/>
      <sheetData sheetId="3221">
        <row r="7">
          <cell r="AI7">
            <v>10000</v>
          </cell>
        </row>
      </sheetData>
      <sheetData sheetId="3222">
        <row r="7">
          <cell r="AI7">
            <v>10000</v>
          </cell>
        </row>
      </sheetData>
      <sheetData sheetId="3223">
        <row r="7">
          <cell r="AI7">
            <v>10000</v>
          </cell>
        </row>
      </sheetData>
      <sheetData sheetId="3224">
        <row r="7">
          <cell r="AI7">
            <v>10000</v>
          </cell>
        </row>
      </sheetData>
      <sheetData sheetId="3225">
        <row r="7">
          <cell r="AI7">
            <v>10000</v>
          </cell>
        </row>
      </sheetData>
      <sheetData sheetId="3226">
        <row r="7">
          <cell r="AI7">
            <v>10000</v>
          </cell>
        </row>
      </sheetData>
      <sheetData sheetId="3227">
        <row r="7">
          <cell r="AI7">
            <v>10000</v>
          </cell>
        </row>
      </sheetData>
      <sheetData sheetId="3228">
        <row r="7">
          <cell r="AI7">
            <v>10000</v>
          </cell>
        </row>
      </sheetData>
      <sheetData sheetId="3229">
        <row r="7">
          <cell r="AI7">
            <v>10000</v>
          </cell>
        </row>
      </sheetData>
      <sheetData sheetId="3230">
        <row r="7">
          <cell r="AI7">
            <v>10000</v>
          </cell>
        </row>
      </sheetData>
      <sheetData sheetId="3231">
        <row r="7">
          <cell r="AI7">
            <v>10000</v>
          </cell>
        </row>
      </sheetData>
      <sheetData sheetId="3232">
        <row r="7">
          <cell r="AI7">
            <v>10000</v>
          </cell>
        </row>
      </sheetData>
      <sheetData sheetId="3233">
        <row r="7">
          <cell r="AI7">
            <v>10000</v>
          </cell>
        </row>
      </sheetData>
      <sheetData sheetId="3234">
        <row r="7">
          <cell r="AI7">
            <v>10000</v>
          </cell>
        </row>
      </sheetData>
      <sheetData sheetId="3235">
        <row r="7">
          <cell r="AI7">
            <v>10000</v>
          </cell>
        </row>
      </sheetData>
      <sheetData sheetId="3236">
        <row r="7">
          <cell r="AI7">
            <v>10000</v>
          </cell>
        </row>
      </sheetData>
      <sheetData sheetId="3237">
        <row r="7">
          <cell r="AI7">
            <v>10000</v>
          </cell>
        </row>
      </sheetData>
      <sheetData sheetId="3238">
        <row r="7">
          <cell r="AI7">
            <v>10000</v>
          </cell>
        </row>
      </sheetData>
      <sheetData sheetId="3239">
        <row r="7">
          <cell r="AI7">
            <v>10000</v>
          </cell>
        </row>
      </sheetData>
      <sheetData sheetId="3240">
        <row r="7">
          <cell r="AI7">
            <v>10000</v>
          </cell>
        </row>
      </sheetData>
      <sheetData sheetId="3241">
        <row r="7">
          <cell r="AI7">
            <v>10000</v>
          </cell>
        </row>
      </sheetData>
      <sheetData sheetId="3242">
        <row r="7">
          <cell r="AI7">
            <v>10000</v>
          </cell>
        </row>
      </sheetData>
      <sheetData sheetId="3243">
        <row r="7">
          <cell r="AI7">
            <v>10000</v>
          </cell>
        </row>
      </sheetData>
      <sheetData sheetId="3244">
        <row r="7">
          <cell r="AI7">
            <v>10000</v>
          </cell>
        </row>
      </sheetData>
      <sheetData sheetId="3245">
        <row r="7">
          <cell r="AI7">
            <v>10000</v>
          </cell>
        </row>
      </sheetData>
      <sheetData sheetId="3246">
        <row r="7">
          <cell r="AI7">
            <v>10000</v>
          </cell>
        </row>
      </sheetData>
      <sheetData sheetId="3247">
        <row r="7">
          <cell r="AI7">
            <v>10000</v>
          </cell>
        </row>
      </sheetData>
      <sheetData sheetId="3248">
        <row r="7">
          <cell r="AI7">
            <v>10000</v>
          </cell>
        </row>
      </sheetData>
      <sheetData sheetId="3249">
        <row r="7">
          <cell r="AI7">
            <v>10000</v>
          </cell>
        </row>
      </sheetData>
      <sheetData sheetId="3250">
        <row r="7">
          <cell r="AI7">
            <v>10000</v>
          </cell>
        </row>
      </sheetData>
      <sheetData sheetId="3251">
        <row r="7">
          <cell r="AI7">
            <v>10000</v>
          </cell>
        </row>
      </sheetData>
      <sheetData sheetId="3252">
        <row r="7">
          <cell r="AI7">
            <v>10000</v>
          </cell>
        </row>
      </sheetData>
      <sheetData sheetId="3253">
        <row r="7">
          <cell r="AI7">
            <v>10000</v>
          </cell>
        </row>
      </sheetData>
      <sheetData sheetId="3254">
        <row r="7">
          <cell r="AI7">
            <v>10000</v>
          </cell>
        </row>
      </sheetData>
      <sheetData sheetId="3255">
        <row r="7">
          <cell r="AI7">
            <v>10000</v>
          </cell>
        </row>
      </sheetData>
      <sheetData sheetId="3256">
        <row r="7">
          <cell r="AI7">
            <v>10000</v>
          </cell>
        </row>
      </sheetData>
      <sheetData sheetId="3257">
        <row r="7">
          <cell r="AI7">
            <v>10000</v>
          </cell>
        </row>
      </sheetData>
      <sheetData sheetId="3258">
        <row r="7">
          <cell r="AI7">
            <v>10000</v>
          </cell>
        </row>
      </sheetData>
      <sheetData sheetId="3259">
        <row r="7">
          <cell r="AI7">
            <v>10000</v>
          </cell>
        </row>
      </sheetData>
      <sheetData sheetId="3260">
        <row r="7">
          <cell r="AI7">
            <v>10000</v>
          </cell>
        </row>
      </sheetData>
      <sheetData sheetId="3261">
        <row r="7">
          <cell r="AI7">
            <v>10000</v>
          </cell>
        </row>
      </sheetData>
      <sheetData sheetId="3262">
        <row r="7">
          <cell r="AI7">
            <v>10000</v>
          </cell>
        </row>
      </sheetData>
      <sheetData sheetId="3263">
        <row r="7">
          <cell r="AI7">
            <v>10000</v>
          </cell>
        </row>
      </sheetData>
      <sheetData sheetId="3264">
        <row r="7">
          <cell r="AI7">
            <v>10000</v>
          </cell>
        </row>
      </sheetData>
      <sheetData sheetId="3265">
        <row r="7">
          <cell r="AI7">
            <v>10000</v>
          </cell>
        </row>
      </sheetData>
      <sheetData sheetId="3266">
        <row r="7">
          <cell r="AI7">
            <v>10000</v>
          </cell>
        </row>
      </sheetData>
      <sheetData sheetId="3267">
        <row r="7">
          <cell r="AI7">
            <v>10000</v>
          </cell>
        </row>
      </sheetData>
      <sheetData sheetId="3268">
        <row r="7">
          <cell r="AI7">
            <v>10000</v>
          </cell>
        </row>
      </sheetData>
      <sheetData sheetId="3269">
        <row r="7">
          <cell r="AI7">
            <v>10000</v>
          </cell>
        </row>
      </sheetData>
      <sheetData sheetId="3270">
        <row r="7">
          <cell r="AI7">
            <v>10000</v>
          </cell>
        </row>
      </sheetData>
      <sheetData sheetId="3271">
        <row r="7">
          <cell r="AI7">
            <v>10000</v>
          </cell>
        </row>
      </sheetData>
      <sheetData sheetId="3272">
        <row r="7">
          <cell r="AI7">
            <v>10000</v>
          </cell>
        </row>
      </sheetData>
      <sheetData sheetId="3273">
        <row r="7">
          <cell r="AI7">
            <v>10000</v>
          </cell>
        </row>
      </sheetData>
      <sheetData sheetId="3274">
        <row r="7">
          <cell r="AI7">
            <v>10000</v>
          </cell>
        </row>
      </sheetData>
      <sheetData sheetId="3275">
        <row r="7">
          <cell r="AI7">
            <v>10000</v>
          </cell>
        </row>
      </sheetData>
      <sheetData sheetId="3276">
        <row r="7">
          <cell r="AI7">
            <v>10000</v>
          </cell>
        </row>
      </sheetData>
      <sheetData sheetId="3277">
        <row r="7">
          <cell r="AI7">
            <v>10000</v>
          </cell>
        </row>
      </sheetData>
      <sheetData sheetId="3278">
        <row r="7">
          <cell r="AI7">
            <v>10000</v>
          </cell>
        </row>
      </sheetData>
      <sheetData sheetId="3279">
        <row r="7">
          <cell r="AI7">
            <v>10000</v>
          </cell>
        </row>
      </sheetData>
      <sheetData sheetId="3280">
        <row r="7">
          <cell r="AI7">
            <v>10000</v>
          </cell>
        </row>
      </sheetData>
      <sheetData sheetId="3281">
        <row r="7">
          <cell r="AI7">
            <v>10000</v>
          </cell>
        </row>
      </sheetData>
      <sheetData sheetId="3282">
        <row r="7">
          <cell r="AI7">
            <v>10000</v>
          </cell>
        </row>
      </sheetData>
      <sheetData sheetId="3283">
        <row r="7">
          <cell r="AI7">
            <v>10000</v>
          </cell>
        </row>
      </sheetData>
      <sheetData sheetId="3284">
        <row r="7">
          <cell r="AI7">
            <v>10000</v>
          </cell>
        </row>
      </sheetData>
      <sheetData sheetId="3285">
        <row r="7">
          <cell r="AI7">
            <v>10000</v>
          </cell>
        </row>
      </sheetData>
      <sheetData sheetId="3286">
        <row r="7">
          <cell r="AI7">
            <v>10000</v>
          </cell>
        </row>
      </sheetData>
      <sheetData sheetId="3287">
        <row r="7">
          <cell r="AI7">
            <v>10000</v>
          </cell>
        </row>
      </sheetData>
      <sheetData sheetId="3288">
        <row r="7">
          <cell r="AI7">
            <v>10000</v>
          </cell>
        </row>
      </sheetData>
      <sheetData sheetId="3289">
        <row r="7">
          <cell r="AI7">
            <v>10000</v>
          </cell>
        </row>
      </sheetData>
      <sheetData sheetId="3290">
        <row r="7">
          <cell r="AI7">
            <v>10000</v>
          </cell>
        </row>
      </sheetData>
      <sheetData sheetId="3291">
        <row r="7">
          <cell r="AI7">
            <v>10000</v>
          </cell>
        </row>
      </sheetData>
      <sheetData sheetId="3292">
        <row r="7">
          <cell r="AI7">
            <v>10000</v>
          </cell>
        </row>
      </sheetData>
      <sheetData sheetId="3293">
        <row r="7">
          <cell r="AI7">
            <v>10000</v>
          </cell>
        </row>
      </sheetData>
      <sheetData sheetId="3294">
        <row r="7">
          <cell r="AI7">
            <v>10000</v>
          </cell>
        </row>
      </sheetData>
      <sheetData sheetId="3295">
        <row r="7">
          <cell r="AI7">
            <v>10000</v>
          </cell>
        </row>
      </sheetData>
      <sheetData sheetId="3296">
        <row r="7">
          <cell r="AI7">
            <v>10000</v>
          </cell>
        </row>
      </sheetData>
      <sheetData sheetId="3297">
        <row r="7">
          <cell r="AI7">
            <v>10000</v>
          </cell>
        </row>
      </sheetData>
      <sheetData sheetId="3298">
        <row r="7">
          <cell r="AI7">
            <v>10000</v>
          </cell>
        </row>
      </sheetData>
      <sheetData sheetId="3299">
        <row r="7">
          <cell r="AI7">
            <v>10000</v>
          </cell>
        </row>
      </sheetData>
      <sheetData sheetId="3300">
        <row r="7">
          <cell r="AI7">
            <v>10000</v>
          </cell>
        </row>
      </sheetData>
      <sheetData sheetId="3301">
        <row r="7">
          <cell r="AI7">
            <v>10000</v>
          </cell>
        </row>
      </sheetData>
      <sheetData sheetId="3302">
        <row r="7">
          <cell r="AI7">
            <v>10000</v>
          </cell>
        </row>
      </sheetData>
      <sheetData sheetId="3303">
        <row r="7">
          <cell r="AI7">
            <v>10000</v>
          </cell>
        </row>
      </sheetData>
      <sheetData sheetId="3304">
        <row r="7">
          <cell r="AI7">
            <v>10000</v>
          </cell>
        </row>
      </sheetData>
      <sheetData sheetId="3305">
        <row r="7">
          <cell r="AI7">
            <v>10000</v>
          </cell>
        </row>
      </sheetData>
      <sheetData sheetId="3306">
        <row r="7">
          <cell r="AI7">
            <v>10000</v>
          </cell>
        </row>
      </sheetData>
      <sheetData sheetId="3307">
        <row r="7">
          <cell r="AI7">
            <v>10000</v>
          </cell>
        </row>
      </sheetData>
      <sheetData sheetId="3308">
        <row r="7">
          <cell r="AI7">
            <v>10000</v>
          </cell>
        </row>
      </sheetData>
      <sheetData sheetId="3309">
        <row r="7">
          <cell r="AI7">
            <v>10000</v>
          </cell>
        </row>
      </sheetData>
      <sheetData sheetId="3310">
        <row r="7">
          <cell r="AI7">
            <v>10000</v>
          </cell>
        </row>
      </sheetData>
      <sheetData sheetId="3311">
        <row r="7">
          <cell r="AI7">
            <v>10000</v>
          </cell>
        </row>
      </sheetData>
      <sheetData sheetId="3312">
        <row r="7">
          <cell r="AI7">
            <v>10000</v>
          </cell>
        </row>
      </sheetData>
      <sheetData sheetId="3313">
        <row r="7">
          <cell r="AI7">
            <v>10000</v>
          </cell>
        </row>
      </sheetData>
      <sheetData sheetId="3314">
        <row r="7">
          <cell r="AI7">
            <v>10000</v>
          </cell>
        </row>
      </sheetData>
      <sheetData sheetId="3315">
        <row r="7">
          <cell r="AI7">
            <v>10000</v>
          </cell>
        </row>
      </sheetData>
      <sheetData sheetId="3316">
        <row r="7">
          <cell r="AI7">
            <v>10000</v>
          </cell>
        </row>
      </sheetData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/>
      <sheetData sheetId="3361" refreshError="1"/>
      <sheetData sheetId="3362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>
        <row r="7">
          <cell r="AI7">
            <v>10000</v>
          </cell>
        </row>
      </sheetData>
      <sheetData sheetId="3399">
        <row r="7">
          <cell r="AI7">
            <v>10000</v>
          </cell>
        </row>
      </sheetData>
      <sheetData sheetId="3400">
        <row r="7">
          <cell r="AI7">
            <v>10000</v>
          </cell>
        </row>
      </sheetData>
      <sheetData sheetId="3401">
        <row r="7">
          <cell r="AI7">
            <v>10000</v>
          </cell>
        </row>
      </sheetData>
      <sheetData sheetId="3402">
        <row r="7">
          <cell r="AI7">
            <v>10000</v>
          </cell>
        </row>
      </sheetData>
      <sheetData sheetId="3403">
        <row r="7">
          <cell r="AI7">
            <v>10000</v>
          </cell>
        </row>
      </sheetData>
      <sheetData sheetId="3404">
        <row r="7">
          <cell r="AI7">
            <v>10000</v>
          </cell>
        </row>
      </sheetData>
      <sheetData sheetId="3405">
        <row r="7">
          <cell r="AI7">
            <v>10000</v>
          </cell>
        </row>
      </sheetData>
      <sheetData sheetId="3406">
        <row r="7">
          <cell r="AI7">
            <v>10000</v>
          </cell>
        </row>
      </sheetData>
      <sheetData sheetId="3407">
        <row r="7">
          <cell r="AI7">
            <v>10000</v>
          </cell>
        </row>
      </sheetData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>
        <row r="7">
          <cell r="AI7">
            <v>10000</v>
          </cell>
        </row>
      </sheetData>
      <sheetData sheetId="3415">
        <row r="7">
          <cell r="AI7">
            <v>10000</v>
          </cell>
        </row>
      </sheetData>
      <sheetData sheetId="3416">
        <row r="7">
          <cell r="AI7">
            <v>10000</v>
          </cell>
        </row>
      </sheetData>
      <sheetData sheetId="3417">
        <row r="7">
          <cell r="AI7">
            <v>10000</v>
          </cell>
        </row>
      </sheetData>
      <sheetData sheetId="3418">
        <row r="7">
          <cell r="AI7">
            <v>10000</v>
          </cell>
        </row>
      </sheetData>
      <sheetData sheetId="3419">
        <row r="7">
          <cell r="AI7">
            <v>10000</v>
          </cell>
        </row>
      </sheetData>
      <sheetData sheetId="3420">
        <row r="7">
          <cell r="AI7">
            <v>10000</v>
          </cell>
        </row>
      </sheetData>
      <sheetData sheetId="3421">
        <row r="7">
          <cell r="AI7">
            <v>10000</v>
          </cell>
        </row>
      </sheetData>
      <sheetData sheetId="3422">
        <row r="7">
          <cell r="AI7">
            <v>10000</v>
          </cell>
        </row>
      </sheetData>
      <sheetData sheetId="3423">
        <row r="7">
          <cell r="AI7">
            <v>10000</v>
          </cell>
        </row>
      </sheetData>
      <sheetData sheetId="3424">
        <row r="7">
          <cell r="AI7">
            <v>10000</v>
          </cell>
        </row>
      </sheetData>
      <sheetData sheetId="3425">
        <row r="7">
          <cell r="AI7">
            <v>10000</v>
          </cell>
        </row>
      </sheetData>
      <sheetData sheetId="3426">
        <row r="7">
          <cell r="AI7">
            <v>10000</v>
          </cell>
        </row>
      </sheetData>
      <sheetData sheetId="3427" refreshError="1"/>
      <sheetData sheetId="3428" refreshError="1"/>
      <sheetData sheetId="3429" refreshError="1"/>
      <sheetData sheetId="3430">
        <row r="7">
          <cell r="AI7">
            <v>10000</v>
          </cell>
        </row>
      </sheetData>
      <sheetData sheetId="3431" refreshError="1"/>
      <sheetData sheetId="3432">
        <row r="7">
          <cell r="AI7">
            <v>10000</v>
          </cell>
        </row>
      </sheetData>
      <sheetData sheetId="3433">
        <row r="7">
          <cell r="AI7">
            <v>10000</v>
          </cell>
        </row>
      </sheetData>
      <sheetData sheetId="3434">
        <row r="7">
          <cell r="AI7">
            <v>10000</v>
          </cell>
        </row>
      </sheetData>
      <sheetData sheetId="3435">
        <row r="7">
          <cell r="AI7">
            <v>10000</v>
          </cell>
        </row>
      </sheetData>
      <sheetData sheetId="3436">
        <row r="7">
          <cell r="AI7">
            <v>10000</v>
          </cell>
        </row>
      </sheetData>
      <sheetData sheetId="3437">
        <row r="7">
          <cell r="AI7">
            <v>10000</v>
          </cell>
        </row>
      </sheetData>
      <sheetData sheetId="3438">
        <row r="7">
          <cell r="AI7">
            <v>10000</v>
          </cell>
        </row>
      </sheetData>
      <sheetData sheetId="3439">
        <row r="7">
          <cell r="AI7">
            <v>10000</v>
          </cell>
        </row>
      </sheetData>
      <sheetData sheetId="3440">
        <row r="7">
          <cell r="AI7">
            <v>10000</v>
          </cell>
        </row>
      </sheetData>
      <sheetData sheetId="3441">
        <row r="7">
          <cell r="AI7">
            <v>10000</v>
          </cell>
        </row>
      </sheetData>
      <sheetData sheetId="3442">
        <row r="7">
          <cell r="AI7">
            <v>10000</v>
          </cell>
        </row>
      </sheetData>
      <sheetData sheetId="3443">
        <row r="7">
          <cell r="AI7">
            <v>10000</v>
          </cell>
        </row>
      </sheetData>
      <sheetData sheetId="3444">
        <row r="7">
          <cell r="AI7">
            <v>10000</v>
          </cell>
        </row>
      </sheetData>
      <sheetData sheetId="3445">
        <row r="7">
          <cell r="AI7">
            <v>10000</v>
          </cell>
        </row>
      </sheetData>
      <sheetData sheetId="3446">
        <row r="7">
          <cell r="AI7">
            <v>10000</v>
          </cell>
        </row>
      </sheetData>
      <sheetData sheetId="3447">
        <row r="7">
          <cell r="AI7">
            <v>10000</v>
          </cell>
        </row>
      </sheetData>
      <sheetData sheetId="3448">
        <row r="7">
          <cell r="AI7">
            <v>10000</v>
          </cell>
        </row>
      </sheetData>
      <sheetData sheetId="3449">
        <row r="7">
          <cell r="AI7">
            <v>10000</v>
          </cell>
        </row>
      </sheetData>
      <sheetData sheetId="3450">
        <row r="7">
          <cell r="AI7">
            <v>10000</v>
          </cell>
        </row>
      </sheetData>
      <sheetData sheetId="3451">
        <row r="7">
          <cell r="AI7">
            <v>10000</v>
          </cell>
        </row>
      </sheetData>
      <sheetData sheetId="3452">
        <row r="7">
          <cell r="AI7">
            <v>10000</v>
          </cell>
        </row>
      </sheetData>
      <sheetData sheetId="3453">
        <row r="7">
          <cell r="AI7">
            <v>10000</v>
          </cell>
        </row>
      </sheetData>
      <sheetData sheetId="3454">
        <row r="7">
          <cell r="AI7">
            <v>10000</v>
          </cell>
        </row>
      </sheetData>
      <sheetData sheetId="3455">
        <row r="7">
          <cell r="AI7">
            <v>10000</v>
          </cell>
        </row>
      </sheetData>
      <sheetData sheetId="3456">
        <row r="7">
          <cell r="AI7">
            <v>10000</v>
          </cell>
        </row>
      </sheetData>
      <sheetData sheetId="3457">
        <row r="7">
          <cell r="AI7">
            <v>10000</v>
          </cell>
        </row>
      </sheetData>
      <sheetData sheetId="3458">
        <row r="7">
          <cell r="AI7">
            <v>10000</v>
          </cell>
        </row>
      </sheetData>
      <sheetData sheetId="3459">
        <row r="7">
          <cell r="AI7">
            <v>10000</v>
          </cell>
        </row>
      </sheetData>
      <sheetData sheetId="3460">
        <row r="7">
          <cell r="AI7">
            <v>10000</v>
          </cell>
        </row>
      </sheetData>
      <sheetData sheetId="3461">
        <row r="7">
          <cell r="AI7">
            <v>10000</v>
          </cell>
        </row>
      </sheetData>
      <sheetData sheetId="3462">
        <row r="7">
          <cell r="AI7">
            <v>10000</v>
          </cell>
        </row>
      </sheetData>
      <sheetData sheetId="3463">
        <row r="7">
          <cell r="AI7">
            <v>10000</v>
          </cell>
        </row>
      </sheetData>
      <sheetData sheetId="3464">
        <row r="7">
          <cell r="AI7">
            <v>10000</v>
          </cell>
        </row>
      </sheetData>
      <sheetData sheetId="3465">
        <row r="7">
          <cell r="AI7">
            <v>10000</v>
          </cell>
        </row>
      </sheetData>
      <sheetData sheetId="3466">
        <row r="7">
          <cell r="AI7">
            <v>10000</v>
          </cell>
        </row>
      </sheetData>
      <sheetData sheetId="3467">
        <row r="7">
          <cell r="AI7">
            <v>10000</v>
          </cell>
        </row>
      </sheetData>
      <sheetData sheetId="3468">
        <row r="7">
          <cell r="AI7">
            <v>10000</v>
          </cell>
        </row>
      </sheetData>
      <sheetData sheetId="3469">
        <row r="7">
          <cell r="AI7">
            <v>10000</v>
          </cell>
        </row>
      </sheetData>
      <sheetData sheetId="3470">
        <row r="7">
          <cell r="AI7">
            <v>10000</v>
          </cell>
        </row>
      </sheetData>
      <sheetData sheetId="3471">
        <row r="7">
          <cell r="AI7">
            <v>10000</v>
          </cell>
        </row>
      </sheetData>
      <sheetData sheetId="3472">
        <row r="7">
          <cell r="AI7">
            <v>10000</v>
          </cell>
        </row>
      </sheetData>
      <sheetData sheetId="3473">
        <row r="7">
          <cell r="AI7">
            <v>10000</v>
          </cell>
        </row>
      </sheetData>
      <sheetData sheetId="3474">
        <row r="7">
          <cell r="AI7">
            <v>10000</v>
          </cell>
        </row>
      </sheetData>
      <sheetData sheetId="3475">
        <row r="7">
          <cell r="AI7">
            <v>10000</v>
          </cell>
        </row>
      </sheetData>
      <sheetData sheetId="3476">
        <row r="7">
          <cell r="AI7">
            <v>10000</v>
          </cell>
        </row>
      </sheetData>
      <sheetData sheetId="3477">
        <row r="7">
          <cell r="AI7">
            <v>10000</v>
          </cell>
        </row>
      </sheetData>
      <sheetData sheetId="3478">
        <row r="7">
          <cell r="AI7">
            <v>10000</v>
          </cell>
        </row>
      </sheetData>
      <sheetData sheetId="3479">
        <row r="7">
          <cell r="AI7">
            <v>10000</v>
          </cell>
        </row>
      </sheetData>
      <sheetData sheetId="3480">
        <row r="7">
          <cell r="AI7">
            <v>10000</v>
          </cell>
        </row>
      </sheetData>
      <sheetData sheetId="3481">
        <row r="7">
          <cell r="AI7">
            <v>10000</v>
          </cell>
        </row>
      </sheetData>
      <sheetData sheetId="3482">
        <row r="7">
          <cell r="AI7">
            <v>10000</v>
          </cell>
        </row>
      </sheetData>
      <sheetData sheetId="3483">
        <row r="7">
          <cell r="AI7">
            <v>10000</v>
          </cell>
        </row>
      </sheetData>
      <sheetData sheetId="3484">
        <row r="7">
          <cell r="AI7">
            <v>10000</v>
          </cell>
        </row>
      </sheetData>
      <sheetData sheetId="3485">
        <row r="7">
          <cell r="AI7">
            <v>10000</v>
          </cell>
        </row>
      </sheetData>
      <sheetData sheetId="3486">
        <row r="7">
          <cell r="AI7">
            <v>10000</v>
          </cell>
        </row>
      </sheetData>
      <sheetData sheetId="3487">
        <row r="7">
          <cell r="AI7">
            <v>10000</v>
          </cell>
        </row>
      </sheetData>
      <sheetData sheetId="3488">
        <row r="7">
          <cell r="AI7">
            <v>10000</v>
          </cell>
        </row>
      </sheetData>
      <sheetData sheetId="3489">
        <row r="7">
          <cell r="AI7">
            <v>10000</v>
          </cell>
        </row>
      </sheetData>
      <sheetData sheetId="3490">
        <row r="7">
          <cell r="AI7">
            <v>10000</v>
          </cell>
        </row>
      </sheetData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>
        <row r="7">
          <cell r="AI7">
            <v>10000</v>
          </cell>
        </row>
      </sheetData>
      <sheetData sheetId="3504">
        <row r="7">
          <cell r="AI7">
            <v>10000</v>
          </cell>
        </row>
      </sheetData>
      <sheetData sheetId="3505">
        <row r="7">
          <cell r="AI7">
            <v>10000</v>
          </cell>
        </row>
      </sheetData>
      <sheetData sheetId="3506" refreshError="1"/>
      <sheetData sheetId="3507">
        <row r="7">
          <cell r="AI7">
            <v>10000</v>
          </cell>
        </row>
      </sheetData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>
        <row r="7">
          <cell r="AI7">
            <v>10000</v>
          </cell>
        </row>
      </sheetData>
      <sheetData sheetId="3515">
        <row r="7">
          <cell r="AI7">
            <v>10000</v>
          </cell>
        </row>
      </sheetData>
      <sheetData sheetId="3516">
        <row r="7">
          <cell r="AI7">
            <v>10000</v>
          </cell>
        </row>
      </sheetData>
      <sheetData sheetId="3517">
        <row r="7">
          <cell r="AI7">
            <v>10000</v>
          </cell>
        </row>
      </sheetData>
      <sheetData sheetId="3518">
        <row r="7">
          <cell r="AI7">
            <v>10000</v>
          </cell>
        </row>
      </sheetData>
      <sheetData sheetId="3519">
        <row r="7">
          <cell r="AI7">
            <v>10000</v>
          </cell>
        </row>
      </sheetData>
      <sheetData sheetId="3520">
        <row r="7">
          <cell r="AI7">
            <v>10000</v>
          </cell>
        </row>
      </sheetData>
      <sheetData sheetId="3521">
        <row r="7">
          <cell r="AI7">
            <v>10000</v>
          </cell>
        </row>
      </sheetData>
      <sheetData sheetId="3522">
        <row r="7">
          <cell r="AI7">
            <v>10000</v>
          </cell>
        </row>
      </sheetData>
      <sheetData sheetId="3523">
        <row r="7">
          <cell r="AI7">
            <v>10000</v>
          </cell>
        </row>
      </sheetData>
      <sheetData sheetId="3524">
        <row r="7">
          <cell r="AI7">
            <v>10000</v>
          </cell>
        </row>
      </sheetData>
      <sheetData sheetId="3525">
        <row r="7">
          <cell r="AI7">
            <v>10000</v>
          </cell>
        </row>
      </sheetData>
      <sheetData sheetId="3526">
        <row r="7">
          <cell r="AI7">
            <v>10000</v>
          </cell>
        </row>
      </sheetData>
      <sheetData sheetId="3527">
        <row r="7">
          <cell r="AI7">
            <v>10000</v>
          </cell>
        </row>
      </sheetData>
      <sheetData sheetId="3528">
        <row r="7">
          <cell r="AI7">
            <v>10000</v>
          </cell>
        </row>
      </sheetData>
      <sheetData sheetId="3529">
        <row r="7">
          <cell r="AI7">
            <v>10000</v>
          </cell>
        </row>
      </sheetData>
      <sheetData sheetId="3530">
        <row r="7">
          <cell r="AI7">
            <v>10000</v>
          </cell>
        </row>
      </sheetData>
      <sheetData sheetId="3531">
        <row r="7">
          <cell r="AI7">
            <v>10000</v>
          </cell>
        </row>
      </sheetData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>
        <row r="7">
          <cell r="AI7">
            <v>10000</v>
          </cell>
        </row>
      </sheetData>
      <sheetData sheetId="3546">
        <row r="7">
          <cell r="AI7">
            <v>10000</v>
          </cell>
        </row>
      </sheetData>
      <sheetData sheetId="3547">
        <row r="7">
          <cell r="AI7">
            <v>10000</v>
          </cell>
        </row>
      </sheetData>
      <sheetData sheetId="3548">
        <row r="7">
          <cell r="AI7">
            <v>10000</v>
          </cell>
        </row>
      </sheetData>
      <sheetData sheetId="3549" refreshError="1"/>
      <sheetData sheetId="3550" refreshError="1"/>
      <sheetData sheetId="3551" refreshError="1"/>
      <sheetData sheetId="3552" refreshError="1"/>
      <sheetData sheetId="3553">
        <row r="7">
          <cell r="AI7">
            <v>10000</v>
          </cell>
        </row>
      </sheetData>
      <sheetData sheetId="3554">
        <row r="7">
          <cell r="AI7">
            <v>10000</v>
          </cell>
        </row>
      </sheetData>
      <sheetData sheetId="3555">
        <row r="7">
          <cell r="AI7">
            <v>10000</v>
          </cell>
        </row>
      </sheetData>
      <sheetData sheetId="3556">
        <row r="7">
          <cell r="AI7">
            <v>10000</v>
          </cell>
        </row>
      </sheetData>
      <sheetData sheetId="3557">
        <row r="7">
          <cell r="AI7">
            <v>10000</v>
          </cell>
        </row>
      </sheetData>
      <sheetData sheetId="3558">
        <row r="7">
          <cell r="AI7">
            <v>10000</v>
          </cell>
        </row>
      </sheetData>
      <sheetData sheetId="3559">
        <row r="7">
          <cell r="AI7">
            <v>10000</v>
          </cell>
        </row>
      </sheetData>
      <sheetData sheetId="3560">
        <row r="7">
          <cell r="AI7">
            <v>10000</v>
          </cell>
        </row>
      </sheetData>
      <sheetData sheetId="3561">
        <row r="7">
          <cell r="AI7">
            <v>10000</v>
          </cell>
        </row>
      </sheetData>
      <sheetData sheetId="3562">
        <row r="7">
          <cell r="AI7">
            <v>10000</v>
          </cell>
        </row>
      </sheetData>
      <sheetData sheetId="3563">
        <row r="7">
          <cell r="AI7">
            <v>10000</v>
          </cell>
        </row>
      </sheetData>
      <sheetData sheetId="3564" refreshError="1"/>
      <sheetData sheetId="3565" refreshError="1"/>
      <sheetData sheetId="3566" refreshError="1"/>
      <sheetData sheetId="3567">
        <row r="7">
          <cell r="AI7">
            <v>10000</v>
          </cell>
        </row>
      </sheetData>
      <sheetData sheetId="3568">
        <row r="7">
          <cell r="AI7">
            <v>10000</v>
          </cell>
        </row>
      </sheetData>
      <sheetData sheetId="3569">
        <row r="7">
          <cell r="AI7">
            <v>10000</v>
          </cell>
        </row>
      </sheetData>
      <sheetData sheetId="3570">
        <row r="7">
          <cell r="AI7">
            <v>10000</v>
          </cell>
        </row>
      </sheetData>
      <sheetData sheetId="3571">
        <row r="7">
          <cell r="AI7">
            <v>10000</v>
          </cell>
        </row>
      </sheetData>
      <sheetData sheetId="3572">
        <row r="7">
          <cell r="AI7">
            <v>10000</v>
          </cell>
        </row>
      </sheetData>
      <sheetData sheetId="3573">
        <row r="7">
          <cell r="AI7">
            <v>10000</v>
          </cell>
        </row>
      </sheetData>
      <sheetData sheetId="3574">
        <row r="7">
          <cell r="AI7">
            <v>10000</v>
          </cell>
        </row>
      </sheetData>
      <sheetData sheetId="3575">
        <row r="7">
          <cell r="AI7">
            <v>10000</v>
          </cell>
        </row>
      </sheetData>
      <sheetData sheetId="3576">
        <row r="7">
          <cell r="AI7">
            <v>10000</v>
          </cell>
        </row>
      </sheetData>
      <sheetData sheetId="3577">
        <row r="7">
          <cell r="AI7">
            <v>10000</v>
          </cell>
        </row>
      </sheetData>
      <sheetData sheetId="3578">
        <row r="7">
          <cell r="AI7">
            <v>10000</v>
          </cell>
        </row>
      </sheetData>
      <sheetData sheetId="3579">
        <row r="7">
          <cell r="AI7">
            <v>10000</v>
          </cell>
        </row>
      </sheetData>
      <sheetData sheetId="3580">
        <row r="7">
          <cell r="AI7">
            <v>10000</v>
          </cell>
        </row>
      </sheetData>
      <sheetData sheetId="3581">
        <row r="7">
          <cell r="AI7">
            <v>10000</v>
          </cell>
        </row>
      </sheetData>
      <sheetData sheetId="3582">
        <row r="7">
          <cell r="AI7">
            <v>10000</v>
          </cell>
        </row>
      </sheetData>
      <sheetData sheetId="3583">
        <row r="7">
          <cell r="AI7">
            <v>10000</v>
          </cell>
        </row>
      </sheetData>
      <sheetData sheetId="3584">
        <row r="7">
          <cell r="AI7">
            <v>10000</v>
          </cell>
        </row>
      </sheetData>
      <sheetData sheetId="3585">
        <row r="7">
          <cell r="AI7">
            <v>10000</v>
          </cell>
        </row>
      </sheetData>
      <sheetData sheetId="3586">
        <row r="7">
          <cell r="AI7">
            <v>10000</v>
          </cell>
        </row>
      </sheetData>
      <sheetData sheetId="3587">
        <row r="7">
          <cell r="AI7">
            <v>10000</v>
          </cell>
        </row>
      </sheetData>
      <sheetData sheetId="3588">
        <row r="7">
          <cell r="AI7">
            <v>10000</v>
          </cell>
        </row>
      </sheetData>
      <sheetData sheetId="3589">
        <row r="7">
          <cell r="AI7">
            <v>10000</v>
          </cell>
        </row>
      </sheetData>
      <sheetData sheetId="3590">
        <row r="7">
          <cell r="AI7">
            <v>10000</v>
          </cell>
        </row>
      </sheetData>
      <sheetData sheetId="3591">
        <row r="7">
          <cell r="AI7">
            <v>10000</v>
          </cell>
        </row>
      </sheetData>
      <sheetData sheetId="3592">
        <row r="7">
          <cell r="AI7">
            <v>10000</v>
          </cell>
        </row>
      </sheetData>
      <sheetData sheetId="3593">
        <row r="7">
          <cell r="AI7">
            <v>10000</v>
          </cell>
        </row>
      </sheetData>
      <sheetData sheetId="3594">
        <row r="7">
          <cell r="AI7">
            <v>10000</v>
          </cell>
        </row>
      </sheetData>
      <sheetData sheetId="3595">
        <row r="7">
          <cell r="AI7">
            <v>10000</v>
          </cell>
        </row>
      </sheetData>
      <sheetData sheetId="3596">
        <row r="7">
          <cell r="AI7">
            <v>10000</v>
          </cell>
        </row>
      </sheetData>
      <sheetData sheetId="3597">
        <row r="7">
          <cell r="AI7">
            <v>10000</v>
          </cell>
        </row>
      </sheetData>
      <sheetData sheetId="3598" refreshError="1"/>
      <sheetData sheetId="3599">
        <row r="7">
          <cell r="AI7">
            <v>10000</v>
          </cell>
        </row>
      </sheetData>
      <sheetData sheetId="3600">
        <row r="7">
          <cell r="AI7">
            <v>10000</v>
          </cell>
        </row>
      </sheetData>
      <sheetData sheetId="3601">
        <row r="7">
          <cell r="AI7">
            <v>10000</v>
          </cell>
        </row>
      </sheetData>
      <sheetData sheetId="3602">
        <row r="7">
          <cell r="AI7">
            <v>10000</v>
          </cell>
        </row>
      </sheetData>
      <sheetData sheetId="3603">
        <row r="7">
          <cell r="AI7">
            <v>10000</v>
          </cell>
        </row>
      </sheetData>
      <sheetData sheetId="3604">
        <row r="7">
          <cell r="AI7">
            <v>10000</v>
          </cell>
        </row>
      </sheetData>
      <sheetData sheetId="3605">
        <row r="7">
          <cell r="AI7">
            <v>10000</v>
          </cell>
        </row>
      </sheetData>
      <sheetData sheetId="3606">
        <row r="7">
          <cell r="AI7">
            <v>10000</v>
          </cell>
        </row>
      </sheetData>
      <sheetData sheetId="3607">
        <row r="7">
          <cell r="AI7">
            <v>10000</v>
          </cell>
        </row>
      </sheetData>
      <sheetData sheetId="3608">
        <row r="7">
          <cell r="AI7">
            <v>10000</v>
          </cell>
        </row>
      </sheetData>
      <sheetData sheetId="3609">
        <row r="7">
          <cell r="AI7">
            <v>10000</v>
          </cell>
        </row>
      </sheetData>
      <sheetData sheetId="3610">
        <row r="7">
          <cell r="AI7">
            <v>10000</v>
          </cell>
        </row>
      </sheetData>
      <sheetData sheetId="3611">
        <row r="7">
          <cell r="AI7">
            <v>10000</v>
          </cell>
        </row>
      </sheetData>
      <sheetData sheetId="3612">
        <row r="7">
          <cell r="AI7">
            <v>10000</v>
          </cell>
        </row>
      </sheetData>
      <sheetData sheetId="3613">
        <row r="7">
          <cell r="AI7">
            <v>10000</v>
          </cell>
        </row>
      </sheetData>
      <sheetData sheetId="3614">
        <row r="7">
          <cell r="AI7">
            <v>10000</v>
          </cell>
        </row>
      </sheetData>
      <sheetData sheetId="3615">
        <row r="7">
          <cell r="AI7">
            <v>10000</v>
          </cell>
        </row>
      </sheetData>
      <sheetData sheetId="3616">
        <row r="7">
          <cell r="AI7">
            <v>10000</v>
          </cell>
        </row>
      </sheetData>
      <sheetData sheetId="3617">
        <row r="7">
          <cell r="AI7">
            <v>10000</v>
          </cell>
        </row>
      </sheetData>
      <sheetData sheetId="3618">
        <row r="7">
          <cell r="AI7">
            <v>10000</v>
          </cell>
        </row>
      </sheetData>
      <sheetData sheetId="3619">
        <row r="7">
          <cell r="AI7">
            <v>10000</v>
          </cell>
        </row>
      </sheetData>
      <sheetData sheetId="3620">
        <row r="7">
          <cell r="AI7">
            <v>10000</v>
          </cell>
        </row>
      </sheetData>
      <sheetData sheetId="3621">
        <row r="7">
          <cell r="AI7">
            <v>10000</v>
          </cell>
        </row>
      </sheetData>
      <sheetData sheetId="3622">
        <row r="7">
          <cell r="AI7">
            <v>10000</v>
          </cell>
        </row>
      </sheetData>
      <sheetData sheetId="3623">
        <row r="7">
          <cell r="AI7">
            <v>10000</v>
          </cell>
        </row>
      </sheetData>
      <sheetData sheetId="3624">
        <row r="7">
          <cell r="AI7">
            <v>10000</v>
          </cell>
        </row>
      </sheetData>
      <sheetData sheetId="3625">
        <row r="7">
          <cell r="AI7">
            <v>10000</v>
          </cell>
        </row>
      </sheetData>
      <sheetData sheetId="3626">
        <row r="7">
          <cell r="AI7">
            <v>10000</v>
          </cell>
        </row>
      </sheetData>
      <sheetData sheetId="3627">
        <row r="7">
          <cell r="AI7">
            <v>10000</v>
          </cell>
        </row>
      </sheetData>
      <sheetData sheetId="3628">
        <row r="7">
          <cell r="AI7">
            <v>10000</v>
          </cell>
        </row>
      </sheetData>
      <sheetData sheetId="3629">
        <row r="7">
          <cell r="AI7">
            <v>10000</v>
          </cell>
        </row>
      </sheetData>
      <sheetData sheetId="3630">
        <row r="7">
          <cell r="AI7">
            <v>10000</v>
          </cell>
        </row>
      </sheetData>
      <sheetData sheetId="3631">
        <row r="7">
          <cell r="AI7">
            <v>10000</v>
          </cell>
        </row>
      </sheetData>
      <sheetData sheetId="3632">
        <row r="7">
          <cell r="AI7">
            <v>10000</v>
          </cell>
        </row>
      </sheetData>
      <sheetData sheetId="3633">
        <row r="7">
          <cell r="AI7">
            <v>10000</v>
          </cell>
        </row>
      </sheetData>
      <sheetData sheetId="3634">
        <row r="7">
          <cell r="AI7">
            <v>10000</v>
          </cell>
        </row>
      </sheetData>
      <sheetData sheetId="3635">
        <row r="7">
          <cell r="AI7">
            <v>10000</v>
          </cell>
        </row>
      </sheetData>
      <sheetData sheetId="3636">
        <row r="7">
          <cell r="AI7">
            <v>10000</v>
          </cell>
        </row>
      </sheetData>
      <sheetData sheetId="3637">
        <row r="7">
          <cell r="AI7">
            <v>10000</v>
          </cell>
        </row>
      </sheetData>
      <sheetData sheetId="3638">
        <row r="7">
          <cell r="AI7">
            <v>10000</v>
          </cell>
        </row>
      </sheetData>
      <sheetData sheetId="3639">
        <row r="7">
          <cell r="AI7">
            <v>10000</v>
          </cell>
        </row>
      </sheetData>
      <sheetData sheetId="3640">
        <row r="7">
          <cell r="AI7">
            <v>10000</v>
          </cell>
        </row>
      </sheetData>
      <sheetData sheetId="3641">
        <row r="7">
          <cell r="AI7">
            <v>10000</v>
          </cell>
        </row>
      </sheetData>
      <sheetData sheetId="3642">
        <row r="7">
          <cell r="AI7">
            <v>10000</v>
          </cell>
        </row>
      </sheetData>
      <sheetData sheetId="3643">
        <row r="7">
          <cell r="AI7">
            <v>10000</v>
          </cell>
        </row>
      </sheetData>
      <sheetData sheetId="3644">
        <row r="7">
          <cell r="AI7">
            <v>10000</v>
          </cell>
        </row>
      </sheetData>
      <sheetData sheetId="3645">
        <row r="7">
          <cell r="AI7">
            <v>10000</v>
          </cell>
        </row>
      </sheetData>
      <sheetData sheetId="3646" refreshError="1"/>
      <sheetData sheetId="3647">
        <row r="7">
          <cell r="AI7">
            <v>10000</v>
          </cell>
        </row>
      </sheetData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>
        <row r="7">
          <cell r="AI7">
            <v>10000</v>
          </cell>
        </row>
      </sheetData>
      <sheetData sheetId="3654">
        <row r="7">
          <cell r="AI7">
            <v>10000</v>
          </cell>
        </row>
      </sheetData>
      <sheetData sheetId="3655">
        <row r="7">
          <cell r="AI7">
            <v>10000</v>
          </cell>
        </row>
      </sheetData>
      <sheetData sheetId="3656" refreshError="1"/>
      <sheetData sheetId="3657">
        <row r="7">
          <cell r="AI7">
            <v>10000</v>
          </cell>
        </row>
      </sheetData>
      <sheetData sheetId="3658">
        <row r="7">
          <cell r="AI7">
            <v>10000</v>
          </cell>
        </row>
      </sheetData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>
        <row r="7">
          <cell r="AI7">
            <v>10000</v>
          </cell>
        </row>
      </sheetData>
      <sheetData sheetId="3672" refreshError="1"/>
      <sheetData sheetId="3673" refreshError="1"/>
      <sheetData sheetId="3674" refreshError="1"/>
      <sheetData sheetId="3675">
        <row r="7">
          <cell r="AI7">
            <v>10000</v>
          </cell>
        </row>
      </sheetData>
      <sheetData sheetId="3676">
        <row r="7">
          <cell r="AI7">
            <v>10000</v>
          </cell>
        </row>
      </sheetData>
      <sheetData sheetId="3677" refreshError="1"/>
      <sheetData sheetId="3678">
        <row r="7">
          <cell r="AI7">
            <v>10000</v>
          </cell>
        </row>
      </sheetData>
      <sheetData sheetId="3679">
        <row r="7">
          <cell r="AI7">
            <v>10000</v>
          </cell>
        </row>
      </sheetData>
      <sheetData sheetId="3680">
        <row r="7">
          <cell r="AI7">
            <v>10000</v>
          </cell>
        </row>
      </sheetData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>
        <row r="7">
          <cell r="AI7">
            <v>10000</v>
          </cell>
        </row>
      </sheetData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>
        <row r="7">
          <cell r="AI7">
            <v>10000</v>
          </cell>
        </row>
      </sheetData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>
        <row r="7">
          <cell r="AI7">
            <v>10000</v>
          </cell>
        </row>
      </sheetData>
      <sheetData sheetId="3731">
        <row r="7">
          <cell r="AI7">
            <v>10000</v>
          </cell>
        </row>
      </sheetData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>
        <row r="7">
          <cell r="AI7">
            <v>10000</v>
          </cell>
        </row>
      </sheetData>
      <sheetData sheetId="3774">
        <row r="7">
          <cell r="AI7">
            <v>10000</v>
          </cell>
        </row>
      </sheetData>
      <sheetData sheetId="3775" refreshError="1"/>
      <sheetData sheetId="3776">
        <row r="7">
          <cell r="AI7">
            <v>10000</v>
          </cell>
        </row>
      </sheetData>
      <sheetData sheetId="3777">
        <row r="7">
          <cell r="AI7">
            <v>10000</v>
          </cell>
        </row>
      </sheetData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>
        <row r="7">
          <cell r="AI7">
            <v>10000</v>
          </cell>
        </row>
      </sheetData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>
        <row r="7">
          <cell r="AI7">
            <v>10000</v>
          </cell>
        </row>
      </sheetData>
      <sheetData sheetId="3831">
        <row r="7">
          <cell r="AI7">
            <v>10000</v>
          </cell>
        </row>
      </sheetData>
      <sheetData sheetId="3832">
        <row r="7">
          <cell r="AI7">
            <v>10000</v>
          </cell>
        </row>
      </sheetData>
      <sheetData sheetId="3833">
        <row r="7">
          <cell r="AI7">
            <v>10000</v>
          </cell>
        </row>
      </sheetData>
      <sheetData sheetId="3834">
        <row r="7">
          <cell r="AI7">
            <v>10000</v>
          </cell>
        </row>
      </sheetData>
      <sheetData sheetId="3835">
        <row r="7">
          <cell r="AI7">
            <v>10000</v>
          </cell>
        </row>
      </sheetData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>
        <row r="7">
          <cell r="AI7">
            <v>10000</v>
          </cell>
        </row>
      </sheetData>
      <sheetData sheetId="3844">
        <row r="7">
          <cell r="AI7">
            <v>10000</v>
          </cell>
        </row>
      </sheetData>
      <sheetData sheetId="3845">
        <row r="7">
          <cell r="AI7">
            <v>10000</v>
          </cell>
        </row>
      </sheetData>
      <sheetData sheetId="3846">
        <row r="7">
          <cell r="AI7">
            <v>10000</v>
          </cell>
        </row>
      </sheetData>
      <sheetData sheetId="3847">
        <row r="7">
          <cell r="AI7">
            <v>10000</v>
          </cell>
        </row>
      </sheetData>
      <sheetData sheetId="3848">
        <row r="7">
          <cell r="AI7">
            <v>10000</v>
          </cell>
        </row>
      </sheetData>
      <sheetData sheetId="3849">
        <row r="7">
          <cell r="AI7">
            <v>10000</v>
          </cell>
        </row>
      </sheetData>
      <sheetData sheetId="3850">
        <row r="7">
          <cell r="AI7">
            <v>10000</v>
          </cell>
        </row>
      </sheetData>
      <sheetData sheetId="3851">
        <row r="7">
          <cell r="AI7">
            <v>10000</v>
          </cell>
        </row>
      </sheetData>
      <sheetData sheetId="3852">
        <row r="7">
          <cell r="AI7">
            <v>10000</v>
          </cell>
        </row>
      </sheetData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>
        <row r="7">
          <cell r="AI7">
            <v>10000</v>
          </cell>
        </row>
      </sheetData>
      <sheetData sheetId="3873">
        <row r="7">
          <cell r="AI7">
            <v>10000</v>
          </cell>
        </row>
      </sheetData>
      <sheetData sheetId="3874">
        <row r="7">
          <cell r="AI7">
            <v>10000</v>
          </cell>
        </row>
      </sheetData>
      <sheetData sheetId="3875">
        <row r="7">
          <cell r="AI7">
            <v>10000</v>
          </cell>
        </row>
      </sheetData>
      <sheetData sheetId="3876">
        <row r="7">
          <cell r="AI7">
            <v>10000</v>
          </cell>
        </row>
      </sheetData>
      <sheetData sheetId="3877">
        <row r="7">
          <cell r="AI7">
            <v>10000</v>
          </cell>
        </row>
      </sheetData>
      <sheetData sheetId="3878">
        <row r="7">
          <cell r="AI7">
            <v>10000</v>
          </cell>
        </row>
      </sheetData>
      <sheetData sheetId="3879">
        <row r="7">
          <cell r="AI7">
            <v>10000</v>
          </cell>
        </row>
      </sheetData>
      <sheetData sheetId="3880">
        <row r="7">
          <cell r="AI7">
            <v>10000</v>
          </cell>
        </row>
      </sheetData>
      <sheetData sheetId="3881">
        <row r="7">
          <cell r="AI7">
            <v>10000</v>
          </cell>
        </row>
      </sheetData>
      <sheetData sheetId="3882">
        <row r="7">
          <cell r="AI7">
            <v>10000</v>
          </cell>
        </row>
      </sheetData>
      <sheetData sheetId="3883">
        <row r="7">
          <cell r="AI7">
            <v>10000</v>
          </cell>
        </row>
      </sheetData>
      <sheetData sheetId="3884">
        <row r="7">
          <cell r="AI7">
            <v>10000</v>
          </cell>
        </row>
      </sheetData>
      <sheetData sheetId="3885">
        <row r="7">
          <cell r="AI7">
            <v>10000</v>
          </cell>
        </row>
      </sheetData>
      <sheetData sheetId="3886">
        <row r="7">
          <cell r="AI7">
            <v>10000</v>
          </cell>
        </row>
      </sheetData>
      <sheetData sheetId="3887">
        <row r="7">
          <cell r="AI7">
            <v>10000</v>
          </cell>
        </row>
      </sheetData>
      <sheetData sheetId="3888">
        <row r="7">
          <cell r="AI7">
            <v>10000</v>
          </cell>
        </row>
      </sheetData>
      <sheetData sheetId="3889">
        <row r="7">
          <cell r="AI7">
            <v>10000</v>
          </cell>
        </row>
      </sheetData>
      <sheetData sheetId="3890">
        <row r="7">
          <cell r="AI7">
            <v>10000</v>
          </cell>
        </row>
      </sheetData>
      <sheetData sheetId="3891">
        <row r="7">
          <cell r="AI7">
            <v>10000</v>
          </cell>
        </row>
      </sheetData>
      <sheetData sheetId="3892">
        <row r="7">
          <cell r="AI7">
            <v>10000</v>
          </cell>
        </row>
      </sheetData>
      <sheetData sheetId="3893">
        <row r="7">
          <cell r="AI7">
            <v>10000</v>
          </cell>
        </row>
      </sheetData>
      <sheetData sheetId="3894">
        <row r="7">
          <cell r="AI7">
            <v>10000</v>
          </cell>
        </row>
      </sheetData>
      <sheetData sheetId="3895">
        <row r="7">
          <cell r="AI7">
            <v>10000</v>
          </cell>
        </row>
      </sheetData>
      <sheetData sheetId="3896">
        <row r="7">
          <cell r="AI7">
            <v>10000</v>
          </cell>
        </row>
      </sheetData>
      <sheetData sheetId="3897">
        <row r="7">
          <cell r="AI7">
            <v>10000</v>
          </cell>
        </row>
      </sheetData>
      <sheetData sheetId="3898">
        <row r="7">
          <cell r="AI7">
            <v>10000</v>
          </cell>
        </row>
      </sheetData>
      <sheetData sheetId="3899">
        <row r="7">
          <cell r="AI7">
            <v>10000</v>
          </cell>
        </row>
      </sheetData>
      <sheetData sheetId="3900">
        <row r="7">
          <cell r="AI7">
            <v>10000</v>
          </cell>
        </row>
      </sheetData>
      <sheetData sheetId="3901">
        <row r="7">
          <cell r="AI7">
            <v>10000</v>
          </cell>
        </row>
      </sheetData>
      <sheetData sheetId="3902">
        <row r="7">
          <cell r="AI7">
            <v>10000</v>
          </cell>
        </row>
      </sheetData>
      <sheetData sheetId="3903">
        <row r="7">
          <cell r="AI7">
            <v>10000</v>
          </cell>
        </row>
      </sheetData>
      <sheetData sheetId="3904">
        <row r="7">
          <cell r="AI7">
            <v>10000</v>
          </cell>
        </row>
      </sheetData>
      <sheetData sheetId="3905">
        <row r="7">
          <cell r="AI7">
            <v>10000</v>
          </cell>
        </row>
      </sheetData>
      <sheetData sheetId="3906">
        <row r="7">
          <cell r="AI7">
            <v>10000</v>
          </cell>
        </row>
      </sheetData>
      <sheetData sheetId="3907">
        <row r="7">
          <cell r="AI7">
            <v>10000</v>
          </cell>
        </row>
      </sheetData>
      <sheetData sheetId="3908">
        <row r="7">
          <cell r="AI7">
            <v>10000</v>
          </cell>
        </row>
      </sheetData>
      <sheetData sheetId="3909">
        <row r="7">
          <cell r="AI7">
            <v>10000</v>
          </cell>
        </row>
      </sheetData>
      <sheetData sheetId="3910">
        <row r="7">
          <cell r="AI7">
            <v>10000</v>
          </cell>
        </row>
      </sheetData>
      <sheetData sheetId="3911">
        <row r="7">
          <cell r="AI7">
            <v>10000</v>
          </cell>
        </row>
      </sheetData>
      <sheetData sheetId="3912">
        <row r="7">
          <cell r="AI7">
            <v>10000</v>
          </cell>
        </row>
      </sheetData>
      <sheetData sheetId="3913">
        <row r="7">
          <cell r="AI7">
            <v>10000</v>
          </cell>
        </row>
      </sheetData>
      <sheetData sheetId="3914">
        <row r="7">
          <cell r="AI7">
            <v>10000</v>
          </cell>
        </row>
      </sheetData>
      <sheetData sheetId="3915">
        <row r="7">
          <cell r="AI7">
            <v>10000</v>
          </cell>
        </row>
      </sheetData>
      <sheetData sheetId="3916">
        <row r="7">
          <cell r="AI7">
            <v>10000</v>
          </cell>
        </row>
      </sheetData>
      <sheetData sheetId="3917">
        <row r="7">
          <cell r="AI7">
            <v>10000</v>
          </cell>
        </row>
      </sheetData>
      <sheetData sheetId="3918">
        <row r="7">
          <cell r="AI7">
            <v>10000</v>
          </cell>
        </row>
      </sheetData>
      <sheetData sheetId="3919">
        <row r="7">
          <cell r="AI7">
            <v>10000</v>
          </cell>
        </row>
      </sheetData>
      <sheetData sheetId="3920">
        <row r="7">
          <cell r="AI7">
            <v>10000</v>
          </cell>
        </row>
      </sheetData>
      <sheetData sheetId="3921">
        <row r="7">
          <cell r="AI7">
            <v>10000</v>
          </cell>
        </row>
      </sheetData>
      <sheetData sheetId="3922">
        <row r="7">
          <cell r="AI7">
            <v>10000</v>
          </cell>
        </row>
      </sheetData>
      <sheetData sheetId="3923">
        <row r="7">
          <cell r="AI7">
            <v>10000</v>
          </cell>
        </row>
      </sheetData>
      <sheetData sheetId="3924">
        <row r="7">
          <cell r="AI7">
            <v>10000</v>
          </cell>
        </row>
      </sheetData>
      <sheetData sheetId="3925">
        <row r="7">
          <cell r="AI7">
            <v>10000</v>
          </cell>
        </row>
      </sheetData>
      <sheetData sheetId="3926">
        <row r="7">
          <cell r="AI7">
            <v>10000</v>
          </cell>
        </row>
      </sheetData>
      <sheetData sheetId="3927">
        <row r="7">
          <cell r="AI7">
            <v>10000</v>
          </cell>
        </row>
      </sheetData>
      <sheetData sheetId="3928">
        <row r="7">
          <cell r="AI7">
            <v>10000</v>
          </cell>
        </row>
      </sheetData>
      <sheetData sheetId="3929">
        <row r="7">
          <cell r="AI7">
            <v>10000</v>
          </cell>
        </row>
      </sheetData>
      <sheetData sheetId="3930">
        <row r="7">
          <cell r="AI7">
            <v>10000</v>
          </cell>
        </row>
      </sheetData>
      <sheetData sheetId="3931">
        <row r="7">
          <cell r="AI7">
            <v>10000</v>
          </cell>
        </row>
      </sheetData>
      <sheetData sheetId="3932">
        <row r="7">
          <cell r="AI7">
            <v>10000</v>
          </cell>
        </row>
      </sheetData>
      <sheetData sheetId="3933">
        <row r="7">
          <cell r="AI7">
            <v>10000</v>
          </cell>
        </row>
      </sheetData>
      <sheetData sheetId="3934">
        <row r="7">
          <cell r="AI7">
            <v>10000</v>
          </cell>
        </row>
      </sheetData>
      <sheetData sheetId="3935">
        <row r="7">
          <cell r="AI7">
            <v>10000</v>
          </cell>
        </row>
      </sheetData>
      <sheetData sheetId="3936">
        <row r="7">
          <cell r="AI7">
            <v>10000</v>
          </cell>
        </row>
      </sheetData>
      <sheetData sheetId="3937">
        <row r="7">
          <cell r="AI7">
            <v>10000</v>
          </cell>
        </row>
      </sheetData>
      <sheetData sheetId="3938">
        <row r="7">
          <cell r="AI7">
            <v>10000</v>
          </cell>
        </row>
      </sheetData>
      <sheetData sheetId="3939">
        <row r="7">
          <cell r="AI7">
            <v>10000</v>
          </cell>
        </row>
      </sheetData>
      <sheetData sheetId="3940">
        <row r="7">
          <cell r="AI7">
            <v>10000</v>
          </cell>
        </row>
      </sheetData>
      <sheetData sheetId="3941">
        <row r="7">
          <cell r="AI7">
            <v>10000</v>
          </cell>
        </row>
      </sheetData>
      <sheetData sheetId="3942">
        <row r="7">
          <cell r="AI7">
            <v>10000</v>
          </cell>
        </row>
      </sheetData>
      <sheetData sheetId="3943">
        <row r="7">
          <cell r="AI7">
            <v>10000</v>
          </cell>
        </row>
      </sheetData>
      <sheetData sheetId="3944">
        <row r="7">
          <cell r="AI7">
            <v>10000</v>
          </cell>
        </row>
      </sheetData>
      <sheetData sheetId="3945">
        <row r="7">
          <cell r="AI7">
            <v>10000</v>
          </cell>
        </row>
      </sheetData>
      <sheetData sheetId="3946">
        <row r="7">
          <cell r="AI7">
            <v>10000</v>
          </cell>
        </row>
      </sheetData>
      <sheetData sheetId="3947">
        <row r="7">
          <cell r="AI7">
            <v>10000</v>
          </cell>
        </row>
      </sheetData>
      <sheetData sheetId="3948">
        <row r="7">
          <cell r="AI7">
            <v>10000</v>
          </cell>
        </row>
      </sheetData>
      <sheetData sheetId="3949">
        <row r="7">
          <cell r="AI7">
            <v>10000</v>
          </cell>
        </row>
      </sheetData>
      <sheetData sheetId="3950">
        <row r="7">
          <cell r="AI7">
            <v>10000</v>
          </cell>
        </row>
      </sheetData>
      <sheetData sheetId="3951">
        <row r="7">
          <cell r="AI7">
            <v>10000</v>
          </cell>
        </row>
      </sheetData>
      <sheetData sheetId="3952">
        <row r="7">
          <cell r="AI7">
            <v>10000</v>
          </cell>
        </row>
      </sheetData>
      <sheetData sheetId="3953">
        <row r="7">
          <cell r="AI7">
            <v>10000</v>
          </cell>
        </row>
      </sheetData>
      <sheetData sheetId="3954">
        <row r="7">
          <cell r="AI7">
            <v>10000</v>
          </cell>
        </row>
      </sheetData>
      <sheetData sheetId="3955">
        <row r="7">
          <cell r="AI7">
            <v>10000</v>
          </cell>
        </row>
      </sheetData>
      <sheetData sheetId="3956">
        <row r="7">
          <cell r="AI7">
            <v>10000</v>
          </cell>
        </row>
      </sheetData>
      <sheetData sheetId="3957">
        <row r="7">
          <cell r="AI7">
            <v>10000</v>
          </cell>
        </row>
      </sheetData>
      <sheetData sheetId="3958">
        <row r="7">
          <cell r="AI7">
            <v>10000</v>
          </cell>
        </row>
      </sheetData>
      <sheetData sheetId="3959">
        <row r="7">
          <cell r="AI7">
            <v>10000</v>
          </cell>
        </row>
      </sheetData>
      <sheetData sheetId="3960">
        <row r="7">
          <cell r="AI7">
            <v>10000</v>
          </cell>
        </row>
      </sheetData>
      <sheetData sheetId="3961">
        <row r="7">
          <cell r="AI7">
            <v>10000</v>
          </cell>
        </row>
      </sheetData>
      <sheetData sheetId="3962">
        <row r="7">
          <cell r="AI7">
            <v>10000</v>
          </cell>
        </row>
      </sheetData>
      <sheetData sheetId="3963">
        <row r="7">
          <cell r="AI7">
            <v>10000</v>
          </cell>
        </row>
      </sheetData>
      <sheetData sheetId="3964">
        <row r="7">
          <cell r="AI7">
            <v>10000</v>
          </cell>
        </row>
      </sheetData>
      <sheetData sheetId="3965">
        <row r="7">
          <cell r="AI7">
            <v>10000</v>
          </cell>
        </row>
      </sheetData>
      <sheetData sheetId="3966">
        <row r="7">
          <cell r="AI7">
            <v>10000</v>
          </cell>
        </row>
      </sheetData>
      <sheetData sheetId="3967">
        <row r="7">
          <cell r="AI7">
            <v>10000</v>
          </cell>
        </row>
      </sheetData>
      <sheetData sheetId="3968">
        <row r="7">
          <cell r="AI7">
            <v>10000</v>
          </cell>
        </row>
      </sheetData>
      <sheetData sheetId="3969">
        <row r="7">
          <cell r="AI7">
            <v>10000</v>
          </cell>
        </row>
      </sheetData>
      <sheetData sheetId="3970">
        <row r="7">
          <cell r="AI7">
            <v>10000</v>
          </cell>
        </row>
      </sheetData>
      <sheetData sheetId="3971">
        <row r="7">
          <cell r="AI7">
            <v>10000</v>
          </cell>
        </row>
      </sheetData>
      <sheetData sheetId="3972">
        <row r="7">
          <cell r="AI7">
            <v>10000</v>
          </cell>
        </row>
      </sheetData>
      <sheetData sheetId="3973">
        <row r="7">
          <cell r="AI7">
            <v>10000</v>
          </cell>
        </row>
      </sheetData>
      <sheetData sheetId="3974">
        <row r="7">
          <cell r="AI7">
            <v>10000</v>
          </cell>
        </row>
      </sheetData>
      <sheetData sheetId="3975">
        <row r="7">
          <cell r="AI7">
            <v>10000</v>
          </cell>
        </row>
      </sheetData>
      <sheetData sheetId="3976">
        <row r="7">
          <cell r="AI7">
            <v>10000</v>
          </cell>
        </row>
      </sheetData>
      <sheetData sheetId="3977">
        <row r="7">
          <cell r="AI7">
            <v>10000</v>
          </cell>
        </row>
      </sheetData>
      <sheetData sheetId="3978">
        <row r="7">
          <cell r="AI7">
            <v>10000</v>
          </cell>
        </row>
      </sheetData>
      <sheetData sheetId="3979">
        <row r="7">
          <cell r="AI7">
            <v>10000</v>
          </cell>
        </row>
      </sheetData>
      <sheetData sheetId="3980">
        <row r="7">
          <cell r="AI7">
            <v>10000</v>
          </cell>
        </row>
      </sheetData>
      <sheetData sheetId="3981">
        <row r="7">
          <cell r="AI7">
            <v>10000</v>
          </cell>
        </row>
      </sheetData>
      <sheetData sheetId="3982">
        <row r="7">
          <cell r="AI7">
            <v>10000</v>
          </cell>
        </row>
      </sheetData>
      <sheetData sheetId="3983">
        <row r="7">
          <cell r="AI7">
            <v>10000</v>
          </cell>
        </row>
      </sheetData>
      <sheetData sheetId="3984">
        <row r="7">
          <cell r="AI7">
            <v>10000</v>
          </cell>
        </row>
      </sheetData>
      <sheetData sheetId="3985">
        <row r="7">
          <cell r="AI7">
            <v>10000</v>
          </cell>
        </row>
      </sheetData>
      <sheetData sheetId="3986">
        <row r="7">
          <cell r="AI7">
            <v>10000</v>
          </cell>
        </row>
      </sheetData>
      <sheetData sheetId="3987">
        <row r="7">
          <cell r="AI7">
            <v>10000</v>
          </cell>
        </row>
      </sheetData>
      <sheetData sheetId="3988">
        <row r="7">
          <cell r="AI7">
            <v>10000</v>
          </cell>
        </row>
      </sheetData>
      <sheetData sheetId="3989">
        <row r="7">
          <cell r="AI7">
            <v>10000</v>
          </cell>
        </row>
      </sheetData>
      <sheetData sheetId="3990">
        <row r="7">
          <cell r="AI7">
            <v>10000</v>
          </cell>
        </row>
      </sheetData>
      <sheetData sheetId="3991">
        <row r="7">
          <cell r="AI7">
            <v>10000</v>
          </cell>
        </row>
      </sheetData>
      <sheetData sheetId="3992">
        <row r="7">
          <cell r="AI7">
            <v>10000</v>
          </cell>
        </row>
      </sheetData>
      <sheetData sheetId="3993">
        <row r="7">
          <cell r="AI7">
            <v>10000</v>
          </cell>
        </row>
      </sheetData>
      <sheetData sheetId="3994">
        <row r="7">
          <cell r="AI7">
            <v>10000</v>
          </cell>
        </row>
      </sheetData>
      <sheetData sheetId="3995">
        <row r="7">
          <cell r="AI7">
            <v>10000</v>
          </cell>
        </row>
      </sheetData>
      <sheetData sheetId="3996">
        <row r="7">
          <cell r="AI7">
            <v>10000</v>
          </cell>
        </row>
      </sheetData>
      <sheetData sheetId="3997">
        <row r="7">
          <cell r="AI7">
            <v>10000</v>
          </cell>
        </row>
      </sheetData>
      <sheetData sheetId="3998">
        <row r="7">
          <cell r="AI7">
            <v>10000</v>
          </cell>
        </row>
      </sheetData>
      <sheetData sheetId="3999">
        <row r="7">
          <cell r="AI7">
            <v>10000</v>
          </cell>
        </row>
      </sheetData>
      <sheetData sheetId="4000">
        <row r="7">
          <cell r="AI7">
            <v>10000</v>
          </cell>
        </row>
      </sheetData>
      <sheetData sheetId="4001">
        <row r="7">
          <cell r="AI7">
            <v>10000</v>
          </cell>
        </row>
      </sheetData>
      <sheetData sheetId="4002">
        <row r="7">
          <cell r="AI7">
            <v>10000</v>
          </cell>
        </row>
      </sheetData>
      <sheetData sheetId="4003">
        <row r="7">
          <cell r="AI7">
            <v>10000</v>
          </cell>
        </row>
      </sheetData>
      <sheetData sheetId="4004">
        <row r="7">
          <cell r="AI7">
            <v>10000</v>
          </cell>
        </row>
      </sheetData>
      <sheetData sheetId="4005">
        <row r="7">
          <cell r="AI7">
            <v>10000</v>
          </cell>
        </row>
      </sheetData>
      <sheetData sheetId="4006">
        <row r="7">
          <cell r="AI7">
            <v>10000</v>
          </cell>
        </row>
      </sheetData>
      <sheetData sheetId="4007">
        <row r="7">
          <cell r="AI7">
            <v>10000</v>
          </cell>
        </row>
      </sheetData>
      <sheetData sheetId="4008">
        <row r="7">
          <cell r="AI7">
            <v>10000</v>
          </cell>
        </row>
      </sheetData>
      <sheetData sheetId="4009">
        <row r="7">
          <cell r="AI7">
            <v>10000</v>
          </cell>
        </row>
      </sheetData>
      <sheetData sheetId="4010">
        <row r="7">
          <cell r="AI7">
            <v>10000</v>
          </cell>
        </row>
      </sheetData>
      <sheetData sheetId="4011">
        <row r="7">
          <cell r="AI7">
            <v>10000</v>
          </cell>
        </row>
      </sheetData>
      <sheetData sheetId="4012">
        <row r="7">
          <cell r="AI7">
            <v>10000</v>
          </cell>
        </row>
      </sheetData>
      <sheetData sheetId="4013">
        <row r="7">
          <cell r="AI7">
            <v>10000</v>
          </cell>
        </row>
      </sheetData>
      <sheetData sheetId="4014">
        <row r="7">
          <cell r="AI7">
            <v>10000</v>
          </cell>
        </row>
      </sheetData>
      <sheetData sheetId="4015">
        <row r="7">
          <cell r="AI7">
            <v>10000</v>
          </cell>
        </row>
      </sheetData>
      <sheetData sheetId="4016">
        <row r="7">
          <cell r="AI7">
            <v>10000</v>
          </cell>
        </row>
      </sheetData>
      <sheetData sheetId="4017">
        <row r="7">
          <cell r="AI7">
            <v>10000</v>
          </cell>
        </row>
      </sheetData>
      <sheetData sheetId="4018">
        <row r="7">
          <cell r="AI7">
            <v>10000</v>
          </cell>
        </row>
      </sheetData>
      <sheetData sheetId="4019">
        <row r="7">
          <cell r="AI7">
            <v>10000</v>
          </cell>
        </row>
      </sheetData>
      <sheetData sheetId="4020">
        <row r="7">
          <cell r="AI7">
            <v>10000</v>
          </cell>
        </row>
      </sheetData>
      <sheetData sheetId="4021">
        <row r="7">
          <cell r="AI7">
            <v>10000</v>
          </cell>
        </row>
      </sheetData>
      <sheetData sheetId="4022">
        <row r="7">
          <cell r="AI7">
            <v>10000</v>
          </cell>
        </row>
      </sheetData>
      <sheetData sheetId="4023">
        <row r="7">
          <cell r="AI7">
            <v>10000</v>
          </cell>
        </row>
      </sheetData>
      <sheetData sheetId="4024">
        <row r="7">
          <cell r="AI7">
            <v>10000</v>
          </cell>
        </row>
      </sheetData>
      <sheetData sheetId="4025">
        <row r="7">
          <cell r="AI7">
            <v>10000</v>
          </cell>
        </row>
      </sheetData>
      <sheetData sheetId="4026">
        <row r="7">
          <cell r="AI7">
            <v>10000</v>
          </cell>
        </row>
      </sheetData>
      <sheetData sheetId="4027">
        <row r="7">
          <cell r="AI7">
            <v>10000</v>
          </cell>
        </row>
      </sheetData>
      <sheetData sheetId="4028">
        <row r="7">
          <cell r="AI7">
            <v>10000</v>
          </cell>
        </row>
      </sheetData>
      <sheetData sheetId="4029">
        <row r="7">
          <cell r="AI7">
            <v>10000</v>
          </cell>
        </row>
      </sheetData>
      <sheetData sheetId="4030">
        <row r="7">
          <cell r="AI7">
            <v>10000</v>
          </cell>
        </row>
      </sheetData>
      <sheetData sheetId="4031">
        <row r="7">
          <cell r="AI7">
            <v>10000</v>
          </cell>
        </row>
      </sheetData>
      <sheetData sheetId="4032">
        <row r="7">
          <cell r="AI7">
            <v>10000</v>
          </cell>
        </row>
      </sheetData>
      <sheetData sheetId="4033">
        <row r="7">
          <cell r="AI7">
            <v>10000</v>
          </cell>
        </row>
      </sheetData>
      <sheetData sheetId="4034">
        <row r="7">
          <cell r="AI7">
            <v>10000</v>
          </cell>
        </row>
      </sheetData>
      <sheetData sheetId="4035">
        <row r="7">
          <cell r="AI7">
            <v>10000</v>
          </cell>
        </row>
      </sheetData>
      <sheetData sheetId="4036">
        <row r="7">
          <cell r="AI7">
            <v>10000</v>
          </cell>
        </row>
      </sheetData>
      <sheetData sheetId="4037">
        <row r="7">
          <cell r="AI7">
            <v>10000</v>
          </cell>
        </row>
      </sheetData>
      <sheetData sheetId="4038">
        <row r="7">
          <cell r="AI7">
            <v>10000</v>
          </cell>
        </row>
      </sheetData>
      <sheetData sheetId="4039">
        <row r="7">
          <cell r="AI7">
            <v>10000</v>
          </cell>
        </row>
      </sheetData>
      <sheetData sheetId="4040">
        <row r="7">
          <cell r="AI7">
            <v>10000</v>
          </cell>
        </row>
      </sheetData>
      <sheetData sheetId="4041">
        <row r="7">
          <cell r="AI7">
            <v>10000</v>
          </cell>
        </row>
      </sheetData>
      <sheetData sheetId="4042">
        <row r="7">
          <cell r="AI7">
            <v>10000</v>
          </cell>
        </row>
      </sheetData>
      <sheetData sheetId="4043">
        <row r="7">
          <cell r="AI7">
            <v>10000</v>
          </cell>
        </row>
      </sheetData>
      <sheetData sheetId="4044">
        <row r="7">
          <cell r="AI7">
            <v>10000</v>
          </cell>
        </row>
      </sheetData>
      <sheetData sheetId="4045">
        <row r="7">
          <cell r="AI7">
            <v>10000</v>
          </cell>
        </row>
      </sheetData>
      <sheetData sheetId="4046">
        <row r="7">
          <cell r="AI7">
            <v>10000</v>
          </cell>
        </row>
      </sheetData>
      <sheetData sheetId="4047">
        <row r="7">
          <cell r="AI7">
            <v>10000</v>
          </cell>
        </row>
      </sheetData>
      <sheetData sheetId="4048">
        <row r="7">
          <cell r="AI7">
            <v>10000</v>
          </cell>
        </row>
      </sheetData>
      <sheetData sheetId="4049">
        <row r="7">
          <cell r="AI7">
            <v>10000</v>
          </cell>
        </row>
      </sheetData>
      <sheetData sheetId="4050">
        <row r="7">
          <cell r="AI7">
            <v>10000</v>
          </cell>
        </row>
      </sheetData>
      <sheetData sheetId="4051">
        <row r="7">
          <cell r="AI7">
            <v>10000</v>
          </cell>
        </row>
      </sheetData>
      <sheetData sheetId="4052">
        <row r="7">
          <cell r="AI7">
            <v>10000</v>
          </cell>
        </row>
      </sheetData>
      <sheetData sheetId="4053">
        <row r="7">
          <cell r="AI7">
            <v>10000</v>
          </cell>
        </row>
      </sheetData>
      <sheetData sheetId="4054">
        <row r="7">
          <cell r="AI7">
            <v>10000</v>
          </cell>
        </row>
      </sheetData>
      <sheetData sheetId="4055">
        <row r="7">
          <cell r="AI7">
            <v>10000</v>
          </cell>
        </row>
      </sheetData>
      <sheetData sheetId="4056">
        <row r="7">
          <cell r="AI7">
            <v>10000</v>
          </cell>
        </row>
      </sheetData>
      <sheetData sheetId="4057">
        <row r="7">
          <cell r="AI7">
            <v>10000</v>
          </cell>
        </row>
      </sheetData>
      <sheetData sheetId="4058">
        <row r="7">
          <cell r="AI7">
            <v>10000</v>
          </cell>
        </row>
      </sheetData>
      <sheetData sheetId="4059">
        <row r="7">
          <cell r="AI7">
            <v>10000</v>
          </cell>
        </row>
      </sheetData>
      <sheetData sheetId="4060">
        <row r="7">
          <cell r="AI7">
            <v>10000</v>
          </cell>
        </row>
      </sheetData>
      <sheetData sheetId="4061">
        <row r="7">
          <cell r="AI7">
            <v>10000</v>
          </cell>
        </row>
      </sheetData>
      <sheetData sheetId="4062">
        <row r="7">
          <cell r="AI7">
            <v>10000</v>
          </cell>
        </row>
      </sheetData>
      <sheetData sheetId="4063">
        <row r="7">
          <cell r="AI7">
            <v>10000</v>
          </cell>
        </row>
      </sheetData>
      <sheetData sheetId="4064">
        <row r="7">
          <cell r="AI7">
            <v>10000</v>
          </cell>
        </row>
      </sheetData>
      <sheetData sheetId="4065">
        <row r="7">
          <cell r="AI7">
            <v>10000</v>
          </cell>
        </row>
      </sheetData>
      <sheetData sheetId="4066">
        <row r="7">
          <cell r="AI7">
            <v>10000</v>
          </cell>
        </row>
      </sheetData>
      <sheetData sheetId="4067">
        <row r="7">
          <cell r="AI7">
            <v>10000</v>
          </cell>
        </row>
      </sheetData>
      <sheetData sheetId="4068">
        <row r="7">
          <cell r="AI7">
            <v>10000</v>
          </cell>
        </row>
      </sheetData>
      <sheetData sheetId="4069">
        <row r="7">
          <cell r="AI7">
            <v>10000</v>
          </cell>
        </row>
      </sheetData>
      <sheetData sheetId="4070">
        <row r="7">
          <cell r="AI7">
            <v>10000</v>
          </cell>
        </row>
      </sheetData>
      <sheetData sheetId="4071">
        <row r="7">
          <cell r="AI7">
            <v>10000</v>
          </cell>
        </row>
      </sheetData>
      <sheetData sheetId="4072">
        <row r="7">
          <cell r="AI7">
            <v>10000</v>
          </cell>
        </row>
      </sheetData>
      <sheetData sheetId="4073">
        <row r="7">
          <cell r="AI7">
            <v>10000</v>
          </cell>
        </row>
      </sheetData>
      <sheetData sheetId="4074">
        <row r="7">
          <cell r="AI7">
            <v>10000</v>
          </cell>
        </row>
      </sheetData>
      <sheetData sheetId="4075">
        <row r="7">
          <cell r="AI7">
            <v>10000</v>
          </cell>
        </row>
      </sheetData>
      <sheetData sheetId="4076">
        <row r="7">
          <cell r="AI7">
            <v>10000</v>
          </cell>
        </row>
      </sheetData>
      <sheetData sheetId="4077">
        <row r="7">
          <cell r="AI7">
            <v>10000</v>
          </cell>
        </row>
      </sheetData>
      <sheetData sheetId="4078">
        <row r="7">
          <cell r="AI7">
            <v>10000</v>
          </cell>
        </row>
      </sheetData>
      <sheetData sheetId="4079">
        <row r="7">
          <cell r="AI7">
            <v>10000</v>
          </cell>
        </row>
      </sheetData>
      <sheetData sheetId="4080">
        <row r="7">
          <cell r="AI7">
            <v>10000</v>
          </cell>
        </row>
      </sheetData>
      <sheetData sheetId="4081">
        <row r="7">
          <cell r="AI7">
            <v>10000</v>
          </cell>
        </row>
      </sheetData>
      <sheetData sheetId="4082">
        <row r="7">
          <cell r="AI7">
            <v>10000</v>
          </cell>
        </row>
      </sheetData>
      <sheetData sheetId="4083">
        <row r="7">
          <cell r="AI7">
            <v>10000</v>
          </cell>
        </row>
      </sheetData>
      <sheetData sheetId="4084">
        <row r="7">
          <cell r="AI7">
            <v>10000</v>
          </cell>
        </row>
      </sheetData>
      <sheetData sheetId="4085">
        <row r="7">
          <cell r="AI7">
            <v>10000</v>
          </cell>
        </row>
      </sheetData>
      <sheetData sheetId="4086">
        <row r="7">
          <cell r="AI7">
            <v>10000</v>
          </cell>
        </row>
      </sheetData>
      <sheetData sheetId="4087">
        <row r="7">
          <cell r="AI7">
            <v>10000</v>
          </cell>
        </row>
      </sheetData>
      <sheetData sheetId="4088">
        <row r="7">
          <cell r="AI7">
            <v>10000</v>
          </cell>
        </row>
      </sheetData>
      <sheetData sheetId="4089">
        <row r="7">
          <cell r="AI7">
            <v>10000</v>
          </cell>
        </row>
      </sheetData>
      <sheetData sheetId="4090">
        <row r="7">
          <cell r="AI7">
            <v>10000</v>
          </cell>
        </row>
      </sheetData>
      <sheetData sheetId="4091">
        <row r="7">
          <cell r="AI7">
            <v>10000</v>
          </cell>
        </row>
      </sheetData>
      <sheetData sheetId="4092">
        <row r="7">
          <cell r="AI7">
            <v>10000</v>
          </cell>
        </row>
      </sheetData>
      <sheetData sheetId="4093">
        <row r="7">
          <cell r="AI7">
            <v>10000</v>
          </cell>
        </row>
      </sheetData>
      <sheetData sheetId="4094">
        <row r="7">
          <cell r="AI7">
            <v>10000</v>
          </cell>
        </row>
      </sheetData>
      <sheetData sheetId="4095">
        <row r="7">
          <cell r="AI7">
            <v>10000</v>
          </cell>
        </row>
      </sheetData>
      <sheetData sheetId="4096">
        <row r="7">
          <cell r="AI7">
            <v>10000</v>
          </cell>
        </row>
      </sheetData>
      <sheetData sheetId="4097">
        <row r="7">
          <cell r="AI7">
            <v>10000</v>
          </cell>
        </row>
      </sheetData>
      <sheetData sheetId="4098">
        <row r="7">
          <cell r="AI7">
            <v>10000</v>
          </cell>
        </row>
      </sheetData>
      <sheetData sheetId="4099">
        <row r="7">
          <cell r="AI7">
            <v>10000</v>
          </cell>
        </row>
      </sheetData>
      <sheetData sheetId="4100">
        <row r="7">
          <cell r="AI7">
            <v>10000</v>
          </cell>
        </row>
      </sheetData>
      <sheetData sheetId="4101">
        <row r="7">
          <cell r="AI7">
            <v>10000</v>
          </cell>
        </row>
      </sheetData>
      <sheetData sheetId="4102">
        <row r="7">
          <cell r="AI7">
            <v>10000</v>
          </cell>
        </row>
      </sheetData>
      <sheetData sheetId="4103">
        <row r="7">
          <cell r="AI7">
            <v>10000</v>
          </cell>
        </row>
      </sheetData>
      <sheetData sheetId="4104">
        <row r="7">
          <cell r="AI7">
            <v>10000</v>
          </cell>
        </row>
      </sheetData>
      <sheetData sheetId="4105">
        <row r="7">
          <cell r="AI7">
            <v>10000</v>
          </cell>
        </row>
      </sheetData>
      <sheetData sheetId="4106">
        <row r="7">
          <cell r="AI7">
            <v>10000</v>
          </cell>
        </row>
      </sheetData>
      <sheetData sheetId="4107">
        <row r="7">
          <cell r="AI7">
            <v>10000</v>
          </cell>
        </row>
      </sheetData>
      <sheetData sheetId="4108">
        <row r="7">
          <cell r="AI7">
            <v>10000</v>
          </cell>
        </row>
      </sheetData>
      <sheetData sheetId="4109">
        <row r="7">
          <cell r="AI7">
            <v>10000</v>
          </cell>
        </row>
      </sheetData>
      <sheetData sheetId="4110">
        <row r="7">
          <cell r="AI7">
            <v>10000</v>
          </cell>
        </row>
      </sheetData>
      <sheetData sheetId="4111">
        <row r="7">
          <cell r="AI7">
            <v>10000</v>
          </cell>
        </row>
      </sheetData>
      <sheetData sheetId="4112">
        <row r="7">
          <cell r="AI7">
            <v>10000</v>
          </cell>
        </row>
      </sheetData>
      <sheetData sheetId="4113">
        <row r="7">
          <cell r="AI7">
            <v>10000</v>
          </cell>
        </row>
      </sheetData>
      <sheetData sheetId="4114">
        <row r="7">
          <cell r="AI7">
            <v>10000</v>
          </cell>
        </row>
      </sheetData>
      <sheetData sheetId="4115">
        <row r="7">
          <cell r="AI7">
            <v>10000</v>
          </cell>
        </row>
      </sheetData>
      <sheetData sheetId="4116">
        <row r="7">
          <cell r="AI7">
            <v>10000</v>
          </cell>
        </row>
      </sheetData>
      <sheetData sheetId="4117">
        <row r="7">
          <cell r="AI7">
            <v>10000</v>
          </cell>
        </row>
      </sheetData>
      <sheetData sheetId="4118">
        <row r="7">
          <cell r="AI7">
            <v>10000</v>
          </cell>
        </row>
      </sheetData>
      <sheetData sheetId="4119">
        <row r="7">
          <cell r="AI7">
            <v>10000</v>
          </cell>
        </row>
      </sheetData>
      <sheetData sheetId="4120">
        <row r="7">
          <cell r="AI7">
            <v>10000</v>
          </cell>
        </row>
      </sheetData>
      <sheetData sheetId="4121">
        <row r="7">
          <cell r="AI7">
            <v>10000</v>
          </cell>
        </row>
      </sheetData>
      <sheetData sheetId="4122">
        <row r="7">
          <cell r="AI7">
            <v>10000</v>
          </cell>
        </row>
      </sheetData>
      <sheetData sheetId="4123">
        <row r="7">
          <cell r="AI7">
            <v>10000</v>
          </cell>
        </row>
      </sheetData>
      <sheetData sheetId="4124">
        <row r="7">
          <cell r="AI7">
            <v>10000</v>
          </cell>
        </row>
      </sheetData>
      <sheetData sheetId="4125">
        <row r="7">
          <cell r="AI7">
            <v>10000</v>
          </cell>
        </row>
      </sheetData>
      <sheetData sheetId="4126">
        <row r="7">
          <cell r="AI7">
            <v>10000</v>
          </cell>
        </row>
      </sheetData>
      <sheetData sheetId="4127">
        <row r="7">
          <cell r="AI7">
            <v>10000</v>
          </cell>
        </row>
      </sheetData>
      <sheetData sheetId="4128">
        <row r="7">
          <cell r="AI7">
            <v>10000</v>
          </cell>
        </row>
      </sheetData>
      <sheetData sheetId="4129">
        <row r="7">
          <cell r="AI7">
            <v>10000</v>
          </cell>
        </row>
      </sheetData>
      <sheetData sheetId="4130">
        <row r="7">
          <cell r="AI7">
            <v>10000</v>
          </cell>
        </row>
      </sheetData>
      <sheetData sheetId="4131">
        <row r="7">
          <cell r="AI7">
            <v>10000</v>
          </cell>
        </row>
      </sheetData>
      <sheetData sheetId="4132">
        <row r="7">
          <cell r="AI7">
            <v>10000</v>
          </cell>
        </row>
      </sheetData>
      <sheetData sheetId="4133">
        <row r="7">
          <cell r="AI7">
            <v>10000</v>
          </cell>
        </row>
      </sheetData>
      <sheetData sheetId="4134">
        <row r="7">
          <cell r="AI7">
            <v>10000</v>
          </cell>
        </row>
      </sheetData>
      <sheetData sheetId="4135">
        <row r="7">
          <cell r="AI7">
            <v>10000</v>
          </cell>
        </row>
      </sheetData>
      <sheetData sheetId="4136">
        <row r="7">
          <cell r="AI7">
            <v>10000</v>
          </cell>
        </row>
      </sheetData>
      <sheetData sheetId="4137">
        <row r="7">
          <cell r="AI7">
            <v>10000</v>
          </cell>
        </row>
      </sheetData>
      <sheetData sheetId="4138">
        <row r="7">
          <cell r="AI7">
            <v>10000</v>
          </cell>
        </row>
      </sheetData>
      <sheetData sheetId="4139">
        <row r="7">
          <cell r="AI7">
            <v>10000</v>
          </cell>
        </row>
      </sheetData>
      <sheetData sheetId="4140">
        <row r="7">
          <cell r="AI7">
            <v>10000</v>
          </cell>
        </row>
      </sheetData>
      <sheetData sheetId="4141">
        <row r="7">
          <cell r="AI7">
            <v>10000</v>
          </cell>
        </row>
      </sheetData>
      <sheetData sheetId="4142">
        <row r="7">
          <cell r="AI7">
            <v>10000</v>
          </cell>
        </row>
      </sheetData>
      <sheetData sheetId="4143">
        <row r="7">
          <cell r="AI7">
            <v>10000</v>
          </cell>
        </row>
      </sheetData>
      <sheetData sheetId="4144">
        <row r="7">
          <cell r="AI7">
            <v>10000</v>
          </cell>
        </row>
      </sheetData>
      <sheetData sheetId="4145">
        <row r="7">
          <cell r="AI7">
            <v>10000</v>
          </cell>
        </row>
      </sheetData>
      <sheetData sheetId="4146">
        <row r="7">
          <cell r="AI7">
            <v>10000</v>
          </cell>
        </row>
      </sheetData>
      <sheetData sheetId="4147">
        <row r="7">
          <cell r="AI7">
            <v>10000</v>
          </cell>
        </row>
      </sheetData>
      <sheetData sheetId="4148">
        <row r="7">
          <cell r="AI7">
            <v>10000</v>
          </cell>
        </row>
      </sheetData>
      <sheetData sheetId="4149">
        <row r="7">
          <cell r="AI7">
            <v>10000</v>
          </cell>
        </row>
      </sheetData>
      <sheetData sheetId="4150">
        <row r="7">
          <cell r="AI7">
            <v>10000</v>
          </cell>
        </row>
      </sheetData>
      <sheetData sheetId="4151">
        <row r="7">
          <cell r="AI7">
            <v>10000</v>
          </cell>
        </row>
      </sheetData>
      <sheetData sheetId="4152">
        <row r="7">
          <cell r="AI7">
            <v>10000</v>
          </cell>
        </row>
      </sheetData>
      <sheetData sheetId="4153">
        <row r="7">
          <cell r="AI7">
            <v>10000</v>
          </cell>
        </row>
      </sheetData>
      <sheetData sheetId="4154">
        <row r="7">
          <cell r="AI7">
            <v>10000</v>
          </cell>
        </row>
      </sheetData>
      <sheetData sheetId="4155">
        <row r="7">
          <cell r="AI7">
            <v>10000</v>
          </cell>
        </row>
      </sheetData>
      <sheetData sheetId="4156">
        <row r="7">
          <cell r="AI7">
            <v>10000</v>
          </cell>
        </row>
      </sheetData>
      <sheetData sheetId="4157">
        <row r="7">
          <cell r="AI7">
            <v>10000</v>
          </cell>
        </row>
      </sheetData>
      <sheetData sheetId="4158">
        <row r="7">
          <cell r="AI7">
            <v>10000</v>
          </cell>
        </row>
      </sheetData>
      <sheetData sheetId="4159">
        <row r="7">
          <cell r="AI7">
            <v>10000</v>
          </cell>
        </row>
      </sheetData>
      <sheetData sheetId="4160">
        <row r="7">
          <cell r="AI7">
            <v>10000</v>
          </cell>
        </row>
      </sheetData>
      <sheetData sheetId="4161">
        <row r="7">
          <cell r="AI7">
            <v>10000</v>
          </cell>
        </row>
      </sheetData>
      <sheetData sheetId="4162">
        <row r="7">
          <cell r="AI7">
            <v>10000</v>
          </cell>
        </row>
      </sheetData>
      <sheetData sheetId="4163">
        <row r="7">
          <cell r="AI7">
            <v>10000</v>
          </cell>
        </row>
      </sheetData>
      <sheetData sheetId="4164">
        <row r="7">
          <cell r="AI7">
            <v>10000</v>
          </cell>
        </row>
      </sheetData>
      <sheetData sheetId="4165">
        <row r="7">
          <cell r="AI7">
            <v>10000</v>
          </cell>
        </row>
      </sheetData>
      <sheetData sheetId="4166">
        <row r="7">
          <cell r="AI7">
            <v>10000</v>
          </cell>
        </row>
      </sheetData>
      <sheetData sheetId="4167">
        <row r="7">
          <cell r="AI7">
            <v>10000</v>
          </cell>
        </row>
      </sheetData>
      <sheetData sheetId="4168">
        <row r="7">
          <cell r="AI7">
            <v>10000</v>
          </cell>
        </row>
      </sheetData>
      <sheetData sheetId="4169">
        <row r="7">
          <cell r="AI7">
            <v>10000</v>
          </cell>
        </row>
      </sheetData>
      <sheetData sheetId="4170">
        <row r="7">
          <cell r="AI7">
            <v>10000</v>
          </cell>
        </row>
      </sheetData>
      <sheetData sheetId="4171">
        <row r="7">
          <cell r="AI7">
            <v>10000</v>
          </cell>
        </row>
      </sheetData>
      <sheetData sheetId="4172">
        <row r="7">
          <cell r="AI7">
            <v>10000</v>
          </cell>
        </row>
      </sheetData>
      <sheetData sheetId="4173">
        <row r="7">
          <cell r="AI7">
            <v>10000</v>
          </cell>
        </row>
      </sheetData>
      <sheetData sheetId="4174">
        <row r="7">
          <cell r="AI7">
            <v>10000</v>
          </cell>
        </row>
      </sheetData>
      <sheetData sheetId="4175">
        <row r="7">
          <cell r="AI7">
            <v>10000</v>
          </cell>
        </row>
      </sheetData>
      <sheetData sheetId="4176">
        <row r="7">
          <cell r="AI7">
            <v>10000</v>
          </cell>
        </row>
      </sheetData>
      <sheetData sheetId="4177">
        <row r="7">
          <cell r="AI7">
            <v>10000</v>
          </cell>
        </row>
      </sheetData>
      <sheetData sheetId="4178">
        <row r="7">
          <cell r="AI7">
            <v>10000</v>
          </cell>
        </row>
      </sheetData>
      <sheetData sheetId="4179">
        <row r="7">
          <cell r="AI7">
            <v>10000</v>
          </cell>
        </row>
      </sheetData>
      <sheetData sheetId="4180">
        <row r="7">
          <cell r="AI7">
            <v>10000</v>
          </cell>
        </row>
      </sheetData>
      <sheetData sheetId="4181">
        <row r="7">
          <cell r="AI7">
            <v>10000</v>
          </cell>
        </row>
      </sheetData>
      <sheetData sheetId="4182">
        <row r="7">
          <cell r="AI7">
            <v>10000</v>
          </cell>
        </row>
      </sheetData>
      <sheetData sheetId="4183">
        <row r="7">
          <cell r="AI7">
            <v>10000</v>
          </cell>
        </row>
      </sheetData>
      <sheetData sheetId="4184">
        <row r="7">
          <cell r="AI7">
            <v>10000</v>
          </cell>
        </row>
      </sheetData>
      <sheetData sheetId="4185">
        <row r="7">
          <cell r="AI7">
            <v>10000</v>
          </cell>
        </row>
      </sheetData>
      <sheetData sheetId="4186">
        <row r="7">
          <cell r="AI7">
            <v>10000</v>
          </cell>
        </row>
      </sheetData>
      <sheetData sheetId="4187">
        <row r="7">
          <cell r="AI7">
            <v>10000</v>
          </cell>
        </row>
      </sheetData>
      <sheetData sheetId="4188">
        <row r="7">
          <cell r="AI7">
            <v>10000</v>
          </cell>
        </row>
      </sheetData>
      <sheetData sheetId="4189">
        <row r="7">
          <cell r="AI7">
            <v>10000</v>
          </cell>
        </row>
      </sheetData>
      <sheetData sheetId="4190">
        <row r="7">
          <cell r="AI7">
            <v>10000</v>
          </cell>
        </row>
      </sheetData>
      <sheetData sheetId="4191">
        <row r="7">
          <cell r="AI7">
            <v>10000</v>
          </cell>
        </row>
      </sheetData>
      <sheetData sheetId="4192">
        <row r="7">
          <cell r="AI7">
            <v>10000</v>
          </cell>
        </row>
      </sheetData>
      <sheetData sheetId="4193">
        <row r="7">
          <cell r="AI7">
            <v>10000</v>
          </cell>
        </row>
      </sheetData>
      <sheetData sheetId="4194">
        <row r="7">
          <cell r="AI7">
            <v>10000</v>
          </cell>
        </row>
      </sheetData>
      <sheetData sheetId="4195">
        <row r="7">
          <cell r="AI7">
            <v>10000</v>
          </cell>
        </row>
      </sheetData>
      <sheetData sheetId="4196">
        <row r="7">
          <cell r="AI7">
            <v>10000</v>
          </cell>
        </row>
      </sheetData>
      <sheetData sheetId="4197">
        <row r="7">
          <cell r="AI7">
            <v>10000</v>
          </cell>
        </row>
      </sheetData>
      <sheetData sheetId="4198">
        <row r="7">
          <cell r="AI7">
            <v>10000</v>
          </cell>
        </row>
      </sheetData>
      <sheetData sheetId="4199">
        <row r="7">
          <cell r="AI7">
            <v>10000</v>
          </cell>
        </row>
      </sheetData>
      <sheetData sheetId="4200">
        <row r="7">
          <cell r="AI7">
            <v>10000</v>
          </cell>
        </row>
      </sheetData>
      <sheetData sheetId="4201">
        <row r="7">
          <cell r="AI7">
            <v>10000</v>
          </cell>
        </row>
      </sheetData>
      <sheetData sheetId="4202">
        <row r="7">
          <cell r="AI7">
            <v>10000</v>
          </cell>
        </row>
      </sheetData>
      <sheetData sheetId="4203">
        <row r="7">
          <cell r="AI7">
            <v>10000</v>
          </cell>
        </row>
      </sheetData>
      <sheetData sheetId="4204">
        <row r="7">
          <cell r="AI7">
            <v>10000</v>
          </cell>
        </row>
      </sheetData>
      <sheetData sheetId="4205">
        <row r="7">
          <cell r="AI7">
            <v>10000</v>
          </cell>
        </row>
      </sheetData>
      <sheetData sheetId="4206">
        <row r="7">
          <cell r="AI7">
            <v>10000</v>
          </cell>
        </row>
      </sheetData>
      <sheetData sheetId="4207">
        <row r="7">
          <cell r="AI7">
            <v>10000</v>
          </cell>
        </row>
      </sheetData>
      <sheetData sheetId="4208">
        <row r="7">
          <cell r="AI7">
            <v>10000</v>
          </cell>
        </row>
      </sheetData>
      <sheetData sheetId="4209">
        <row r="7">
          <cell r="AI7">
            <v>10000</v>
          </cell>
        </row>
      </sheetData>
      <sheetData sheetId="4210">
        <row r="7">
          <cell r="AI7">
            <v>10000</v>
          </cell>
        </row>
      </sheetData>
      <sheetData sheetId="4211">
        <row r="7">
          <cell r="AI7">
            <v>10000</v>
          </cell>
        </row>
      </sheetData>
      <sheetData sheetId="4212">
        <row r="7">
          <cell r="AI7">
            <v>10000</v>
          </cell>
        </row>
      </sheetData>
      <sheetData sheetId="4213">
        <row r="7">
          <cell r="AI7">
            <v>10000</v>
          </cell>
        </row>
      </sheetData>
      <sheetData sheetId="4214">
        <row r="7">
          <cell r="AI7">
            <v>10000</v>
          </cell>
        </row>
      </sheetData>
      <sheetData sheetId="4215">
        <row r="7">
          <cell r="AI7">
            <v>10000</v>
          </cell>
        </row>
      </sheetData>
      <sheetData sheetId="4216">
        <row r="7">
          <cell r="AI7">
            <v>10000</v>
          </cell>
        </row>
      </sheetData>
      <sheetData sheetId="4217">
        <row r="7">
          <cell r="AI7">
            <v>10000</v>
          </cell>
        </row>
      </sheetData>
      <sheetData sheetId="4218">
        <row r="7">
          <cell r="AI7">
            <v>10000</v>
          </cell>
        </row>
      </sheetData>
      <sheetData sheetId="4219">
        <row r="7">
          <cell r="AI7">
            <v>10000</v>
          </cell>
        </row>
      </sheetData>
      <sheetData sheetId="4220">
        <row r="7">
          <cell r="AI7">
            <v>10000</v>
          </cell>
        </row>
      </sheetData>
      <sheetData sheetId="4221">
        <row r="7">
          <cell r="AI7">
            <v>10000</v>
          </cell>
        </row>
      </sheetData>
      <sheetData sheetId="4222">
        <row r="7">
          <cell r="AI7">
            <v>10000</v>
          </cell>
        </row>
      </sheetData>
      <sheetData sheetId="4223">
        <row r="7">
          <cell r="AI7">
            <v>10000</v>
          </cell>
        </row>
      </sheetData>
      <sheetData sheetId="4224">
        <row r="7">
          <cell r="AI7">
            <v>10000</v>
          </cell>
        </row>
      </sheetData>
      <sheetData sheetId="4225">
        <row r="7">
          <cell r="AI7">
            <v>10000</v>
          </cell>
        </row>
      </sheetData>
      <sheetData sheetId="4226">
        <row r="7">
          <cell r="AI7">
            <v>10000</v>
          </cell>
        </row>
      </sheetData>
      <sheetData sheetId="4227">
        <row r="7">
          <cell r="AI7">
            <v>10000</v>
          </cell>
        </row>
      </sheetData>
      <sheetData sheetId="4228">
        <row r="7">
          <cell r="AI7">
            <v>10000</v>
          </cell>
        </row>
      </sheetData>
      <sheetData sheetId="4229">
        <row r="7">
          <cell r="AI7">
            <v>10000</v>
          </cell>
        </row>
      </sheetData>
      <sheetData sheetId="4230">
        <row r="7">
          <cell r="AI7">
            <v>10000</v>
          </cell>
        </row>
      </sheetData>
      <sheetData sheetId="4231">
        <row r="7">
          <cell r="AI7">
            <v>10000</v>
          </cell>
        </row>
      </sheetData>
      <sheetData sheetId="4232">
        <row r="7">
          <cell r="AI7">
            <v>10000</v>
          </cell>
        </row>
      </sheetData>
      <sheetData sheetId="4233">
        <row r="7">
          <cell r="AI7">
            <v>10000</v>
          </cell>
        </row>
      </sheetData>
      <sheetData sheetId="4234">
        <row r="7">
          <cell r="AI7">
            <v>10000</v>
          </cell>
        </row>
      </sheetData>
      <sheetData sheetId="4235">
        <row r="7">
          <cell r="AI7">
            <v>10000</v>
          </cell>
        </row>
      </sheetData>
      <sheetData sheetId="4236">
        <row r="7">
          <cell r="AI7">
            <v>10000</v>
          </cell>
        </row>
      </sheetData>
      <sheetData sheetId="4237">
        <row r="7">
          <cell r="AI7">
            <v>10000</v>
          </cell>
        </row>
      </sheetData>
      <sheetData sheetId="4238">
        <row r="7">
          <cell r="AI7">
            <v>10000</v>
          </cell>
        </row>
      </sheetData>
      <sheetData sheetId="4239">
        <row r="7">
          <cell r="AI7">
            <v>10000</v>
          </cell>
        </row>
      </sheetData>
      <sheetData sheetId="4240">
        <row r="7">
          <cell r="AI7">
            <v>10000</v>
          </cell>
        </row>
      </sheetData>
      <sheetData sheetId="4241">
        <row r="7">
          <cell r="AI7">
            <v>10000</v>
          </cell>
        </row>
      </sheetData>
      <sheetData sheetId="4242">
        <row r="7">
          <cell r="AI7">
            <v>10000</v>
          </cell>
        </row>
      </sheetData>
      <sheetData sheetId="4243">
        <row r="7">
          <cell r="AI7">
            <v>10000</v>
          </cell>
        </row>
      </sheetData>
      <sheetData sheetId="4244">
        <row r="7">
          <cell r="AI7">
            <v>10000</v>
          </cell>
        </row>
      </sheetData>
      <sheetData sheetId="4245">
        <row r="7">
          <cell r="AI7">
            <v>10000</v>
          </cell>
        </row>
      </sheetData>
      <sheetData sheetId="4246">
        <row r="7">
          <cell r="AI7">
            <v>10000</v>
          </cell>
        </row>
      </sheetData>
      <sheetData sheetId="4247">
        <row r="7">
          <cell r="AI7">
            <v>10000</v>
          </cell>
        </row>
      </sheetData>
      <sheetData sheetId="4248">
        <row r="7">
          <cell r="AI7">
            <v>10000</v>
          </cell>
        </row>
      </sheetData>
      <sheetData sheetId="4249">
        <row r="7">
          <cell r="AI7">
            <v>10000</v>
          </cell>
        </row>
      </sheetData>
      <sheetData sheetId="4250">
        <row r="7">
          <cell r="AI7">
            <v>10000</v>
          </cell>
        </row>
      </sheetData>
      <sheetData sheetId="4251">
        <row r="7">
          <cell r="AI7">
            <v>10000</v>
          </cell>
        </row>
      </sheetData>
      <sheetData sheetId="4252">
        <row r="7">
          <cell r="AI7">
            <v>10000</v>
          </cell>
        </row>
      </sheetData>
      <sheetData sheetId="4253">
        <row r="7">
          <cell r="AI7">
            <v>10000</v>
          </cell>
        </row>
      </sheetData>
      <sheetData sheetId="4254">
        <row r="7">
          <cell r="AI7">
            <v>10000</v>
          </cell>
        </row>
      </sheetData>
      <sheetData sheetId="4255">
        <row r="7">
          <cell r="AI7">
            <v>10000</v>
          </cell>
        </row>
      </sheetData>
      <sheetData sheetId="4256">
        <row r="7">
          <cell r="AI7">
            <v>10000</v>
          </cell>
        </row>
      </sheetData>
      <sheetData sheetId="4257">
        <row r="7">
          <cell r="AI7">
            <v>10000</v>
          </cell>
        </row>
      </sheetData>
      <sheetData sheetId="4258">
        <row r="7">
          <cell r="AI7">
            <v>10000</v>
          </cell>
        </row>
      </sheetData>
      <sheetData sheetId="4259">
        <row r="7">
          <cell r="AI7">
            <v>10000</v>
          </cell>
        </row>
      </sheetData>
      <sheetData sheetId="4260">
        <row r="7">
          <cell r="AI7">
            <v>10000</v>
          </cell>
        </row>
      </sheetData>
      <sheetData sheetId="4261">
        <row r="7">
          <cell r="AI7">
            <v>10000</v>
          </cell>
        </row>
      </sheetData>
      <sheetData sheetId="4262">
        <row r="7">
          <cell r="AI7">
            <v>10000</v>
          </cell>
        </row>
      </sheetData>
      <sheetData sheetId="4263">
        <row r="7">
          <cell r="AI7">
            <v>10000</v>
          </cell>
        </row>
      </sheetData>
      <sheetData sheetId="4264">
        <row r="7">
          <cell r="AI7">
            <v>10000</v>
          </cell>
        </row>
      </sheetData>
      <sheetData sheetId="4265">
        <row r="7">
          <cell r="AI7">
            <v>10000</v>
          </cell>
        </row>
      </sheetData>
      <sheetData sheetId="4266">
        <row r="7">
          <cell r="AI7">
            <v>10000</v>
          </cell>
        </row>
      </sheetData>
      <sheetData sheetId="4267">
        <row r="7">
          <cell r="AI7">
            <v>10000</v>
          </cell>
        </row>
      </sheetData>
      <sheetData sheetId="4268">
        <row r="7">
          <cell r="AI7">
            <v>10000</v>
          </cell>
        </row>
      </sheetData>
      <sheetData sheetId="4269">
        <row r="7">
          <cell r="AI7">
            <v>10000</v>
          </cell>
        </row>
      </sheetData>
      <sheetData sheetId="4270">
        <row r="7">
          <cell r="AI7">
            <v>10000</v>
          </cell>
        </row>
      </sheetData>
      <sheetData sheetId="4271">
        <row r="7">
          <cell r="AI7">
            <v>10000</v>
          </cell>
        </row>
      </sheetData>
      <sheetData sheetId="4272">
        <row r="7">
          <cell r="AI7">
            <v>10000</v>
          </cell>
        </row>
      </sheetData>
      <sheetData sheetId="4273">
        <row r="7">
          <cell r="AI7">
            <v>10000</v>
          </cell>
        </row>
      </sheetData>
      <sheetData sheetId="4274">
        <row r="7">
          <cell r="AI7">
            <v>10000</v>
          </cell>
        </row>
      </sheetData>
      <sheetData sheetId="4275">
        <row r="7">
          <cell r="AI7">
            <v>10000</v>
          </cell>
        </row>
      </sheetData>
      <sheetData sheetId="4276">
        <row r="7">
          <cell r="AI7">
            <v>10000</v>
          </cell>
        </row>
      </sheetData>
      <sheetData sheetId="4277">
        <row r="7">
          <cell r="AI7">
            <v>10000</v>
          </cell>
        </row>
      </sheetData>
      <sheetData sheetId="4278">
        <row r="7">
          <cell r="AI7">
            <v>10000</v>
          </cell>
        </row>
      </sheetData>
      <sheetData sheetId="4279">
        <row r="7">
          <cell r="AI7">
            <v>10000</v>
          </cell>
        </row>
      </sheetData>
      <sheetData sheetId="4280">
        <row r="7">
          <cell r="AI7">
            <v>10000</v>
          </cell>
        </row>
      </sheetData>
      <sheetData sheetId="4281">
        <row r="7">
          <cell r="AI7">
            <v>10000</v>
          </cell>
        </row>
      </sheetData>
      <sheetData sheetId="4282">
        <row r="7">
          <cell r="AI7">
            <v>10000</v>
          </cell>
        </row>
      </sheetData>
      <sheetData sheetId="4283">
        <row r="7">
          <cell r="AI7">
            <v>10000</v>
          </cell>
        </row>
      </sheetData>
      <sheetData sheetId="4284">
        <row r="7">
          <cell r="AI7">
            <v>10000</v>
          </cell>
        </row>
      </sheetData>
      <sheetData sheetId="4285">
        <row r="7">
          <cell r="AI7">
            <v>10000</v>
          </cell>
        </row>
      </sheetData>
      <sheetData sheetId="4286">
        <row r="7">
          <cell r="AI7">
            <v>10000</v>
          </cell>
        </row>
      </sheetData>
      <sheetData sheetId="4287">
        <row r="7">
          <cell r="AI7">
            <v>10000</v>
          </cell>
        </row>
      </sheetData>
      <sheetData sheetId="4288">
        <row r="7">
          <cell r="AI7">
            <v>10000</v>
          </cell>
        </row>
      </sheetData>
      <sheetData sheetId="4289">
        <row r="7">
          <cell r="AI7">
            <v>10000</v>
          </cell>
        </row>
      </sheetData>
      <sheetData sheetId="4290">
        <row r="7">
          <cell r="AI7">
            <v>10000</v>
          </cell>
        </row>
      </sheetData>
      <sheetData sheetId="4291">
        <row r="7">
          <cell r="AI7">
            <v>10000</v>
          </cell>
        </row>
      </sheetData>
      <sheetData sheetId="4292">
        <row r="7">
          <cell r="AI7">
            <v>10000</v>
          </cell>
        </row>
      </sheetData>
      <sheetData sheetId="4293">
        <row r="7">
          <cell r="AI7">
            <v>10000</v>
          </cell>
        </row>
      </sheetData>
      <sheetData sheetId="4294">
        <row r="7">
          <cell r="AI7">
            <v>10000</v>
          </cell>
        </row>
      </sheetData>
      <sheetData sheetId="4295">
        <row r="7">
          <cell r="AI7">
            <v>10000</v>
          </cell>
        </row>
      </sheetData>
      <sheetData sheetId="4296">
        <row r="7">
          <cell r="AI7">
            <v>10000</v>
          </cell>
        </row>
      </sheetData>
      <sheetData sheetId="4297">
        <row r="7">
          <cell r="AI7">
            <v>10000</v>
          </cell>
        </row>
      </sheetData>
      <sheetData sheetId="4298">
        <row r="7">
          <cell r="AI7">
            <v>10000</v>
          </cell>
        </row>
      </sheetData>
      <sheetData sheetId="4299">
        <row r="7">
          <cell r="AI7">
            <v>10000</v>
          </cell>
        </row>
      </sheetData>
      <sheetData sheetId="4300">
        <row r="7">
          <cell r="AI7">
            <v>10000</v>
          </cell>
        </row>
      </sheetData>
      <sheetData sheetId="4301">
        <row r="7">
          <cell r="AI7">
            <v>10000</v>
          </cell>
        </row>
      </sheetData>
      <sheetData sheetId="4302">
        <row r="7">
          <cell r="AI7">
            <v>10000</v>
          </cell>
        </row>
      </sheetData>
      <sheetData sheetId="4303">
        <row r="7">
          <cell r="AI7">
            <v>10000</v>
          </cell>
        </row>
      </sheetData>
      <sheetData sheetId="4304">
        <row r="7">
          <cell r="AI7">
            <v>10000</v>
          </cell>
        </row>
      </sheetData>
      <sheetData sheetId="4305">
        <row r="7">
          <cell r="AI7">
            <v>10000</v>
          </cell>
        </row>
      </sheetData>
      <sheetData sheetId="4306">
        <row r="7">
          <cell r="AI7">
            <v>10000</v>
          </cell>
        </row>
      </sheetData>
      <sheetData sheetId="4307">
        <row r="7">
          <cell r="AI7">
            <v>10000</v>
          </cell>
        </row>
      </sheetData>
      <sheetData sheetId="4308">
        <row r="7">
          <cell r="AI7">
            <v>10000</v>
          </cell>
        </row>
      </sheetData>
      <sheetData sheetId="4309">
        <row r="7">
          <cell r="AI7">
            <v>10000</v>
          </cell>
        </row>
      </sheetData>
      <sheetData sheetId="4310">
        <row r="7">
          <cell r="AI7">
            <v>10000</v>
          </cell>
        </row>
      </sheetData>
      <sheetData sheetId="4311">
        <row r="7">
          <cell r="AI7">
            <v>10000</v>
          </cell>
        </row>
      </sheetData>
      <sheetData sheetId="4312">
        <row r="7">
          <cell r="AI7">
            <v>10000</v>
          </cell>
        </row>
      </sheetData>
      <sheetData sheetId="4313">
        <row r="7">
          <cell r="AI7">
            <v>10000</v>
          </cell>
        </row>
      </sheetData>
      <sheetData sheetId="4314">
        <row r="7">
          <cell r="AI7">
            <v>10000</v>
          </cell>
        </row>
      </sheetData>
      <sheetData sheetId="4315">
        <row r="7">
          <cell r="AI7">
            <v>10000</v>
          </cell>
        </row>
      </sheetData>
      <sheetData sheetId="4316">
        <row r="7">
          <cell r="AI7">
            <v>10000</v>
          </cell>
        </row>
      </sheetData>
      <sheetData sheetId="4317">
        <row r="7">
          <cell r="AI7">
            <v>10000</v>
          </cell>
        </row>
      </sheetData>
      <sheetData sheetId="4318">
        <row r="7">
          <cell r="AI7">
            <v>10000</v>
          </cell>
        </row>
      </sheetData>
      <sheetData sheetId="4319">
        <row r="7">
          <cell r="AI7">
            <v>10000</v>
          </cell>
        </row>
      </sheetData>
      <sheetData sheetId="4320">
        <row r="7">
          <cell r="AI7">
            <v>10000</v>
          </cell>
        </row>
      </sheetData>
      <sheetData sheetId="4321">
        <row r="7">
          <cell r="AI7">
            <v>10000</v>
          </cell>
        </row>
      </sheetData>
      <sheetData sheetId="4322">
        <row r="7">
          <cell r="AI7">
            <v>10000</v>
          </cell>
        </row>
      </sheetData>
      <sheetData sheetId="4323">
        <row r="7">
          <cell r="AI7">
            <v>10000</v>
          </cell>
        </row>
      </sheetData>
      <sheetData sheetId="4324">
        <row r="7">
          <cell r="AI7">
            <v>10000</v>
          </cell>
        </row>
      </sheetData>
      <sheetData sheetId="4325">
        <row r="7">
          <cell r="AI7">
            <v>10000</v>
          </cell>
        </row>
      </sheetData>
      <sheetData sheetId="4326">
        <row r="7">
          <cell r="AI7">
            <v>10000</v>
          </cell>
        </row>
      </sheetData>
      <sheetData sheetId="4327">
        <row r="7">
          <cell r="AI7">
            <v>10000</v>
          </cell>
        </row>
      </sheetData>
      <sheetData sheetId="4328">
        <row r="7">
          <cell r="AI7">
            <v>10000</v>
          </cell>
        </row>
      </sheetData>
      <sheetData sheetId="4329">
        <row r="7">
          <cell r="AI7">
            <v>10000</v>
          </cell>
        </row>
      </sheetData>
      <sheetData sheetId="4330">
        <row r="7">
          <cell r="AI7">
            <v>10000</v>
          </cell>
        </row>
      </sheetData>
      <sheetData sheetId="4331">
        <row r="7">
          <cell r="AI7">
            <v>10000</v>
          </cell>
        </row>
      </sheetData>
      <sheetData sheetId="4332">
        <row r="7">
          <cell r="AI7">
            <v>10000</v>
          </cell>
        </row>
      </sheetData>
      <sheetData sheetId="4333">
        <row r="7">
          <cell r="AI7">
            <v>10000</v>
          </cell>
        </row>
      </sheetData>
      <sheetData sheetId="4334">
        <row r="7">
          <cell r="AI7">
            <v>10000</v>
          </cell>
        </row>
      </sheetData>
      <sheetData sheetId="4335">
        <row r="7">
          <cell r="AI7">
            <v>10000</v>
          </cell>
        </row>
      </sheetData>
      <sheetData sheetId="4336">
        <row r="7">
          <cell r="AI7">
            <v>10000</v>
          </cell>
        </row>
      </sheetData>
      <sheetData sheetId="4337">
        <row r="7">
          <cell r="AI7">
            <v>10000</v>
          </cell>
        </row>
      </sheetData>
      <sheetData sheetId="4338">
        <row r="7">
          <cell r="AI7">
            <v>10000</v>
          </cell>
        </row>
      </sheetData>
      <sheetData sheetId="4339">
        <row r="7">
          <cell r="AI7">
            <v>10000</v>
          </cell>
        </row>
      </sheetData>
      <sheetData sheetId="4340">
        <row r="7">
          <cell r="AI7">
            <v>10000</v>
          </cell>
        </row>
      </sheetData>
      <sheetData sheetId="4341">
        <row r="7">
          <cell r="AI7">
            <v>10000</v>
          </cell>
        </row>
      </sheetData>
      <sheetData sheetId="4342">
        <row r="7">
          <cell r="AI7">
            <v>10000</v>
          </cell>
        </row>
      </sheetData>
      <sheetData sheetId="4343">
        <row r="7">
          <cell r="AI7">
            <v>10000</v>
          </cell>
        </row>
      </sheetData>
      <sheetData sheetId="4344">
        <row r="7">
          <cell r="AI7">
            <v>10000</v>
          </cell>
        </row>
      </sheetData>
      <sheetData sheetId="4345">
        <row r="7">
          <cell r="AI7">
            <v>10000</v>
          </cell>
        </row>
      </sheetData>
      <sheetData sheetId="4346">
        <row r="7">
          <cell r="AI7">
            <v>10000</v>
          </cell>
        </row>
      </sheetData>
      <sheetData sheetId="4347">
        <row r="7">
          <cell r="AI7">
            <v>10000</v>
          </cell>
        </row>
      </sheetData>
      <sheetData sheetId="4348">
        <row r="7">
          <cell r="AI7">
            <v>10000</v>
          </cell>
        </row>
      </sheetData>
      <sheetData sheetId="4349">
        <row r="7">
          <cell r="AI7">
            <v>10000</v>
          </cell>
        </row>
      </sheetData>
      <sheetData sheetId="4350">
        <row r="7">
          <cell r="AI7">
            <v>10000</v>
          </cell>
        </row>
      </sheetData>
      <sheetData sheetId="4351">
        <row r="7">
          <cell r="AI7">
            <v>10000</v>
          </cell>
        </row>
      </sheetData>
      <sheetData sheetId="4352">
        <row r="7">
          <cell r="AI7">
            <v>10000</v>
          </cell>
        </row>
      </sheetData>
      <sheetData sheetId="4353">
        <row r="7">
          <cell r="AI7">
            <v>10000</v>
          </cell>
        </row>
      </sheetData>
      <sheetData sheetId="4354">
        <row r="7">
          <cell r="AI7">
            <v>10000</v>
          </cell>
        </row>
      </sheetData>
      <sheetData sheetId="4355">
        <row r="7">
          <cell r="AI7">
            <v>10000</v>
          </cell>
        </row>
      </sheetData>
      <sheetData sheetId="4356">
        <row r="7">
          <cell r="AI7">
            <v>10000</v>
          </cell>
        </row>
      </sheetData>
      <sheetData sheetId="4357">
        <row r="7">
          <cell r="AI7">
            <v>10000</v>
          </cell>
        </row>
      </sheetData>
      <sheetData sheetId="4358">
        <row r="7">
          <cell r="AI7">
            <v>10000</v>
          </cell>
        </row>
      </sheetData>
      <sheetData sheetId="4359">
        <row r="7">
          <cell r="AI7">
            <v>10000</v>
          </cell>
        </row>
      </sheetData>
      <sheetData sheetId="4360">
        <row r="7">
          <cell r="AI7">
            <v>10000</v>
          </cell>
        </row>
      </sheetData>
      <sheetData sheetId="4361">
        <row r="7">
          <cell r="AI7">
            <v>10000</v>
          </cell>
        </row>
      </sheetData>
      <sheetData sheetId="4362">
        <row r="7">
          <cell r="AI7">
            <v>10000</v>
          </cell>
        </row>
      </sheetData>
      <sheetData sheetId="4363">
        <row r="7">
          <cell r="AI7">
            <v>10000</v>
          </cell>
        </row>
      </sheetData>
      <sheetData sheetId="4364">
        <row r="7">
          <cell r="AI7">
            <v>10000</v>
          </cell>
        </row>
      </sheetData>
      <sheetData sheetId="4365">
        <row r="7">
          <cell r="AI7">
            <v>10000</v>
          </cell>
        </row>
      </sheetData>
      <sheetData sheetId="4366">
        <row r="7">
          <cell r="AI7">
            <v>10000</v>
          </cell>
        </row>
      </sheetData>
      <sheetData sheetId="4367">
        <row r="7">
          <cell r="AI7">
            <v>10000</v>
          </cell>
        </row>
      </sheetData>
      <sheetData sheetId="4368">
        <row r="7">
          <cell r="AI7">
            <v>10000</v>
          </cell>
        </row>
      </sheetData>
      <sheetData sheetId="4369">
        <row r="7">
          <cell r="AI7">
            <v>10000</v>
          </cell>
        </row>
      </sheetData>
      <sheetData sheetId="4370">
        <row r="7">
          <cell r="AI7">
            <v>10000</v>
          </cell>
        </row>
      </sheetData>
      <sheetData sheetId="4371">
        <row r="7">
          <cell r="AI7">
            <v>10000</v>
          </cell>
        </row>
      </sheetData>
      <sheetData sheetId="4372">
        <row r="7">
          <cell r="AI7">
            <v>10000</v>
          </cell>
        </row>
      </sheetData>
      <sheetData sheetId="4373">
        <row r="7">
          <cell r="AI7">
            <v>10000</v>
          </cell>
        </row>
      </sheetData>
      <sheetData sheetId="4374">
        <row r="7">
          <cell r="AI7">
            <v>10000</v>
          </cell>
        </row>
      </sheetData>
      <sheetData sheetId="4375">
        <row r="7">
          <cell r="AI7">
            <v>10000</v>
          </cell>
        </row>
      </sheetData>
      <sheetData sheetId="4376">
        <row r="7">
          <cell r="AI7">
            <v>10000</v>
          </cell>
        </row>
      </sheetData>
      <sheetData sheetId="4377">
        <row r="7">
          <cell r="AI7">
            <v>10000</v>
          </cell>
        </row>
      </sheetData>
      <sheetData sheetId="4378">
        <row r="7">
          <cell r="AI7">
            <v>10000</v>
          </cell>
        </row>
      </sheetData>
      <sheetData sheetId="4379">
        <row r="7">
          <cell r="AI7">
            <v>10000</v>
          </cell>
        </row>
      </sheetData>
      <sheetData sheetId="4380">
        <row r="7">
          <cell r="AI7">
            <v>10000</v>
          </cell>
        </row>
      </sheetData>
      <sheetData sheetId="4381">
        <row r="7">
          <cell r="AI7">
            <v>10000</v>
          </cell>
        </row>
      </sheetData>
      <sheetData sheetId="4382">
        <row r="7">
          <cell r="AI7">
            <v>10000</v>
          </cell>
        </row>
      </sheetData>
      <sheetData sheetId="4383">
        <row r="7">
          <cell r="AI7">
            <v>10000</v>
          </cell>
        </row>
      </sheetData>
      <sheetData sheetId="4384">
        <row r="7">
          <cell r="AI7">
            <v>10000</v>
          </cell>
        </row>
      </sheetData>
      <sheetData sheetId="4385">
        <row r="7">
          <cell r="AI7">
            <v>10000</v>
          </cell>
        </row>
      </sheetData>
      <sheetData sheetId="4386">
        <row r="7">
          <cell r="AI7">
            <v>10000</v>
          </cell>
        </row>
      </sheetData>
      <sheetData sheetId="4387">
        <row r="7">
          <cell r="AI7">
            <v>10000</v>
          </cell>
        </row>
      </sheetData>
      <sheetData sheetId="4388">
        <row r="7">
          <cell r="AI7">
            <v>10000</v>
          </cell>
        </row>
      </sheetData>
      <sheetData sheetId="4389">
        <row r="7">
          <cell r="AI7">
            <v>10000</v>
          </cell>
        </row>
      </sheetData>
      <sheetData sheetId="4390">
        <row r="7">
          <cell r="AI7">
            <v>10000</v>
          </cell>
        </row>
      </sheetData>
      <sheetData sheetId="4391">
        <row r="7">
          <cell r="AI7">
            <v>10000</v>
          </cell>
        </row>
      </sheetData>
      <sheetData sheetId="4392">
        <row r="7">
          <cell r="AI7">
            <v>10000</v>
          </cell>
        </row>
      </sheetData>
      <sheetData sheetId="4393">
        <row r="7">
          <cell r="AI7">
            <v>10000</v>
          </cell>
        </row>
      </sheetData>
      <sheetData sheetId="4394">
        <row r="7">
          <cell r="AI7">
            <v>10000</v>
          </cell>
        </row>
      </sheetData>
      <sheetData sheetId="4395">
        <row r="7">
          <cell r="AI7">
            <v>10000</v>
          </cell>
        </row>
      </sheetData>
      <sheetData sheetId="4396">
        <row r="7">
          <cell r="AI7">
            <v>10000</v>
          </cell>
        </row>
      </sheetData>
      <sheetData sheetId="4397">
        <row r="7">
          <cell r="AI7">
            <v>10000</v>
          </cell>
        </row>
      </sheetData>
      <sheetData sheetId="4398">
        <row r="7">
          <cell r="AI7">
            <v>10000</v>
          </cell>
        </row>
      </sheetData>
      <sheetData sheetId="4399">
        <row r="7">
          <cell r="AI7">
            <v>10000</v>
          </cell>
        </row>
      </sheetData>
      <sheetData sheetId="4400">
        <row r="7">
          <cell r="AI7">
            <v>10000</v>
          </cell>
        </row>
      </sheetData>
      <sheetData sheetId="4401">
        <row r="7">
          <cell r="AI7">
            <v>10000</v>
          </cell>
        </row>
      </sheetData>
      <sheetData sheetId="4402">
        <row r="7">
          <cell r="AI7">
            <v>10000</v>
          </cell>
        </row>
      </sheetData>
      <sheetData sheetId="4403">
        <row r="7">
          <cell r="AI7">
            <v>10000</v>
          </cell>
        </row>
      </sheetData>
      <sheetData sheetId="4404">
        <row r="7">
          <cell r="AI7">
            <v>10000</v>
          </cell>
        </row>
      </sheetData>
      <sheetData sheetId="4405">
        <row r="7">
          <cell r="AI7">
            <v>10000</v>
          </cell>
        </row>
      </sheetData>
      <sheetData sheetId="4406">
        <row r="7">
          <cell r="AI7">
            <v>10000</v>
          </cell>
        </row>
      </sheetData>
      <sheetData sheetId="4407">
        <row r="7">
          <cell r="AI7">
            <v>10000</v>
          </cell>
        </row>
      </sheetData>
      <sheetData sheetId="4408">
        <row r="7">
          <cell r="AI7">
            <v>10000</v>
          </cell>
        </row>
      </sheetData>
      <sheetData sheetId="4409">
        <row r="7">
          <cell r="AI7">
            <v>10000</v>
          </cell>
        </row>
      </sheetData>
      <sheetData sheetId="4410">
        <row r="7">
          <cell r="AI7">
            <v>10000</v>
          </cell>
        </row>
      </sheetData>
      <sheetData sheetId="4411">
        <row r="7">
          <cell r="AI7">
            <v>10000</v>
          </cell>
        </row>
      </sheetData>
      <sheetData sheetId="4412">
        <row r="7">
          <cell r="AI7">
            <v>10000</v>
          </cell>
        </row>
      </sheetData>
      <sheetData sheetId="4413">
        <row r="7">
          <cell r="AI7">
            <v>10000</v>
          </cell>
        </row>
      </sheetData>
      <sheetData sheetId="4414">
        <row r="7">
          <cell r="AI7">
            <v>10000</v>
          </cell>
        </row>
      </sheetData>
      <sheetData sheetId="4415">
        <row r="7">
          <cell r="AI7">
            <v>10000</v>
          </cell>
        </row>
      </sheetData>
      <sheetData sheetId="4416">
        <row r="7">
          <cell r="AI7">
            <v>10000</v>
          </cell>
        </row>
      </sheetData>
      <sheetData sheetId="4417">
        <row r="7">
          <cell r="AI7">
            <v>10000</v>
          </cell>
        </row>
      </sheetData>
      <sheetData sheetId="4418">
        <row r="7">
          <cell r="AI7">
            <v>10000</v>
          </cell>
        </row>
      </sheetData>
      <sheetData sheetId="4419">
        <row r="7">
          <cell r="AI7">
            <v>10000</v>
          </cell>
        </row>
      </sheetData>
      <sheetData sheetId="4420">
        <row r="7">
          <cell r="AI7">
            <v>10000</v>
          </cell>
        </row>
      </sheetData>
      <sheetData sheetId="4421">
        <row r="7">
          <cell r="AI7">
            <v>10000</v>
          </cell>
        </row>
      </sheetData>
      <sheetData sheetId="4422">
        <row r="7">
          <cell r="AI7">
            <v>10000</v>
          </cell>
        </row>
      </sheetData>
      <sheetData sheetId="4423">
        <row r="7">
          <cell r="AI7">
            <v>10000</v>
          </cell>
        </row>
      </sheetData>
      <sheetData sheetId="4424">
        <row r="7">
          <cell r="AI7">
            <v>10000</v>
          </cell>
        </row>
      </sheetData>
      <sheetData sheetId="4425">
        <row r="7">
          <cell r="AI7">
            <v>10000</v>
          </cell>
        </row>
      </sheetData>
      <sheetData sheetId="4426">
        <row r="7">
          <cell r="AI7">
            <v>10000</v>
          </cell>
        </row>
      </sheetData>
      <sheetData sheetId="4427">
        <row r="7">
          <cell r="AI7">
            <v>10000</v>
          </cell>
        </row>
      </sheetData>
      <sheetData sheetId="4428">
        <row r="7">
          <cell r="AI7">
            <v>10000</v>
          </cell>
        </row>
      </sheetData>
      <sheetData sheetId="4429">
        <row r="7">
          <cell r="AI7">
            <v>10000</v>
          </cell>
        </row>
      </sheetData>
      <sheetData sheetId="4430">
        <row r="7">
          <cell r="AI7">
            <v>10000</v>
          </cell>
        </row>
      </sheetData>
      <sheetData sheetId="4431">
        <row r="7">
          <cell r="AI7">
            <v>10000</v>
          </cell>
        </row>
      </sheetData>
      <sheetData sheetId="4432">
        <row r="7">
          <cell r="AI7">
            <v>10000</v>
          </cell>
        </row>
      </sheetData>
      <sheetData sheetId="4433">
        <row r="7">
          <cell r="AI7">
            <v>10000</v>
          </cell>
        </row>
      </sheetData>
      <sheetData sheetId="4434">
        <row r="7">
          <cell r="AI7">
            <v>10000</v>
          </cell>
        </row>
      </sheetData>
      <sheetData sheetId="4435">
        <row r="7">
          <cell r="AI7">
            <v>10000</v>
          </cell>
        </row>
      </sheetData>
      <sheetData sheetId="4436">
        <row r="7">
          <cell r="AI7">
            <v>10000</v>
          </cell>
        </row>
      </sheetData>
      <sheetData sheetId="4437">
        <row r="7">
          <cell r="AI7">
            <v>10000</v>
          </cell>
        </row>
      </sheetData>
      <sheetData sheetId="4438">
        <row r="7">
          <cell r="AI7">
            <v>10000</v>
          </cell>
        </row>
      </sheetData>
      <sheetData sheetId="4439">
        <row r="7">
          <cell r="AI7">
            <v>10000</v>
          </cell>
        </row>
      </sheetData>
      <sheetData sheetId="4440">
        <row r="7">
          <cell r="AI7">
            <v>10000</v>
          </cell>
        </row>
      </sheetData>
      <sheetData sheetId="4441">
        <row r="7">
          <cell r="AI7">
            <v>10000</v>
          </cell>
        </row>
      </sheetData>
      <sheetData sheetId="4442">
        <row r="7">
          <cell r="AI7">
            <v>10000</v>
          </cell>
        </row>
      </sheetData>
      <sheetData sheetId="4443">
        <row r="7">
          <cell r="AI7">
            <v>10000</v>
          </cell>
        </row>
      </sheetData>
      <sheetData sheetId="4444">
        <row r="7">
          <cell r="AI7">
            <v>10000</v>
          </cell>
        </row>
      </sheetData>
      <sheetData sheetId="4445">
        <row r="7">
          <cell r="AI7">
            <v>10000</v>
          </cell>
        </row>
      </sheetData>
      <sheetData sheetId="4446">
        <row r="7">
          <cell r="AI7">
            <v>10000</v>
          </cell>
        </row>
      </sheetData>
      <sheetData sheetId="4447">
        <row r="7">
          <cell r="AI7">
            <v>10000</v>
          </cell>
        </row>
      </sheetData>
      <sheetData sheetId="4448">
        <row r="7">
          <cell r="AI7">
            <v>10000</v>
          </cell>
        </row>
      </sheetData>
      <sheetData sheetId="4449">
        <row r="7">
          <cell r="AI7">
            <v>10000</v>
          </cell>
        </row>
      </sheetData>
      <sheetData sheetId="4450">
        <row r="7">
          <cell r="AI7">
            <v>10000</v>
          </cell>
        </row>
      </sheetData>
      <sheetData sheetId="4451">
        <row r="7">
          <cell r="AI7">
            <v>10000</v>
          </cell>
        </row>
      </sheetData>
      <sheetData sheetId="4452">
        <row r="7">
          <cell r="AI7">
            <v>10000</v>
          </cell>
        </row>
      </sheetData>
      <sheetData sheetId="4453">
        <row r="7">
          <cell r="AI7">
            <v>10000</v>
          </cell>
        </row>
      </sheetData>
      <sheetData sheetId="4454">
        <row r="7">
          <cell r="AI7">
            <v>10000</v>
          </cell>
        </row>
      </sheetData>
      <sheetData sheetId="4455">
        <row r="7">
          <cell r="AI7">
            <v>10000</v>
          </cell>
        </row>
      </sheetData>
      <sheetData sheetId="4456">
        <row r="7">
          <cell r="AI7">
            <v>10000</v>
          </cell>
        </row>
      </sheetData>
      <sheetData sheetId="4457">
        <row r="7">
          <cell r="AI7">
            <v>10000</v>
          </cell>
        </row>
      </sheetData>
      <sheetData sheetId="4458">
        <row r="7">
          <cell r="AI7">
            <v>10000</v>
          </cell>
        </row>
      </sheetData>
      <sheetData sheetId="4459">
        <row r="7">
          <cell r="AI7">
            <v>10000</v>
          </cell>
        </row>
      </sheetData>
      <sheetData sheetId="4460">
        <row r="7">
          <cell r="AI7">
            <v>10000</v>
          </cell>
        </row>
      </sheetData>
      <sheetData sheetId="4461">
        <row r="7">
          <cell r="AI7">
            <v>10000</v>
          </cell>
        </row>
      </sheetData>
      <sheetData sheetId="4462">
        <row r="7">
          <cell r="AI7">
            <v>10000</v>
          </cell>
        </row>
      </sheetData>
      <sheetData sheetId="4463">
        <row r="7">
          <cell r="AI7">
            <v>10000</v>
          </cell>
        </row>
      </sheetData>
      <sheetData sheetId="4464">
        <row r="7">
          <cell r="AI7">
            <v>10000</v>
          </cell>
        </row>
      </sheetData>
      <sheetData sheetId="4465">
        <row r="7">
          <cell r="AI7">
            <v>10000</v>
          </cell>
        </row>
      </sheetData>
      <sheetData sheetId="4466">
        <row r="7">
          <cell r="AI7">
            <v>10000</v>
          </cell>
        </row>
      </sheetData>
      <sheetData sheetId="4467">
        <row r="7">
          <cell r="AI7">
            <v>10000</v>
          </cell>
        </row>
      </sheetData>
      <sheetData sheetId="4468">
        <row r="7">
          <cell r="AI7">
            <v>10000</v>
          </cell>
        </row>
      </sheetData>
      <sheetData sheetId="4469">
        <row r="7">
          <cell r="AI7">
            <v>10000</v>
          </cell>
        </row>
      </sheetData>
      <sheetData sheetId="4470">
        <row r="7">
          <cell r="AI7">
            <v>10000</v>
          </cell>
        </row>
      </sheetData>
      <sheetData sheetId="4471">
        <row r="7">
          <cell r="AI7">
            <v>10000</v>
          </cell>
        </row>
      </sheetData>
      <sheetData sheetId="4472">
        <row r="7">
          <cell r="AI7">
            <v>10000</v>
          </cell>
        </row>
      </sheetData>
      <sheetData sheetId="4473">
        <row r="7">
          <cell r="AI7">
            <v>10000</v>
          </cell>
        </row>
      </sheetData>
      <sheetData sheetId="4474">
        <row r="7">
          <cell r="AI7">
            <v>10000</v>
          </cell>
        </row>
      </sheetData>
      <sheetData sheetId="4475">
        <row r="7">
          <cell r="AI7">
            <v>10000</v>
          </cell>
        </row>
      </sheetData>
      <sheetData sheetId="4476">
        <row r="7">
          <cell r="AI7">
            <v>10000</v>
          </cell>
        </row>
      </sheetData>
      <sheetData sheetId="4477">
        <row r="7">
          <cell r="AI7">
            <v>10000</v>
          </cell>
        </row>
      </sheetData>
      <sheetData sheetId="4478">
        <row r="7">
          <cell r="AI7">
            <v>10000</v>
          </cell>
        </row>
      </sheetData>
      <sheetData sheetId="4479">
        <row r="7">
          <cell r="AI7">
            <v>10000</v>
          </cell>
        </row>
      </sheetData>
      <sheetData sheetId="4480">
        <row r="7">
          <cell r="AI7">
            <v>10000</v>
          </cell>
        </row>
      </sheetData>
      <sheetData sheetId="4481">
        <row r="7">
          <cell r="AI7">
            <v>10000</v>
          </cell>
        </row>
      </sheetData>
      <sheetData sheetId="4482">
        <row r="7">
          <cell r="AI7">
            <v>10000</v>
          </cell>
        </row>
      </sheetData>
      <sheetData sheetId="4483">
        <row r="7">
          <cell r="AI7">
            <v>10000</v>
          </cell>
        </row>
      </sheetData>
      <sheetData sheetId="4484">
        <row r="7">
          <cell r="AI7">
            <v>10000</v>
          </cell>
        </row>
      </sheetData>
      <sheetData sheetId="4485">
        <row r="7">
          <cell r="AI7">
            <v>10000</v>
          </cell>
        </row>
      </sheetData>
      <sheetData sheetId="4486">
        <row r="7">
          <cell r="AI7">
            <v>10000</v>
          </cell>
        </row>
      </sheetData>
      <sheetData sheetId="4487">
        <row r="7">
          <cell r="AI7">
            <v>10000</v>
          </cell>
        </row>
      </sheetData>
      <sheetData sheetId="4488">
        <row r="7">
          <cell r="AI7">
            <v>10000</v>
          </cell>
        </row>
      </sheetData>
      <sheetData sheetId="4489">
        <row r="7">
          <cell r="AI7">
            <v>10000</v>
          </cell>
        </row>
      </sheetData>
      <sheetData sheetId="4490">
        <row r="7">
          <cell r="AI7">
            <v>10000</v>
          </cell>
        </row>
      </sheetData>
      <sheetData sheetId="4491">
        <row r="7">
          <cell r="AI7">
            <v>10000</v>
          </cell>
        </row>
      </sheetData>
      <sheetData sheetId="4492">
        <row r="7">
          <cell r="AI7">
            <v>10000</v>
          </cell>
        </row>
      </sheetData>
      <sheetData sheetId="4493">
        <row r="7">
          <cell r="AI7">
            <v>10000</v>
          </cell>
        </row>
      </sheetData>
      <sheetData sheetId="4494">
        <row r="7">
          <cell r="AI7">
            <v>10000</v>
          </cell>
        </row>
      </sheetData>
      <sheetData sheetId="4495">
        <row r="7">
          <cell r="AI7">
            <v>10000</v>
          </cell>
        </row>
      </sheetData>
      <sheetData sheetId="4496">
        <row r="7">
          <cell r="AI7">
            <v>10000</v>
          </cell>
        </row>
      </sheetData>
      <sheetData sheetId="4497">
        <row r="7">
          <cell r="AI7">
            <v>10000</v>
          </cell>
        </row>
      </sheetData>
      <sheetData sheetId="4498">
        <row r="7">
          <cell r="AI7">
            <v>10000</v>
          </cell>
        </row>
      </sheetData>
      <sheetData sheetId="4499">
        <row r="7">
          <cell r="AI7">
            <v>10000</v>
          </cell>
        </row>
      </sheetData>
      <sheetData sheetId="4500">
        <row r="7">
          <cell r="AI7">
            <v>10000</v>
          </cell>
        </row>
      </sheetData>
      <sheetData sheetId="4501">
        <row r="7">
          <cell r="AI7">
            <v>10000</v>
          </cell>
        </row>
      </sheetData>
      <sheetData sheetId="4502">
        <row r="7">
          <cell r="AI7">
            <v>10000</v>
          </cell>
        </row>
      </sheetData>
      <sheetData sheetId="4503">
        <row r="7">
          <cell r="AI7">
            <v>10000</v>
          </cell>
        </row>
      </sheetData>
      <sheetData sheetId="4504">
        <row r="7">
          <cell r="AI7">
            <v>10000</v>
          </cell>
        </row>
      </sheetData>
      <sheetData sheetId="4505">
        <row r="7">
          <cell r="AI7">
            <v>10000</v>
          </cell>
        </row>
      </sheetData>
      <sheetData sheetId="4506">
        <row r="7">
          <cell r="AI7">
            <v>10000</v>
          </cell>
        </row>
      </sheetData>
      <sheetData sheetId="4507">
        <row r="7">
          <cell r="AI7">
            <v>10000</v>
          </cell>
        </row>
      </sheetData>
      <sheetData sheetId="4508">
        <row r="7">
          <cell r="AI7">
            <v>10000</v>
          </cell>
        </row>
      </sheetData>
      <sheetData sheetId="4509">
        <row r="7">
          <cell r="AI7">
            <v>10000</v>
          </cell>
        </row>
      </sheetData>
      <sheetData sheetId="4510">
        <row r="7">
          <cell r="AI7">
            <v>10000</v>
          </cell>
        </row>
      </sheetData>
      <sheetData sheetId="4511">
        <row r="7">
          <cell r="AI7">
            <v>10000</v>
          </cell>
        </row>
      </sheetData>
      <sheetData sheetId="4512">
        <row r="7">
          <cell r="AI7">
            <v>10000</v>
          </cell>
        </row>
      </sheetData>
      <sheetData sheetId="4513">
        <row r="7">
          <cell r="AI7">
            <v>10000</v>
          </cell>
        </row>
      </sheetData>
      <sheetData sheetId="4514">
        <row r="7">
          <cell r="AI7">
            <v>10000</v>
          </cell>
        </row>
      </sheetData>
      <sheetData sheetId="4515">
        <row r="7">
          <cell r="AI7">
            <v>10000</v>
          </cell>
        </row>
      </sheetData>
      <sheetData sheetId="4516">
        <row r="7">
          <cell r="AI7">
            <v>10000</v>
          </cell>
        </row>
      </sheetData>
      <sheetData sheetId="4517">
        <row r="7">
          <cell r="AI7">
            <v>10000</v>
          </cell>
        </row>
      </sheetData>
      <sheetData sheetId="4518">
        <row r="7">
          <cell r="AI7">
            <v>10000</v>
          </cell>
        </row>
      </sheetData>
      <sheetData sheetId="4519">
        <row r="7">
          <cell r="AI7">
            <v>10000</v>
          </cell>
        </row>
      </sheetData>
      <sheetData sheetId="4520">
        <row r="7">
          <cell r="AI7">
            <v>10000</v>
          </cell>
        </row>
      </sheetData>
      <sheetData sheetId="4521">
        <row r="7">
          <cell r="AI7">
            <v>10000</v>
          </cell>
        </row>
      </sheetData>
      <sheetData sheetId="4522">
        <row r="7">
          <cell r="AI7">
            <v>10000</v>
          </cell>
        </row>
      </sheetData>
      <sheetData sheetId="4523">
        <row r="7">
          <cell r="AI7">
            <v>10000</v>
          </cell>
        </row>
      </sheetData>
      <sheetData sheetId="4524">
        <row r="7">
          <cell r="AI7">
            <v>10000</v>
          </cell>
        </row>
      </sheetData>
      <sheetData sheetId="4525">
        <row r="7">
          <cell r="AI7">
            <v>10000</v>
          </cell>
        </row>
      </sheetData>
      <sheetData sheetId="4526">
        <row r="7">
          <cell r="AI7">
            <v>10000</v>
          </cell>
        </row>
      </sheetData>
      <sheetData sheetId="4527">
        <row r="7">
          <cell r="AI7">
            <v>10000</v>
          </cell>
        </row>
      </sheetData>
      <sheetData sheetId="4528">
        <row r="7">
          <cell r="AI7">
            <v>10000</v>
          </cell>
        </row>
      </sheetData>
      <sheetData sheetId="4529">
        <row r="7">
          <cell r="AI7">
            <v>10000</v>
          </cell>
        </row>
      </sheetData>
      <sheetData sheetId="4530">
        <row r="7">
          <cell r="AI7">
            <v>10000</v>
          </cell>
        </row>
      </sheetData>
      <sheetData sheetId="4531">
        <row r="7">
          <cell r="AI7">
            <v>10000</v>
          </cell>
        </row>
      </sheetData>
      <sheetData sheetId="4532">
        <row r="7">
          <cell r="AI7">
            <v>10000</v>
          </cell>
        </row>
      </sheetData>
      <sheetData sheetId="4533">
        <row r="7">
          <cell r="AI7">
            <v>10000</v>
          </cell>
        </row>
      </sheetData>
      <sheetData sheetId="4534">
        <row r="7">
          <cell r="AI7">
            <v>10000</v>
          </cell>
        </row>
      </sheetData>
      <sheetData sheetId="4535">
        <row r="7">
          <cell r="AI7">
            <v>10000</v>
          </cell>
        </row>
      </sheetData>
      <sheetData sheetId="4536">
        <row r="7">
          <cell r="AI7">
            <v>10000</v>
          </cell>
        </row>
      </sheetData>
      <sheetData sheetId="4537">
        <row r="7">
          <cell r="AI7">
            <v>10000</v>
          </cell>
        </row>
      </sheetData>
      <sheetData sheetId="4538">
        <row r="7">
          <cell r="AI7">
            <v>10000</v>
          </cell>
        </row>
      </sheetData>
      <sheetData sheetId="4539">
        <row r="7">
          <cell r="AI7">
            <v>10000</v>
          </cell>
        </row>
      </sheetData>
      <sheetData sheetId="4540">
        <row r="7">
          <cell r="AI7">
            <v>10000</v>
          </cell>
        </row>
      </sheetData>
      <sheetData sheetId="4541">
        <row r="7">
          <cell r="AI7">
            <v>10000</v>
          </cell>
        </row>
      </sheetData>
      <sheetData sheetId="4542">
        <row r="7">
          <cell r="AI7">
            <v>10000</v>
          </cell>
        </row>
      </sheetData>
      <sheetData sheetId="4543">
        <row r="7">
          <cell r="AI7">
            <v>10000</v>
          </cell>
        </row>
      </sheetData>
      <sheetData sheetId="4544">
        <row r="7">
          <cell r="AI7">
            <v>10000</v>
          </cell>
        </row>
      </sheetData>
      <sheetData sheetId="4545">
        <row r="7">
          <cell r="AI7">
            <v>10000</v>
          </cell>
        </row>
      </sheetData>
      <sheetData sheetId="4546">
        <row r="7">
          <cell r="AI7">
            <v>10000</v>
          </cell>
        </row>
      </sheetData>
      <sheetData sheetId="4547">
        <row r="7">
          <cell r="AI7">
            <v>10000</v>
          </cell>
        </row>
      </sheetData>
      <sheetData sheetId="4548">
        <row r="7">
          <cell r="AI7">
            <v>10000</v>
          </cell>
        </row>
      </sheetData>
      <sheetData sheetId="4549">
        <row r="7">
          <cell r="AI7">
            <v>10000</v>
          </cell>
        </row>
      </sheetData>
      <sheetData sheetId="4550">
        <row r="7">
          <cell r="AI7">
            <v>10000</v>
          </cell>
        </row>
      </sheetData>
      <sheetData sheetId="4551">
        <row r="7">
          <cell r="AI7">
            <v>10000</v>
          </cell>
        </row>
      </sheetData>
      <sheetData sheetId="4552">
        <row r="7">
          <cell r="AI7">
            <v>10000</v>
          </cell>
        </row>
      </sheetData>
      <sheetData sheetId="4553">
        <row r="7">
          <cell r="AI7">
            <v>10000</v>
          </cell>
        </row>
      </sheetData>
      <sheetData sheetId="4554">
        <row r="7">
          <cell r="AI7">
            <v>10000</v>
          </cell>
        </row>
      </sheetData>
      <sheetData sheetId="4555">
        <row r="7">
          <cell r="AI7">
            <v>10000</v>
          </cell>
        </row>
      </sheetData>
      <sheetData sheetId="4556">
        <row r="7">
          <cell r="AI7">
            <v>10000</v>
          </cell>
        </row>
      </sheetData>
      <sheetData sheetId="4557">
        <row r="7">
          <cell r="AI7">
            <v>10000</v>
          </cell>
        </row>
      </sheetData>
      <sheetData sheetId="4558">
        <row r="7">
          <cell r="AI7">
            <v>10000</v>
          </cell>
        </row>
      </sheetData>
      <sheetData sheetId="4559">
        <row r="7">
          <cell r="AI7">
            <v>10000</v>
          </cell>
        </row>
      </sheetData>
      <sheetData sheetId="4560">
        <row r="7">
          <cell r="AI7">
            <v>10000</v>
          </cell>
        </row>
      </sheetData>
      <sheetData sheetId="4561">
        <row r="7">
          <cell r="AI7">
            <v>10000</v>
          </cell>
        </row>
      </sheetData>
      <sheetData sheetId="4562">
        <row r="7">
          <cell r="AI7">
            <v>10000</v>
          </cell>
        </row>
      </sheetData>
      <sheetData sheetId="4563">
        <row r="7">
          <cell r="AI7">
            <v>10000</v>
          </cell>
        </row>
      </sheetData>
      <sheetData sheetId="4564">
        <row r="7">
          <cell r="AI7">
            <v>10000</v>
          </cell>
        </row>
      </sheetData>
      <sheetData sheetId="4565">
        <row r="7">
          <cell r="AI7">
            <v>10000</v>
          </cell>
        </row>
      </sheetData>
      <sheetData sheetId="4566">
        <row r="7">
          <cell r="AI7">
            <v>10000</v>
          </cell>
        </row>
      </sheetData>
      <sheetData sheetId="4567">
        <row r="7">
          <cell r="AI7">
            <v>10000</v>
          </cell>
        </row>
      </sheetData>
      <sheetData sheetId="4568">
        <row r="7">
          <cell r="AI7">
            <v>10000</v>
          </cell>
        </row>
      </sheetData>
      <sheetData sheetId="4569">
        <row r="7">
          <cell r="AI7">
            <v>10000</v>
          </cell>
        </row>
      </sheetData>
      <sheetData sheetId="4570">
        <row r="7">
          <cell r="AI7">
            <v>10000</v>
          </cell>
        </row>
      </sheetData>
      <sheetData sheetId="4571">
        <row r="7">
          <cell r="AI7">
            <v>10000</v>
          </cell>
        </row>
      </sheetData>
      <sheetData sheetId="4572">
        <row r="7">
          <cell r="AI7">
            <v>10000</v>
          </cell>
        </row>
      </sheetData>
      <sheetData sheetId="4573">
        <row r="7">
          <cell r="AI7">
            <v>10000</v>
          </cell>
        </row>
      </sheetData>
      <sheetData sheetId="4574">
        <row r="7">
          <cell r="AI7">
            <v>10000</v>
          </cell>
        </row>
      </sheetData>
      <sheetData sheetId="4575">
        <row r="7">
          <cell r="AI7">
            <v>10000</v>
          </cell>
        </row>
      </sheetData>
      <sheetData sheetId="4576">
        <row r="7">
          <cell r="AI7">
            <v>10000</v>
          </cell>
        </row>
      </sheetData>
      <sheetData sheetId="4577">
        <row r="7">
          <cell r="AI7">
            <v>10000</v>
          </cell>
        </row>
      </sheetData>
      <sheetData sheetId="4578">
        <row r="7">
          <cell r="AI7">
            <v>10000</v>
          </cell>
        </row>
      </sheetData>
      <sheetData sheetId="4579">
        <row r="7">
          <cell r="AI7">
            <v>10000</v>
          </cell>
        </row>
      </sheetData>
      <sheetData sheetId="4580">
        <row r="7">
          <cell r="AI7">
            <v>10000</v>
          </cell>
        </row>
      </sheetData>
      <sheetData sheetId="4581">
        <row r="7">
          <cell r="AI7">
            <v>10000</v>
          </cell>
        </row>
      </sheetData>
      <sheetData sheetId="4582">
        <row r="7">
          <cell r="AI7">
            <v>10000</v>
          </cell>
        </row>
      </sheetData>
      <sheetData sheetId="4583">
        <row r="7">
          <cell r="AI7">
            <v>10000</v>
          </cell>
        </row>
      </sheetData>
      <sheetData sheetId="4584">
        <row r="7">
          <cell r="AI7">
            <v>10000</v>
          </cell>
        </row>
      </sheetData>
      <sheetData sheetId="4585">
        <row r="7">
          <cell r="AI7">
            <v>10000</v>
          </cell>
        </row>
      </sheetData>
      <sheetData sheetId="4586">
        <row r="7">
          <cell r="AI7">
            <v>10000</v>
          </cell>
        </row>
      </sheetData>
      <sheetData sheetId="4587">
        <row r="7">
          <cell r="AI7">
            <v>10000</v>
          </cell>
        </row>
      </sheetData>
      <sheetData sheetId="4588">
        <row r="7">
          <cell r="AI7">
            <v>10000</v>
          </cell>
        </row>
      </sheetData>
      <sheetData sheetId="4589">
        <row r="7">
          <cell r="AI7">
            <v>10000</v>
          </cell>
        </row>
      </sheetData>
      <sheetData sheetId="4590">
        <row r="7">
          <cell r="AI7">
            <v>10000</v>
          </cell>
        </row>
      </sheetData>
      <sheetData sheetId="4591">
        <row r="7">
          <cell r="AI7">
            <v>10000</v>
          </cell>
        </row>
      </sheetData>
      <sheetData sheetId="4592">
        <row r="7">
          <cell r="AI7">
            <v>10000</v>
          </cell>
        </row>
      </sheetData>
      <sheetData sheetId="4593">
        <row r="7">
          <cell r="AI7">
            <v>10000</v>
          </cell>
        </row>
      </sheetData>
      <sheetData sheetId="4594">
        <row r="7">
          <cell r="AI7">
            <v>10000</v>
          </cell>
        </row>
      </sheetData>
      <sheetData sheetId="4595">
        <row r="7">
          <cell r="AI7">
            <v>10000</v>
          </cell>
        </row>
      </sheetData>
      <sheetData sheetId="4596">
        <row r="7">
          <cell r="AI7">
            <v>10000</v>
          </cell>
        </row>
      </sheetData>
      <sheetData sheetId="4597">
        <row r="7">
          <cell r="AI7">
            <v>10000</v>
          </cell>
        </row>
      </sheetData>
      <sheetData sheetId="4598">
        <row r="7">
          <cell r="AI7">
            <v>10000</v>
          </cell>
        </row>
      </sheetData>
      <sheetData sheetId="4599">
        <row r="7">
          <cell r="AI7">
            <v>10000</v>
          </cell>
        </row>
      </sheetData>
      <sheetData sheetId="4600">
        <row r="7">
          <cell r="AI7">
            <v>10000</v>
          </cell>
        </row>
      </sheetData>
      <sheetData sheetId="4601">
        <row r="7">
          <cell r="AI7">
            <v>10000</v>
          </cell>
        </row>
      </sheetData>
      <sheetData sheetId="4602">
        <row r="7">
          <cell r="AI7">
            <v>10000</v>
          </cell>
        </row>
      </sheetData>
      <sheetData sheetId="4603">
        <row r="7">
          <cell r="AI7">
            <v>10000</v>
          </cell>
        </row>
      </sheetData>
      <sheetData sheetId="4604">
        <row r="7">
          <cell r="AI7">
            <v>10000</v>
          </cell>
        </row>
      </sheetData>
      <sheetData sheetId="4605">
        <row r="7">
          <cell r="AI7">
            <v>10000</v>
          </cell>
        </row>
      </sheetData>
      <sheetData sheetId="4606">
        <row r="7">
          <cell r="AI7">
            <v>10000</v>
          </cell>
        </row>
      </sheetData>
      <sheetData sheetId="4607">
        <row r="7">
          <cell r="AI7">
            <v>10000</v>
          </cell>
        </row>
      </sheetData>
      <sheetData sheetId="4608">
        <row r="7">
          <cell r="AI7">
            <v>10000</v>
          </cell>
        </row>
      </sheetData>
      <sheetData sheetId="4609">
        <row r="7">
          <cell r="AI7">
            <v>10000</v>
          </cell>
        </row>
      </sheetData>
      <sheetData sheetId="4610">
        <row r="7">
          <cell r="AI7">
            <v>10000</v>
          </cell>
        </row>
      </sheetData>
      <sheetData sheetId="4611">
        <row r="7">
          <cell r="AI7">
            <v>10000</v>
          </cell>
        </row>
      </sheetData>
      <sheetData sheetId="4612">
        <row r="7">
          <cell r="AI7">
            <v>10000</v>
          </cell>
        </row>
      </sheetData>
      <sheetData sheetId="4613">
        <row r="7">
          <cell r="AI7">
            <v>10000</v>
          </cell>
        </row>
      </sheetData>
      <sheetData sheetId="4614">
        <row r="7">
          <cell r="AI7">
            <v>10000</v>
          </cell>
        </row>
      </sheetData>
      <sheetData sheetId="4615">
        <row r="7">
          <cell r="AI7">
            <v>10000</v>
          </cell>
        </row>
      </sheetData>
      <sheetData sheetId="4616">
        <row r="7">
          <cell r="AI7">
            <v>10000</v>
          </cell>
        </row>
      </sheetData>
      <sheetData sheetId="4617">
        <row r="7">
          <cell r="AI7">
            <v>10000</v>
          </cell>
        </row>
      </sheetData>
      <sheetData sheetId="4618">
        <row r="7">
          <cell r="AI7">
            <v>10000</v>
          </cell>
        </row>
      </sheetData>
      <sheetData sheetId="4619">
        <row r="7">
          <cell r="AI7">
            <v>10000</v>
          </cell>
        </row>
      </sheetData>
      <sheetData sheetId="4620">
        <row r="7">
          <cell r="AI7">
            <v>10000</v>
          </cell>
        </row>
      </sheetData>
      <sheetData sheetId="4621">
        <row r="7">
          <cell r="AI7">
            <v>10000</v>
          </cell>
        </row>
      </sheetData>
      <sheetData sheetId="4622">
        <row r="7">
          <cell r="AI7">
            <v>10000</v>
          </cell>
        </row>
      </sheetData>
      <sheetData sheetId="4623">
        <row r="7">
          <cell r="AI7">
            <v>10000</v>
          </cell>
        </row>
      </sheetData>
      <sheetData sheetId="4624">
        <row r="7">
          <cell r="AI7">
            <v>10000</v>
          </cell>
        </row>
      </sheetData>
      <sheetData sheetId="4625">
        <row r="7">
          <cell r="AI7">
            <v>10000</v>
          </cell>
        </row>
      </sheetData>
      <sheetData sheetId="4626">
        <row r="7">
          <cell r="AI7">
            <v>10000</v>
          </cell>
        </row>
      </sheetData>
      <sheetData sheetId="4627">
        <row r="7">
          <cell r="AI7">
            <v>10000</v>
          </cell>
        </row>
      </sheetData>
      <sheetData sheetId="4628">
        <row r="7">
          <cell r="AI7">
            <v>10000</v>
          </cell>
        </row>
      </sheetData>
      <sheetData sheetId="4629">
        <row r="7">
          <cell r="AI7">
            <v>10000</v>
          </cell>
        </row>
      </sheetData>
      <sheetData sheetId="4630">
        <row r="7">
          <cell r="AI7">
            <v>10000</v>
          </cell>
        </row>
      </sheetData>
      <sheetData sheetId="4631">
        <row r="7">
          <cell r="AI7">
            <v>10000</v>
          </cell>
        </row>
      </sheetData>
      <sheetData sheetId="4632">
        <row r="7">
          <cell r="AI7">
            <v>10000</v>
          </cell>
        </row>
      </sheetData>
      <sheetData sheetId="4633">
        <row r="7">
          <cell r="AI7">
            <v>10000</v>
          </cell>
        </row>
      </sheetData>
      <sheetData sheetId="4634">
        <row r="7">
          <cell r="AI7">
            <v>10000</v>
          </cell>
        </row>
      </sheetData>
      <sheetData sheetId="4635">
        <row r="7">
          <cell r="AI7">
            <v>10000</v>
          </cell>
        </row>
      </sheetData>
      <sheetData sheetId="4636">
        <row r="7">
          <cell r="AI7">
            <v>10000</v>
          </cell>
        </row>
      </sheetData>
      <sheetData sheetId="4637">
        <row r="7">
          <cell r="AI7">
            <v>10000</v>
          </cell>
        </row>
      </sheetData>
      <sheetData sheetId="4638">
        <row r="7">
          <cell r="AI7">
            <v>10000</v>
          </cell>
        </row>
      </sheetData>
      <sheetData sheetId="4639">
        <row r="7">
          <cell r="AI7">
            <v>10000</v>
          </cell>
        </row>
      </sheetData>
      <sheetData sheetId="4640">
        <row r="7">
          <cell r="AI7">
            <v>10000</v>
          </cell>
        </row>
      </sheetData>
      <sheetData sheetId="4641">
        <row r="7">
          <cell r="AI7">
            <v>10000</v>
          </cell>
        </row>
      </sheetData>
      <sheetData sheetId="4642">
        <row r="7">
          <cell r="AI7">
            <v>10000</v>
          </cell>
        </row>
      </sheetData>
      <sheetData sheetId="4643">
        <row r="7">
          <cell r="AI7">
            <v>10000</v>
          </cell>
        </row>
      </sheetData>
      <sheetData sheetId="4644">
        <row r="7">
          <cell r="AI7">
            <v>10000</v>
          </cell>
        </row>
      </sheetData>
      <sheetData sheetId="4645">
        <row r="7">
          <cell r="AI7">
            <v>10000</v>
          </cell>
        </row>
      </sheetData>
      <sheetData sheetId="4646">
        <row r="7">
          <cell r="AI7">
            <v>10000</v>
          </cell>
        </row>
      </sheetData>
      <sheetData sheetId="4647">
        <row r="7">
          <cell r="AI7">
            <v>10000</v>
          </cell>
        </row>
      </sheetData>
      <sheetData sheetId="4648">
        <row r="7">
          <cell r="AI7">
            <v>10000</v>
          </cell>
        </row>
      </sheetData>
      <sheetData sheetId="4649">
        <row r="7">
          <cell r="AI7">
            <v>10000</v>
          </cell>
        </row>
      </sheetData>
      <sheetData sheetId="4650">
        <row r="7">
          <cell r="AI7">
            <v>10000</v>
          </cell>
        </row>
      </sheetData>
      <sheetData sheetId="4651">
        <row r="7">
          <cell r="AI7">
            <v>10000</v>
          </cell>
        </row>
      </sheetData>
      <sheetData sheetId="4652">
        <row r="7">
          <cell r="AI7">
            <v>10000</v>
          </cell>
        </row>
      </sheetData>
      <sheetData sheetId="4653">
        <row r="7">
          <cell r="AI7">
            <v>10000</v>
          </cell>
        </row>
      </sheetData>
      <sheetData sheetId="4654">
        <row r="7">
          <cell r="AI7">
            <v>10000</v>
          </cell>
        </row>
      </sheetData>
      <sheetData sheetId="4655">
        <row r="7">
          <cell r="AI7">
            <v>10000</v>
          </cell>
        </row>
      </sheetData>
      <sheetData sheetId="4656">
        <row r="7">
          <cell r="AI7">
            <v>10000</v>
          </cell>
        </row>
      </sheetData>
      <sheetData sheetId="4657">
        <row r="7">
          <cell r="AI7">
            <v>10000</v>
          </cell>
        </row>
      </sheetData>
      <sheetData sheetId="4658">
        <row r="7">
          <cell r="AI7">
            <v>10000</v>
          </cell>
        </row>
      </sheetData>
      <sheetData sheetId="4659">
        <row r="7">
          <cell r="AI7">
            <v>10000</v>
          </cell>
        </row>
      </sheetData>
      <sheetData sheetId="4660">
        <row r="7">
          <cell r="AI7">
            <v>10000</v>
          </cell>
        </row>
      </sheetData>
      <sheetData sheetId="4661">
        <row r="7">
          <cell r="AI7">
            <v>10000</v>
          </cell>
        </row>
      </sheetData>
      <sheetData sheetId="4662">
        <row r="7">
          <cell r="AI7">
            <v>10000</v>
          </cell>
        </row>
      </sheetData>
      <sheetData sheetId="4663">
        <row r="7">
          <cell r="AI7">
            <v>10000</v>
          </cell>
        </row>
      </sheetData>
      <sheetData sheetId="4664">
        <row r="7">
          <cell r="AI7">
            <v>10000</v>
          </cell>
        </row>
      </sheetData>
      <sheetData sheetId="4665">
        <row r="7">
          <cell r="AI7">
            <v>10000</v>
          </cell>
        </row>
      </sheetData>
      <sheetData sheetId="4666">
        <row r="7">
          <cell r="AI7">
            <v>10000</v>
          </cell>
        </row>
      </sheetData>
      <sheetData sheetId="4667">
        <row r="7">
          <cell r="AI7">
            <v>10000</v>
          </cell>
        </row>
      </sheetData>
      <sheetData sheetId="4668">
        <row r="7">
          <cell r="AI7">
            <v>10000</v>
          </cell>
        </row>
      </sheetData>
      <sheetData sheetId="4669">
        <row r="7">
          <cell r="AI7">
            <v>10000</v>
          </cell>
        </row>
      </sheetData>
      <sheetData sheetId="4670">
        <row r="7">
          <cell r="AI7">
            <v>10000</v>
          </cell>
        </row>
      </sheetData>
      <sheetData sheetId="4671">
        <row r="7">
          <cell r="AI7">
            <v>10000</v>
          </cell>
        </row>
      </sheetData>
      <sheetData sheetId="4672">
        <row r="7">
          <cell r="AI7">
            <v>10000</v>
          </cell>
        </row>
      </sheetData>
      <sheetData sheetId="4673">
        <row r="7">
          <cell r="AI7">
            <v>10000</v>
          </cell>
        </row>
      </sheetData>
      <sheetData sheetId="4674">
        <row r="7">
          <cell r="AI7">
            <v>10000</v>
          </cell>
        </row>
      </sheetData>
      <sheetData sheetId="4675">
        <row r="7">
          <cell r="AI7">
            <v>10000</v>
          </cell>
        </row>
      </sheetData>
      <sheetData sheetId="4676">
        <row r="7">
          <cell r="AI7">
            <v>10000</v>
          </cell>
        </row>
      </sheetData>
      <sheetData sheetId="4677">
        <row r="7">
          <cell r="AI7">
            <v>10000</v>
          </cell>
        </row>
      </sheetData>
      <sheetData sheetId="4678">
        <row r="7">
          <cell r="AI7">
            <v>10000</v>
          </cell>
        </row>
      </sheetData>
      <sheetData sheetId="4679">
        <row r="7">
          <cell r="AI7">
            <v>10000</v>
          </cell>
        </row>
      </sheetData>
      <sheetData sheetId="4680">
        <row r="7">
          <cell r="AI7">
            <v>10000</v>
          </cell>
        </row>
      </sheetData>
      <sheetData sheetId="4681">
        <row r="7">
          <cell r="AI7">
            <v>10000</v>
          </cell>
        </row>
      </sheetData>
      <sheetData sheetId="4682">
        <row r="7">
          <cell r="AI7">
            <v>10000</v>
          </cell>
        </row>
      </sheetData>
      <sheetData sheetId="4683">
        <row r="7">
          <cell r="AI7">
            <v>10000</v>
          </cell>
        </row>
      </sheetData>
      <sheetData sheetId="4684">
        <row r="7">
          <cell r="AI7">
            <v>10000</v>
          </cell>
        </row>
      </sheetData>
      <sheetData sheetId="4685">
        <row r="7">
          <cell r="AI7">
            <v>10000</v>
          </cell>
        </row>
      </sheetData>
      <sheetData sheetId="4686">
        <row r="7">
          <cell r="AI7">
            <v>10000</v>
          </cell>
        </row>
      </sheetData>
      <sheetData sheetId="4687">
        <row r="7">
          <cell r="AI7">
            <v>10000</v>
          </cell>
        </row>
      </sheetData>
      <sheetData sheetId="4688">
        <row r="7">
          <cell r="AI7">
            <v>10000</v>
          </cell>
        </row>
      </sheetData>
      <sheetData sheetId="4689">
        <row r="7">
          <cell r="AI7">
            <v>10000</v>
          </cell>
        </row>
      </sheetData>
      <sheetData sheetId="4690">
        <row r="7">
          <cell r="AI7">
            <v>10000</v>
          </cell>
        </row>
      </sheetData>
      <sheetData sheetId="4691">
        <row r="7">
          <cell r="AI7">
            <v>10000</v>
          </cell>
        </row>
      </sheetData>
      <sheetData sheetId="4692">
        <row r="7">
          <cell r="AI7">
            <v>10000</v>
          </cell>
        </row>
      </sheetData>
      <sheetData sheetId="4693">
        <row r="7">
          <cell r="AI7">
            <v>10000</v>
          </cell>
        </row>
      </sheetData>
      <sheetData sheetId="4694">
        <row r="7">
          <cell r="AI7">
            <v>10000</v>
          </cell>
        </row>
      </sheetData>
      <sheetData sheetId="4695">
        <row r="7">
          <cell r="AI7">
            <v>10000</v>
          </cell>
        </row>
      </sheetData>
      <sheetData sheetId="4696">
        <row r="7">
          <cell r="AI7">
            <v>10000</v>
          </cell>
        </row>
      </sheetData>
      <sheetData sheetId="4697">
        <row r="7">
          <cell r="AI7">
            <v>10000</v>
          </cell>
        </row>
      </sheetData>
      <sheetData sheetId="4698">
        <row r="7">
          <cell r="AI7">
            <v>10000</v>
          </cell>
        </row>
      </sheetData>
      <sheetData sheetId="4699">
        <row r="7">
          <cell r="AI7">
            <v>10000</v>
          </cell>
        </row>
      </sheetData>
      <sheetData sheetId="4700">
        <row r="7">
          <cell r="AI7">
            <v>10000</v>
          </cell>
        </row>
      </sheetData>
      <sheetData sheetId="4701">
        <row r="7">
          <cell r="AI7">
            <v>10000</v>
          </cell>
        </row>
      </sheetData>
      <sheetData sheetId="4702">
        <row r="7">
          <cell r="AI7">
            <v>10000</v>
          </cell>
        </row>
      </sheetData>
      <sheetData sheetId="4703">
        <row r="7">
          <cell r="AI7">
            <v>10000</v>
          </cell>
        </row>
      </sheetData>
      <sheetData sheetId="4704">
        <row r="7">
          <cell r="AI7">
            <v>10000</v>
          </cell>
        </row>
      </sheetData>
      <sheetData sheetId="4705">
        <row r="7">
          <cell r="AI7">
            <v>10000</v>
          </cell>
        </row>
      </sheetData>
      <sheetData sheetId="4706">
        <row r="7">
          <cell r="AI7">
            <v>10000</v>
          </cell>
        </row>
      </sheetData>
      <sheetData sheetId="4707">
        <row r="7">
          <cell r="AI7">
            <v>10000</v>
          </cell>
        </row>
      </sheetData>
      <sheetData sheetId="4708">
        <row r="7">
          <cell r="AI7">
            <v>10000</v>
          </cell>
        </row>
      </sheetData>
      <sheetData sheetId="4709">
        <row r="7">
          <cell r="AI7">
            <v>10000</v>
          </cell>
        </row>
      </sheetData>
      <sheetData sheetId="4710">
        <row r="7">
          <cell r="AI7">
            <v>10000</v>
          </cell>
        </row>
      </sheetData>
      <sheetData sheetId="4711">
        <row r="7">
          <cell r="AI7">
            <v>10000</v>
          </cell>
        </row>
      </sheetData>
      <sheetData sheetId="4712">
        <row r="7">
          <cell r="AI7">
            <v>10000</v>
          </cell>
        </row>
      </sheetData>
      <sheetData sheetId="4713">
        <row r="7">
          <cell r="AI7">
            <v>10000</v>
          </cell>
        </row>
      </sheetData>
      <sheetData sheetId="4714">
        <row r="7">
          <cell r="AI7">
            <v>10000</v>
          </cell>
        </row>
      </sheetData>
      <sheetData sheetId="4715">
        <row r="7">
          <cell r="AI7">
            <v>10000</v>
          </cell>
        </row>
      </sheetData>
      <sheetData sheetId="4716">
        <row r="7">
          <cell r="AI7">
            <v>10000</v>
          </cell>
        </row>
      </sheetData>
      <sheetData sheetId="4717">
        <row r="7">
          <cell r="AI7">
            <v>10000</v>
          </cell>
        </row>
      </sheetData>
      <sheetData sheetId="4718">
        <row r="7">
          <cell r="AI7">
            <v>10000</v>
          </cell>
        </row>
      </sheetData>
      <sheetData sheetId="4719">
        <row r="7">
          <cell r="AI7">
            <v>10000</v>
          </cell>
        </row>
      </sheetData>
      <sheetData sheetId="4720">
        <row r="7">
          <cell r="AI7">
            <v>10000</v>
          </cell>
        </row>
      </sheetData>
      <sheetData sheetId="4721">
        <row r="7">
          <cell r="AI7">
            <v>10000</v>
          </cell>
        </row>
      </sheetData>
      <sheetData sheetId="4722">
        <row r="7">
          <cell r="AI7">
            <v>10000</v>
          </cell>
        </row>
      </sheetData>
      <sheetData sheetId="4723">
        <row r="7">
          <cell r="AI7">
            <v>10000</v>
          </cell>
        </row>
      </sheetData>
      <sheetData sheetId="4724">
        <row r="7">
          <cell r="AI7">
            <v>10000</v>
          </cell>
        </row>
      </sheetData>
      <sheetData sheetId="4725">
        <row r="7">
          <cell r="AI7">
            <v>10000</v>
          </cell>
        </row>
      </sheetData>
      <sheetData sheetId="4726">
        <row r="7">
          <cell r="AI7">
            <v>10000</v>
          </cell>
        </row>
      </sheetData>
      <sheetData sheetId="4727">
        <row r="7">
          <cell r="AI7">
            <v>10000</v>
          </cell>
        </row>
      </sheetData>
      <sheetData sheetId="4728">
        <row r="7">
          <cell r="AI7">
            <v>10000</v>
          </cell>
        </row>
      </sheetData>
      <sheetData sheetId="4729">
        <row r="7">
          <cell r="AI7">
            <v>10000</v>
          </cell>
        </row>
      </sheetData>
      <sheetData sheetId="4730">
        <row r="7">
          <cell r="AI7">
            <v>10000</v>
          </cell>
        </row>
      </sheetData>
      <sheetData sheetId="4731">
        <row r="7">
          <cell r="AI7">
            <v>10000</v>
          </cell>
        </row>
      </sheetData>
      <sheetData sheetId="4732">
        <row r="7">
          <cell r="AI7">
            <v>10000</v>
          </cell>
        </row>
      </sheetData>
      <sheetData sheetId="4733">
        <row r="7">
          <cell r="AI7">
            <v>10000</v>
          </cell>
        </row>
      </sheetData>
      <sheetData sheetId="4734">
        <row r="7">
          <cell r="AI7">
            <v>10000</v>
          </cell>
        </row>
      </sheetData>
      <sheetData sheetId="4735">
        <row r="7">
          <cell r="AI7">
            <v>10000</v>
          </cell>
        </row>
      </sheetData>
      <sheetData sheetId="4736">
        <row r="7">
          <cell r="AI7">
            <v>10000</v>
          </cell>
        </row>
      </sheetData>
      <sheetData sheetId="4737">
        <row r="7">
          <cell r="AI7">
            <v>10000</v>
          </cell>
        </row>
      </sheetData>
      <sheetData sheetId="4738">
        <row r="7">
          <cell r="AI7">
            <v>10000</v>
          </cell>
        </row>
      </sheetData>
      <sheetData sheetId="4739">
        <row r="7">
          <cell r="AI7">
            <v>10000</v>
          </cell>
        </row>
      </sheetData>
      <sheetData sheetId="4740">
        <row r="7">
          <cell r="AI7">
            <v>10000</v>
          </cell>
        </row>
      </sheetData>
      <sheetData sheetId="4741">
        <row r="7">
          <cell r="AI7">
            <v>10000</v>
          </cell>
        </row>
      </sheetData>
      <sheetData sheetId="4742">
        <row r="7">
          <cell r="AI7">
            <v>10000</v>
          </cell>
        </row>
      </sheetData>
      <sheetData sheetId="4743">
        <row r="7">
          <cell r="AI7">
            <v>10000</v>
          </cell>
        </row>
      </sheetData>
      <sheetData sheetId="4744">
        <row r="7">
          <cell r="AI7">
            <v>10000</v>
          </cell>
        </row>
      </sheetData>
      <sheetData sheetId="4745">
        <row r="7">
          <cell r="AI7">
            <v>10000</v>
          </cell>
        </row>
      </sheetData>
      <sheetData sheetId="4746">
        <row r="7">
          <cell r="AI7">
            <v>10000</v>
          </cell>
        </row>
      </sheetData>
      <sheetData sheetId="4747">
        <row r="7">
          <cell r="AI7">
            <v>10000</v>
          </cell>
        </row>
      </sheetData>
      <sheetData sheetId="4748">
        <row r="7">
          <cell r="AI7">
            <v>10000</v>
          </cell>
        </row>
      </sheetData>
      <sheetData sheetId="4749">
        <row r="7">
          <cell r="AI7">
            <v>10000</v>
          </cell>
        </row>
      </sheetData>
      <sheetData sheetId="4750">
        <row r="7">
          <cell r="AI7">
            <v>10000</v>
          </cell>
        </row>
      </sheetData>
      <sheetData sheetId="4751">
        <row r="7">
          <cell r="AI7">
            <v>10000</v>
          </cell>
        </row>
      </sheetData>
      <sheetData sheetId="4752">
        <row r="7">
          <cell r="AI7">
            <v>10000</v>
          </cell>
        </row>
      </sheetData>
      <sheetData sheetId="4753">
        <row r="7">
          <cell r="AI7">
            <v>10000</v>
          </cell>
        </row>
      </sheetData>
      <sheetData sheetId="4754">
        <row r="7">
          <cell r="AI7">
            <v>10000</v>
          </cell>
        </row>
      </sheetData>
      <sheetData sheetId="4755">
        <row r="7">
          <cell r="AI7">
            <v>10000</v>
          </cell>
        </row>
      </sheetData>
      <sheetData sheetId="4756">
        <row r="7">
          <cell r="AI7">
            <v>10000</v>
          </cell>
        </row>
      </sheetData>
      <sheetData sheetId="4757">
        <row r="7">
          <cell r="AI7">
            <v>10000</v>
          </cell>
        </row>
      </sheetData>
      <sheetData sheetId="4758">
        <row r="7">
          <cell r="AI7">
            <v>10000</v>
          </cell>
        </row>
      </sheetData>
      <sheetData sheetId="4759">
        <row r="7">
          <cell r="AI7">
            <v>10000</v>
          </cell>
        </row>
      </sheetData>
      <sheetData sheetId="4760">
        <row r="7">
          <cell r="AI7">
            <v>10000</v>
          </cell>
        </row>
      </sheetData>
      <sheetData sheetId="4761">
        <row r="7">
          <cell r="AI7">
            <v>10000</v>
          </cell>
        </row>
      </sheetData>
      <sheetData sheetId="4762">
        <row r="7">
          <cell r="AI7">
            <v>10000</v>
          </cell>
        </row>
      </sheetData>
      <sheetData sheetId="4763">
        <row r="7">
          <cell r="AI7">
            <v>10000</v>
          </cell>
        </row>
      </sheetData>
      <sheetData sheetId="4764">
        <row r="7">
          <cell r="AI7">
            <v>10000</v>
          </cell>
        </row>
      </sheetData>
      <sheetData sheetId="4765">
        <row r="7">
          <cell r="AI7">
            <v>10000</v>
          </cell>
        </row>
      </sheetData>
      <sheetData sheetId="4766">
        <row r="7">
          <cell r="AI7">
            <v>10000</v>
          </cell>
        </row>
      </sheetData>
      <sheetData sheetId="4767">
        <row r="7">
          <cell r="AI7">
            <v>10000</v>
          </cell>
        </row>
      </sheetData>
      <sheetData sheetId="4768">
        <row r="7">
          <cell r="AI7">
            <v>10000</v>
          </cell>
        </row>
      </sheetData>
      <sheetData sheetId="4769">
        <row r="7">
          <cell r="AI7">
            <v>10000</v>
          </cell>
        </row>
      </sheetData>
      <sheetData sheetId="4770">
        <row r="7">
          <cell r="AI7">
            <v>10000</v>
          </cell>
        </row>
      </sheetData>
      <sheetData sheetId="4771">
        <row r="7">
          <cell r="AI7">
            <v>10000</v>
          </cell>
        </row>
      </sheetData>
      <sheetData sheetId="4772">
        <row r="7">
          <cell r="AI7">
            <v>10000</v>
          </cell>
        </row>
      </sheetData>
      <sheetData sheetId="4773">
        <row r="7">
          <cell r="AI7">
            <v>10000</v>
          </cell>
        </row>
      </sheetData>
      <sheetData sheetId="4774">
        <row r="7">
          <cell r="AI7">
            <v>10000</v>
          </cell>
        </row>
      </sheetData>
      <sheetData sheetId="4775">
        <row r="7">
          <cell r="AI7">
            <v>10000</v>
          </cell>
        </row>
      </sheetData>
      <sheetData sheetId="4776">
        <row r="7">
          <cell r="AI7">
            <v>10000</v>
          </cell>
        </row>
      </sheetData>
      <sheetData sheetId="4777">
        <row r="7">
          <cell r="AI7">
            <v>10000</v>
          </cell>
        </row>
      </sheetData>
      <sheetData sheetId="4778">
        <row r="7">
          <cell r="AI7">
            <v>10000</v>
          </cell>
        </row>
      </sheetData>
      <sheetData sheetId="4779">
        <row r="7">
          <cell r="AI7">
            <v>10000</v>
          </cell>
        </row>
      </sheetData>
      <sheetData sheetId="4780">
        <row r="7">
          <cell r="AI7">
            <v>10000</v>
          </cell>
        </row>
      </sheetData>
      <sheetData sheetId="4781">
        <row r="7">
          <cell r="AI7">
            <v>10000</v>
          </cell>
        </row>
      </sheetData>
      <sheetData sheetId="4782">
        <row r="7">
          <cell r="AI7">
            <v>10000</v>
          </cell>
        </row>
      </sheetData>
      <sheetData sheetId="4783">
        <row r="7">
          <cell r="AI7">
            <v>10000</v>
          </cell>
        </row>
      </sheetData>
      <sheetData sheetId="4784">
        <row r="7">
          <cell r="AI7">
            <v>10000</v>
          </cell>
        </row>
      </sheetData>
      <sheetData sheetId="4785">
        <row r="7">
          <cell r="AI7">
            <v>10000</v>
          </cell>
        </row>
      </sheetData>
      <sheetData sheetId="4786">
        <row r="7">
          <cell r="AI7">
            <v>10000</v>
          </cell>
        </row>
      </sheetData>
      <sheetData sheetId="4787">
        <row r="7">
          <cell r="AI7">
            <v>10000</v>
          </cell>
        </row>
      </sheetData>
      <sheetData sheetId="4788">
        <row r="7">
          <cell r="AI7">
            <v>10000</v>
          </cell>
        </row>
      </sheetData>
      <sheetData sheetId="4789">
        <row r="7">
          <cell r="AI7">
            <v>10000</v>
          </cell>
        </row>
      </sheetData>
      <sheetData sheetId="4790">
        <row r="7">
          <cell r="AI7">
            <v>10000</v>
          </cell>
        </row>
      </sheetData>
      <sheetData sheetId="4791">
        <row r="7">
          <cell r="AI7">
            <v>10000</v>
          </cell>
        </row>
      </sheetData>
      <sheetData sheetId="4792">
        <row r="7">
          <cell r="AI7">
            <v>10000</v>
          </cell>
        </row>
      </sheetData>
      <sheetData sheetId="4793">
        <row r="7">
          <cell r="AI7">
            <v>10000</v>
          </cell>
        </row>
      </sheetData>
      <sheetData sheetId="4794">
        <row r="7">
          <cell r="AI7">
            <v>10000</v>
          </cell>
        </row>
      </sheetData>
      <sheetData sheetId="4795">
        <row r="7">
          <cell r="AI7">
            <v>10000</v>
          </cell>
        </row>
      </sheetData>
      <sheetData sheetId="4796">
        <row r="7">
          <cell r="AI7">
            <v>10000</v>
          </cell>
        </row>
      </sheetData>
      <sheetData sheetId="4797">
        <row r="7">
          <cell r="AI7">
            <v>10000</v>
          </cell>
        </row>
      </sheetData>
      <sheetData sheetId="4798">
        <row r="7">
          <cell r="AI7">
            <v>10000</v>
          </cell>
        </row>
      </sheetData>
      <sheetData sheetId="4799">
        <row r="7">
          <cell r="AI7">
            <v>10000</v>
          </cell>
        </row>
      </sheetData>
      <sheetData sheetId="4800">
        <row r="7">
          <cell r="AI7">
            <v>10000</v>
          </cell>
        </row>
      </sheetData>
      <sheetData sheetId="4801">
        <row r="7">
          <cell r="AI7">
            <v>10000</v>
          </cell>
        </row>
      </sheetData>
      <sheetData sheetId="4802">
        <row r="7">
          <cell r="AI7">
            <v>10000</v>
          </cell>
        </row>
      </sheetData>
      <sheetData sheetId="4803">
        <row r="7">
          <cell r="AI7">
            <v>10000</v>
          </cell>
        </row>
      </sheetData>
      <sheetData sheetId="4804">
        <row r="7">
          <cell r="AI7">
            <v>10000</v>
          </cell>
        </row>
      </sheetData>
      <sheetData sheetId="4805">
        <row r="7">
          <cell r="AI7">
            <v>10000</v>
          </cell>
        </row>
      </sheetData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>
        <row r="7">
          <cell r="AI7">
            <v>10000</v>
          </cell>
        </row>
      </sheetData>
      <sheetData sheetId="4824" refreshError="1"/>
      <sheetData sheetId="4825" refreshError="1"/>
      <sheetData sheetId="4826">
        <row r="7">
          <cell r="AI7">
            <v>10000</v>
          </cell>
        </row>
      </sheetData>
      <sheetData sheetId="4827">
        <row r="7">
          <cell r="AI7">
            <v>10000</v>
          </cell>
        </row>
      </sheetData>
      <sheetData sheetId="4828">
        <row r="7">
          <cell r="AI7">
            <v>10000</v>
          </cell>
        </row>
      </sheetData>
      <sheetData sheetId="4829">
        <row r="7">
          <cell r="AI7">
            <v>10000</v>
          </cell>
        </row>
      </sheetData>
      <sheetData sheetId="4830">
        <row r="7">
          <cell r="AI7">
            <v>10000</v>
          </cell>
        </row>
      </sheetData>
      <sheetData sheetId="4831">
        <row r="7">
          <cell r="AI7">
            <v>10000</v>
          </cell>
        </row>
      </sheetData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>
        <row r="7">
          <cell r="AI7">
            <v>10000</v>
          </cell>
        </row>
      </sheetData>
      <sheetData sheetId="4839" refreshError="1"/>
      <sheetData sheetId="4840">
        <row r="7">
          <cell r="AI7">
            <v>10000</v>
          </cell>
        </row>
      </sheetData>
      <sheetData sheetId="4841">
        <row r="7">
          <cell r="AI7">
            <v>10000</v>
          </cell>
        </row>
      </sheetData>
      <sheetData sheetId="4842">
        <row r="7">
          <cell r="AI7">
            <v>10000</v>
          </cell>
        </row>
      </sheetData>
      <sheetData sheetId="4843">
        <row r="7">
          <cell r="AI7">
            <v>10000</v>
          </cell>
        </row>
      </sheetData>
      <sheetData sheetId="4844">
        <row r="7">
          <cell r="AI7">
            <v>10000</v>
          </cell>
        </row>
      </sheetData>
      <sheetData sheetId="4845">
        <row r="7">
          <cell r="AI7">
            <v>10000</v>
          </cell>
        </row>
      </sheetData>
      <sheetData sheetId="4846">
        <row r="7">
          <cell r="AI7">
            <v>10000</v>
          </cell>
        </row>
      </sheetData>
      <sheetData sheetId="4847">
        <row r="7">
          <cell r="AI7">
            <v>10000</v>
          </cell>
        </row>
      </sheetData>
      <sheetData sheetId="4848">
        <row r="7">
          <cell r="AI7">
            <v>10000</v>
          </cell>
        </row>
      </sheetData>
      <sheetData sheetId="4849" refreshError="1"/>
      <sheetData sheetId="4850">
        <row r="7">
          <cell r="AI7">
            <v>10000</v>
          </cell>
        </row>
      </sheetData>
      <sheetData sheetId="4851">
        <row r="7">
          <cell r="AI7">
            <v>10000</v>
          </cell>
        </row>
      </sheetData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>
        <row r="7">
          <cell r="AI7">
            <v>10000</v>
          </cell>
        </row>
      </sheetData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>
        <row r="7">
          <cell r="AI7">
            <v>10000</v>
          </cell>
        </row>
      </sheetData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>
        <row r="7">
          <cell r="AI7">
            <v>10000</v>
          </cell>
        </row>
      </sheetData>
      <sheetData sheetId="4887">
        <row r="7">
          <cell r="AI7">
            <v>10000</v>
          </cell>
        </row>
      </sheetData>
      <sheetData sheetId="4888" refreshError="1"/>
      <sheetData sheetId="4889" refreshError="1"/>
      <sheetData sheetId="4890">
        <row r="7">
          <cell r="AI7">
            <v>10000</v>
          </cell>
        </row>
      </sheetData>
      <sheetData sheetId="4891">
        <row r="7">
          <cell r="AI7">
            <v>10000</v>
          </cell>
        </row>
      </sheetData>
      <sheetData sheetId="4892">
        <row r="7">
          <cell r="AI7">
            <v>10000</v>
          </cell>
        </row>
      </sheetData>
      <sheetData sheetId="4893">
        <row r="7">
          <cell r="AI7">
            <v>10000</v>
          </cell>
        </row>
      </sheetData>
      <sheetData sheetId="4894">
        <row r="7">
          <cell r="AI7">
            <v>10000</v>
          </cell>
        </row>
      </sheetData>
      <sheetData sheetId="4895">
        <row r="7">
          <cell r="AI7">
            <v>10000</v>
          </cell>
        </row>
      </sheetData>
      <sheetData sheetId="4896">
        <row r="7">
          <cell r="AI7">
            <v>10000</v>
          </cell>
        </row>
      </sheetData>
      <sheetData sheetId="4897">
        <row r="7">
          <cell r="AI7">
            <v>10000</v>
          </cell>
        </row>
      </sheetData>
      <sheetData sheetId="4898">
        <row r="7">
          <cell r="AI7">
            <v>10000</v>
          </cell>
        </row>
      </sheetData>
      <sheetData sheetId="4899">
        <row r="7">
          <cell r="AI7">
            <v>10000</v>
          </cell>
        </row>
      </sheetData>
      <sheetData sheetId="4900">
        <row r="7">
          <cell r="AI7">
            <v>10000</v>
          </cell>
        </row>
      </sheetData>
      <sheetData sheetId="4901">
        <row r="7">
          <cell r="AI7">
            <v>10000</v>
          </cell>
        </row>
      </sheetData>
      <sheetData sheetId="4902">
        <row r="7">
          <cell r="AI7">
            <v>10000</v>
          </cell>
        </row>
      </sheetData>
      <sheetData sheetId="4903">
        <row r="7">
          <cell r="AI7">
            <v>10000</v>
          </cell>
        </row>
      </sheetData>
      <sheetData sheetId="4904">
        <row r="7">
          <cell r="AI7">
            <v>10000</v>
          </cell>
        </row>
      </sheetData>
      <sheetData sheetId="4905">
        <row r="7">
          <cell r="AI7">
            <v>10000</v>
          </cell>
        </row>
      </sheetData>
      <sheetData sheetId="4906">
        <row r="7">
          <cell r="AI7">
            <v>10000</v>
          </cell>
        </row>
      </sheetData>
      <sheetData sheetId="4907">
        <row r="7">
          <cell r="AI7">
            <v>10000</v>
          </cell>
        </row>
      </sheetData>
      <sheetData sheetId="4908">
        <row r="7">
          <cell r="AI7">
            <v>10000</v>
          </cell>
        </row>
      </sheetData>
      <sheetData sheetId="4909">
        <row r="7">
          <cell r="AI7">
            <v>10000</v>
          </cell>
        </row>
      </sheetData>
      <sheetData sheetId="4910">
        <row r="7">
          <cell r="AI7">
            <v>10000</v>
          </cell>
        </row>
      </sheetData>
      <sheetData sheetId="4911">
        <row r="7">
          <cell r="AI7">
            <v>10000</v>
          </cell>
        </row>
      </sheetData>
      <sheetData sheetId="4912">
        <row r="7">
          <cell r="AI7">
            <v>10000</v>
          </cell>
        </row>
      </sheetData>
      <sheetData sheetId="4913">
        <row r="7">
          <cell r="AI7">
            <v>10000</v>
          </cell>
        </row>
      </sheetData>
      <sheetData sheetId="4914">
        <row r="7">
          <cell r="AI7">
            <v>10000</v>
          </cell>
        </row>
      </sheetData>
      <sheetData sheetId="4915">
        <row r="7">
          <cell r="AI7">
            <v>10000</v>
          </cell>
        </row>
      </sheetData>
      <sheetData sheetId="4916">
        <row r="7">
          <cell r="AI7">
            <v>10000</v>
          </cell>
        </row>
      </sheetData>
      <sheetData sheetId="4917">
        <row r="7">
          <cell r="AI7">
            <v>10000</v>
          </cell>
        </row>
      </sheetData>
      <sheetData sheetId="4918">
        <row r="7">
          <cell r="AI7">
            <v>10000</v>
          </cell>
        </row>
      </sheetData>
      <sheetData sheetId="4919">
        <row r="7">
          <cell r="AI7">
            <v>10000</v>
          </cell>
        </row>
      </sheetData>
      <sheetData sheetId="4920">
        <row r="7">
          <cell r="AI7">
            <v>10000</v>
          </cell>
        </row>
      </sheetData>
      <sheetData sheetId="4921">
        <row r="7">
          <cell r="AI7">
            <v>10000</v>
          </cell>
        </row>
      </sheetData>
      <sheetData sheetId="4922">
        <row r="7">
          <cell r="AI7">
            <v>10000</v>
          </cell>
        </row>
      </sheetData>
      <sheetData sheetId="4923">
        <row r="7">
          <cell r="AI7">
            <v>10000</v>
          </cell>
        </row>
      </sheetData>
      <sheetData sheetId="4924">
        <row r="7">
          <cell r="AI7">
            <v>10000</v>
          </cell>
        </row>
      </sheetData>
      <sheetData sheetId="4925">
        <row r="7">
          <cell r="AI7">
            <v>10000</v>
          </cell>
        </row>
      </sheetData>
      <sheetData sheetId="4926">
        <row r="7">
          <cell r="AI7">
            <v>10000</v>
          </cell>
        </row>
      </sheetData>
      <sheetData sheetId="4927">
        <row r="7">
          <cell r="AI7">
            <v>10000</v>
          </cell>
        </row>
      </sheetData>
      <sheetData sheetId="4928">
        <row r="7">
          <cell r="AI7">
            <v>10000</v>
          </cell>
        </row>
      </sheetData>
      <sheetData sheetId="4929">
        <row r="7">
          <cell r="AI7">
            <v>10000</v>
          </cell>
        </row>
      </sheetData>
      <sheetData sheetId="4930">
        <row r="7">
          <cell r="AI7">
            <v>10000</v>
          </cell>
        </row>
      </sheetData>
      <sheetData sheetId="4931">
        <row r="7">
          <cell r="AI7">
            <v>10000</v>
          </cell>
        </row>
      </sheetData>
      <sheetData sheetId="4932">
        <row r="7">
          <cell r="AI7">
            <v>10000</v>
          </cell>
        </row>
      </sheetData>
      <sheetData sheetId="4933">
        <row r="7">
          <cell r="AI7">
            <v>10000</v>
          </cell>
        </row>
      </sheetData>
      <sheetData sheetId="4934">
        <row r="7">
          <cell r="AI7">
            <v>10000</v>
          </cell>
        </row>
      </sheetData>
      <sheetData sheetId="4935">
        <row r="7">
          <cell r="AI7">
            <v>10000</v>
          </cell>
        </row>
      </sheetData>
      <sheetData sheetId="4936">
        <row r="7">
          <cell r="AI7">
            <v>10000</v>
          </cell>
        </row>
      </sheetData>
      <sheetData sheetId="4937">
        <row r="7">
          <cell r="AI7">
            <v>10000</v>
          </cell>
        </row>
      </sheetData>
      <sheetData sheetId="4938">
        <row r="7">
          <cell r="AI7">
            <v>10000</v>
          </cell>
        </row>
      </sheetData>
      <sheetData sheetId="4939">
        <row r="7">
          <cell r="AI7">
            <v>10000</v>
          </cell>
        </row>
      </sheetData>
      <sheetData sheetId="4940">
        <row r="7">
          <cell r="AI7">
            <v>10000</v>
          </cell>
        </row>
      </sheetData>
      <sheetData sheetId="4941">
        <row r="7">
          <cell r="AI7">
            <v>10000</v>
          </cell>
        </row>
      </sheetData>
      <sheetData sheetId="4942">
        <row r="7">
          <cell r="AI7">
            <v>10000</v>
          </cell>
        </row>
      </sheetData>
      <sheetData sheetId="4943">
        <row r="7">
          <cell r="AI7">
            <v>10000</v>
          </cell>
        </row>
      </sheetData>
      <sheetData sheetId="4944">
        <row r="7">
          <cell r="AI7">
            <v>10000</v>
          </cell>
        </row>
      </sheetData>
      <sheetData sheetId="4945">
        <row r="7">
          <cell r="AI7">
            <v>10000</v>
          </cell>
        </row>
      </sheetData>
      <sheetData sheetId="4946">
        <row r="7">
          <cell r="AI7">
            <v>10000</v>
          </cell>
        </row>
      </sheetData>
      <sheetData sheetId="4947">
        <row r="7">
          <cell r="AI7">
            <v>10000</v>
          </cell>
        </row>
      </sheetData>
      <sheetData sheetId="4948">
        <row r="7">
          <cell r="AI7">
            <v>10000</v>
          </cell>
        </row>
      </sheetData>
      <sheetData sheetId="4949">
        <row r="7">
          <cell r="AI7">
            <v>10000</v>
          </cell>
        </row>
      </sheetData>
      <sheetData sheetId="4950">
        <row r="7">
          <cell r="AI7">
            <v>10000</v>
          </cell>
        </row>
      </sheetData>
      <sheetData sheetId="4951">
        <row r="7">
          <cell r="AI7">
            <v>10000</v>
          </cell>
        </row>
      </sheetData>
      <sheetData sheetId="4952">
        <row r="7">
          <cell r="AI7">
            <v>10000</v>
          </cell>
        </row>
      </sheetData>
      <sheetData sheetId="4953">
        <row r="7">
          <cell r="AI7">
            <v>10000</v>
          </cell>
        </row>
      </sheetData>
      <sheetData sheetId="4954">
        <row r="7">
          <cell r="AI7">
            <v>10000</v>
          </cell>
        </row>
      </sheetData>
      <sheetData sheetId="4955">
        <row r="7">
          <cell r="AI7">
            <v>10000</v>
          </cell>
        </row>
      </sheetData>
      <sheetData sheetId="4956">
        <row r="7">
          <cell r="AI7">
            <v>10000</v>
          </cell>
        </row>
      </sheetData>
      <sheetData sheetId="4957">
        <row r="7">
          <cell r="AI7">
            <v>10000</v>
          </cell>
        </row>
      </sheetData>
      <sheetData sheetId="4958">
        <row r="7">
          <cell r="AI7">
            <v>10000</v>
          </cell>
        </row>
      </sheetData>
      <sheetData sheetId="4959">
        <row r="7">
          <cell r="AI7">
            <v>10000</v>
          </cell>
        </row>
      </sheetData>
      <sheetData sheetId="4960">
        <row r="7">
          <cell r="AI7">
            <v>10000</v>
          </cell>
        </row>
      </sheetData>
      <sheetData sheetId="4961">
        <row r="7">
          <cell r="AI7">
            <v>10000</v>
          </cell>
        </row>
      </sheetData>
      <sheetData sheetId="4962">
        <row r="7">
          <cell r="AI7">
            <v>10000</v>
          </cell>
        </row>
      </sheetData>
      <sheetData sheetId="4963">
        <row r="7">
          <cell r="AI7">
            <v>10000</v>
          </cell>
        </row>
      </sheetData>
      <sheetData sheetId="4964">
        <row r="7">
          <cell r="AI7">
            <v>10000</v>
          </cell>
        </row>
      </sheetData>
      <sheetData sheetId="4965">
        <row r="7">
          <cell r="AI7">
            <v>10000</v>
          </cell>
        </row>
      </sheetData>
      <sheetData sheetId="4966">
        <row r="7">
          <cell r="AI7">
            <v>10000</v>
          </cell>
        </row>
      </sheetData>
      <sheetData sheetId="4967">
        <row r="7">
          <cell r="AI7">
            <v>10000</v>
          </cell>
        </row>
      </sheetData>
      <sheetData sheetId="4968">
        <row r="7">
          <cell r="AI7">
            <v>10000</v>
          </cell>
        </row>
      </sheetData>
      <sheetData sheetId="4969">
        <row r="7">
          <cell r="AI7">
            <v>10000</v>
          </cell>
        </row>
      </sheetData>
      <sheetData sheetId="4970">
        <row r="7">
          <cell r="AI7">
            <v>10000</v>
          </cell>
        </row>
      </sheetData>
      <sheetData sheetId="4971">
        <row r="7">
          <cell r="AI7">
            <v>10000</v>
          </cell>
        </row>
      </sheetData>
      <sheetData sheetId="4972">
        <row r="7">
          <cell r="AI7">
            <v>10000</v>
          </cell>
        </row>
      </sheetData>
      <sheetData sheetId="4973">
        <row r="7">
          <cell r="AI7">
            <v>10000</v>
          </cell>
        </row>
      </sheetData>
      <sheetData sheetId="4974">
        <row r="7">
          <cell r="AI7">
            <v>10000</v>
          </cell>
        </row>
      </sheetData>
      <sheetData sheetId="4975">
        <row r="7">
          <cell r="AI7">
            <v>10000</v>
          </cell>
        </row>
      </sheetData>
      <sheetData sheetId="4976">
        <row r="7">
          <cell r="AI7">
            <v>10000</v>
          </cell>
        </row>
      </sheetData>
      <sheetData sheetId="4977">
        <row r="7">
          <cell r="AI7">
            <v>10000</v>
          </cell>
        </row>
      </sheetData>
      <sheetData sheetId="4978">
        <row r="7">
          <cell r="AI7">
            <v>10000</v>
          </cell>
        </row>
      </sheetData>
      <sheetData sheetId="4979">
        <row r="7">
          <cell r="AI7">
            <v>10000</v>
          </cell>
        </row>
      </sheetData>
      <sheetData sheetId="4980">
        <row r="7">
          <cell r="AI7">
            <v>10000</v>
          </cell>
        </row>
      </sheetData>
      <sheetData sheetId="4981">
        <row r="7">
          <cell r="AI7">
            <v>10000</v>
          </cell>
        </row>
      </sheetData>
      <sheetData sheetId="4982">
        <row r="7">
          <cell r="AI7">
            <v>10000</v>
          </cell>
        </row>
      </sheetData>
      <sheetData sheetId="4983">
        <row r="7">
          <cell r="AI7">
            <v>10000</v>
          </cell>
        </row>
      </sheetData>
      <sheetData sheetId="4984">
        <row r="7">
          <cell r="AI7">
            <v>10000</v>
          </cell>
        </row>
      </sheetData>
      <sheetData sheetId="4985">
        <row r="7">
          <cell r="AI7">
            <v>10000</v>
          </cell>
        </row>
      </sheetData>
      <sheetData sheetId="4986">
        <row r="7">
          <cell r="AI7">
            <v>10000</v>
          </cell>
        </row>
      </sheetData>
      <sheetData sheetId="4987">
        <row r="7">
          <cell r="AI7">
            <v>10000</v>
          </cell>
        </row>
      </sheetData>
      <sheetData sheetId="4988">
        <row r="7">
          <cell r="AI7">
            <v>10000</v>
          </cell>
        </row>
      </sheetData>
      <sheetData sheetId="4989">
        <row r="7">
          <cell r="AI7">
            <v>10000</v>
          </cell>
        </row>
      </sheetData>
      <sheetData sheetId="4990">
        <row r="7">
          <cell r="AI7">
            <v>10000</v>
          </cell>
        </row>
      </sheetData>
      <sheetData sheetId="4991">
        <row r="7">
          <cell r="AI7">
            <v>10000</v>
          </cell>
        </row>
      </sheetData>
      <sheetData sheetId="4992">
        <row r="7">
          <cell r="AI7">
            <v>10000</v>
          </cell>
        </row>
      </sheetData>
      <sheetData sheetId="4993">
        <row r="7">
          <cell r="AI7">
            <v>10000</v>
          </cell>
        </row>
      </sheetData>
      <sheetData sheetId="4994">
        <row r="7">
          <cell r="AI7">
            <v>10000</v>
          </cell>
        </row>
      </sheetData>
      <sheetData sheetId="4995">
        <row r="7">
          <cell r="AI7">
            <v>10000</v>
          </cell>
        </row>
      </sheetData>
      <sheetData sheetId="4996">
        <row r="7">
          <cell r="AI7">
            <v>10000</v>
          </cell>
        </row>
      </sheetData>
      <sheetData sheetId="4997">
        <row r="7">
          <cell r="AI7">
            <v>10000</v>
          </cell>
        </row>
      </sheetData>
      <sheetData sheetId="4998">
        <row r="7">
          <cell r="AI7">
            <v>10000</v>
          </cell>
        </row>
      </sheetData>
      <sheetData sheetId="4999">
        <row r="7">
          <cell r="AI7">
            <v>10000</v>
          </cell>
        </row>
      </sheetData>
      <sheetData sheetId="5000">
        <row r="7">
          <cell r="AI7">
            <v>10000</v>
          </cell>
        </row>
      </sheetData>
      <sheetData sheetId="5001">
        <row r="7">
          <cell r="AI7">
            <v>10000</v>
          </cell>
        </row>
      </sheetData>
      <sheetData sheetId="5002">
        <row r="7">
          <cell r="AI7">
            <v>10000</v>
          </cell>
        </row>
      </sheetData>
      <sheetData sheetId="5003">
        <row r="7">
          <cell r="AI7">
            <v>10000</v>
          </cell>
        </row>
      </sheetData>
      <sheetData sheetId="5004">
        <row r="7">
          <cell r="AI7">
            <v>10000</v>
          </cell>
        </row>
      </sheetData>
      <sheetData sheetId="5005">
        <row r="7">
          <cell r="AI7">
            <v>10000</v>
          </cell>
        </row>
      </sheetData>
      <sheetData sheetId="5006">
        <row r="7">
          <cell r="AI7">
            <v>10000</v>
          </cell>
        </row>
      </sheetData>
      <sheetData sheetId="5007">
        <row r="7">
          <cell r="AI7">
            <v>10000</v>
          </cell>
        </row>
      </sheetData>
      <sheetData sheetId="5008">
        <row r="7">
          <cell r="AI7">
            <v>10000</v>
          </cell>
        </row>
      </sheetData>
      <sheetData sheetId="5009">
        <row r="7">
          <cell r="AI7">
            <v>10000</v>
          </cell>
        </row>
      </sheetData>
      <sheetData sheetId="5010">
        <row r="7">
          <cell r="AI7">
            <v>10000</v>
          </cell>
        </row>
      </sheetData>
      <sheetData sheetId="5011">
        <row r="7">
          <cell r="AI7">
            <v>10000</v>
          </cell>
        </row>
      </sheetData>
      <sheetData sheetId="5012">
        <row r="7">
          <cell r="AI7">
            <v>10000</v>
          </cell>
        </row>
      </sheetData>
      <sheetData sheetId="5013">
        <row r="7">
          <cell r="AI7">
            <v>10000</v>
          </cell>
        </row>
      </sheetData>
      <sheetData sheetId="5014">
        <row r="7">
          <cell r="AI7">
            <v>10000</v>
          </cell>
        </row>
      </sheetData>
      <sheetData sheetId="5015">
        <row r="7">
          <cell r="AI7">
            <v>10000</v>
          </cell>
        </row>
      </sheetData>
      <sheetData sheetId="5016">
        <row r="7">
          <cell r="AI7">
            <v>10000</v>
          </cell>
        </row>
      </sheetData>
      <sheetData sheetId="5017">
        <row r="7">
          <cell r="AI7">
            <v>10000</v>
          </cell>
        </row>
      </sheetData>
      <sheetData sheetId="5018">
        <row r="7">
          <cell r="AI7">
            <v>10000</v>
          </cell>
        </row>
      </sheetData>
      <sheetData sheetId="5019">
        <row r="7">
          <cell r="AI7">
            <v>10000</v>
          </cell>
        </row>
      </sheetData>
      <sheetData sheetId="5020">
        <row r="7">
          <cell r="AI7">
            <v>10000</v>
          </cell>
        </row>
      </sheetData>
      <sheetData sheetId="5021">
        <row r="7">
          <cell r="AI7">
            <v>10000</v>
          </cell>
        </row>
      </sheetData>
      <sheetData sheetId="5022">
        <row r="7">
          <cell r="AI7">
            <v>10000</v>
          </cell>
        </row>
      </sheetData>
      <sheetData sheetId="5023">
        <row r="7">
          <cell r="AI7">
            <v>10000</v>
          </cell>
        </row>
      </sheetData>
      <sheetData sheetId="5024">
        <row r="7">
          <cell r="AI7">
            <v>10000</v>
          </cell>
        </row>
      </sheetData>
      <sheetData sheetId="5025">
        <row r="7">
          <cell r="AI7">
            <v>10000</v>
          </cell>
        </row>
      </sheetData>
      <sheetData sheetId="5026">
        <row r="7">
          <cell r="AI7">
            <v>10000</v>
          </cell>
        </row>
      </sheetData>
      <sheetData sheetId="5027">
        <row r="7">
          <cell r="AI7">
            <v>10000</v>
          </cell>
        </row>
      </sheetData>
      <sheetData sheetId="5028">
        <row r="7">
          <cell r="AI7">
            <v>10000</v>
          </cell>
        </row>
      </sheetData>
      <sheetData sheetId="5029">
        <row r="7">
          <cell r="AI7">
            <v>10000</v>
          </cell>
        </row>
      </sheetData>
      <sheetData sheetId="5030">
        <row r="7">
          <cell r="AI7">
            <v>10000</v>
          </cell>
        </row>
      </sheetData>
      <sheetData sheetId="5031">
        <row r="7">
          <cell r="AI7">
            <v>10000</v>
          </cell>
        </row>
      </sheetData>
      <sheetData sheetId="5032">
        <row r="7">
          <cell r="AI7">
            <v>10000</v>
          </cell>
        </row>
      </sheetData>
      <sheetData sheetId="5033">
        <row r="7">
          <cell r="AI7">
            <v>10000</v>
          </cell>
        </row>
      </sheetData>
      <sheetData sheetId="5034">
        <row r="7">
          <cell r="AI7">
            <v>10000</v>
          </cell>
        </row>
      </sheetData>
      <sheetData sheetId="5035">
        <row r="7">
          <cell r="AI7">
            <v>10000</v>
          </cell>
        </row>
      </sheetData>
      <sheetData sheetId="5036">
        <row r="7">
          <cell r="AI7">
            <v>10000</v>
          </cell>
        </row>
      </sheetData>
      <sheetData sheetId="5037">
        <row r="7">
          <cell r="AI7">
            <v>10000</v>
          </cell>
        </row>
      </sheetData>
      <sheetData sheetId="5038">
        <row r="7">
          <cell r="AI7">
            <v>10000</v>
          </cell>
        </row>
      </sheetData>
      <sheetData sheetId="5039">
        <row r="7">
          <cell r="AI7">
            <v>10000</v>
          </cell>
        </row>
      </sheetData>
      <sheetData sheetId="5040">
        <row r="7">
          <cell r="AI7">
            <v>10000</v>
          </cell>
        </row>
      </sheetData>
      <sheetData sheetId="5041">
        <row r="7">
          <cell r="AI7">
            <v>10000</v>
          </cell>
        </row>
      </sheetData>
      <sheetData sheetId="5042">
        <row r="7">
          <cell r="AI7">
            <v>10000</v>
          </cell>
        </row>
      </sheetData>
      <sheetData sheetId="5043">
        <row r="7">
          <cell r="AI7">
            <v>10000</v>
          </cell>
        </row>
      </sheetData>
      <sheetData sheetId="5044">
        <row r="7">
          <cell r="AI7">
            <v>10000</v>
          </cell>
        </row>
      </sheetData>
      <sheetData sheetId="5045">
        <row r="7">
          <cell r="AI7">
            <v>10000</v>
          </cell>
        </row>
      </sheetData>
      <sheetData sheetId="5046">
        <row r="7">
          <cell r="AI7">
            <v>10000</v>
          </cell>
        </row>
      </sheetData>
      <sheetData sheetId="5047">
        <row r="7">
          <cell r="AI7">
            <v>10000</v>
          </cell>
        </row>
      </sheetData>
      <sheetData sheetId="5048">
        <row r="7">
          <cell r="AI7">
            <v>10000</v>
          </cell>
        </row>
      </sheetData>
      <sheetData sheetId="5049">
        <row r="7">
          <cell r="AI7">
            <v>10000</v>
          </cell>
        </row>
      </sheetData>
      <sheetData sheetId="5050">
        <row r="7">
          <cell r="AI7">
            <v>10000</v>
          </cell>
        </row>
      </sheetData>
      <sheetData sheetId="5051">
        <row r="7">
          <cell r="AI7">
            <v>10000</v>
          </cell>
        </row>
      </sheetData>
      <sheetData sheetId="5052">
        <row r="7">
          <cell r="AI7">
            <v>10000</v>
          </cell>
        </row>
      </sheetData>
      <sheetData sheetId="5053">
        <row r="7">
          <cell r="AI7">
            <v>10000</v>
          </cell>
        </row>
      </sheetData>
      <sheetData sheetId="5054">
        <row r="7">
          <cell r="AI7">
            <v>10000</v>
          </cell>
        </row>
      </sheetData>
      <sheetData sheetId="5055">
        <row r="7">
          <cell r="AI7">
            <v>10000</v>
          </cell>
        </row>
      </sheetData>
      <sheetData sheetId="5056">
        <row r="7">
          <cell r="AI7">
            <v>10000</v>
          </cell>
        </row>
      </sheetData>
      <sheetData sheetId="5057">
        <row r="7">
          <cell r="AI7">
            <v>10000</v>
          </cell>
        </row>
      </sheetData>
      <sheetData sheetId="5058">
        <row r="7">
          <cell r="AI7">
            <v>10000</v>
          </cell>
        </row>
      </sheetData>
      <sheetData sheetId="5059">
        <row r="7">
          <cell r="AI7">
            <v>10000</v>
          </cell>
        </row>
      </sheetData>
      <sheetData sheetId="5060">
        <row r="7">
          <cell r="AI7">
            <v>10000</v>
          </cell>
        </row>
      </sheetData>
      <sheetData sheetId="5061">
        <row r="7">
          <cell r="AI7">
            <v>10000</v>
          </cell>
        </row>
      </sheetData>
      <sheetData sheetId="5062">
        <row r="7">
          <cell r="AI7">
            <v>10000</v>
          </cell>
        </row>
      </sheetData>
      <sheetData sheetId="5063">
        <row r="7">
          <cell r="AI7">
            <v>10000</v>
          </cell>
        </row>
      </sheetData>
      <sheetData sheetId="5064">
        <row r="7">
          <cell r="AI7">
            <v>10000</v>
          </cell>
        </row>
      </sheetData>
      <sheetData sheetId="5065">
        <row r="7">
          <cell r="AI7">
            <v>10000</v>
          </cell>
        </row>
      </sheetData>
      <sheetData sheetId="5066">
        <row r="7">
          <cell r="AI7">
            <v>10000</v>
          </cell>
        </row>
      </sheetData>
      <sheetData sheetId="5067">
        <row r="7">
          <cell r="AI7">
            <v>10000</v>
          </cell>
        </row>
      </sheetData>
      <sheetData sheetId="5068">
        <row r="7">
          <cell r="AI7">
            <v>10000</v>
          </cell>
        </row>
      </sheetData>
      <sheetData sheetId="5069">
        <row r="7">
          <cell r="AI7">
            <v>10000</v>
          </cell>
        </row>
      </sheetData>
      <sheetData sheetId="5070">
        <row r="7">
          <cell r="AI7">
            <v>10000</v>
          </cell>
        </row>
      </sheetData>
      <sheetData sheetId="5071">
        <row r="7">
          <cell r="AI7">
            <v>10000</v>
          </cell>
        </row>
      </sheetData>
      <sheetData sheetId="5072">
        <row r="7">
          <cell r="AI7">
            <v>10000</v>
          </cell>
        </row>
      </sheetData>
      <sheetData sheetId="5073">
        <row r="7">
          <cell r="AI7">
            <v>10000</v>
          </cell>
        </row>
      </sheetData>
      <sheetData sheetId="5074">
        <row r="7">
          <cell r="AI7">
            <v>10000</v>
          </cell>
        </row>
      </sheetData>
      <sheetData sheetId="5075">
        <row r="7">
          <cell r="AI7">
            <v>10000</v>
          </cell>
        </row>
      </sheetData>
      <sheetData sheetId="5076">
        <row r="7">
          <cell r="AI7">
            <v>10000</v>
          </cell>
        </row>
      </sheetData>
      <sheetData sheetId="5077">
        <row r="7">
          <cell r="AI7">
            <v>10000</v>
          </cell>
        </row>
      </sheetData>
      <sheetData sheetId="5078">
        <row r="7">
          <cell r="AI7">
            <v>10000</v>
          </cell>
        </row>
      </sheetData>
      <sheetData sheetId="5079">
        <row r="7">
          <cell r="AI7">
            <v>10000</v>
          </cell>
        </row>
      </sheetData>
      <sheetData sheetId="5080">
        <row r="7">
          <cell r="AI7">
            <v>10000</v>
          </cell>
        </row>
      </sheetData>
      <sheetData sheetId="5081">
        <row r="7">
          <cell r="AI7">
            <v>10000</v>
          </cell>
        </row>
      </sheetData>
      <sheetData sheetId="5082">
        <row r="7">
          <cell r="AI7">
            <v>10000</v>
          </cell>
        </row>
      </sheetData>
      <sheetData sheetId="5083">
        <row r="7">
          <cell r="AI7">
            <v>10000</v>
          </cell>
        </row>
      </sheetData>
      <sheetData sheetId="5084">
        <row r="7">
          <cell r="AI7">
            <v>10000</v>
          </cell>
        </row>
      </sheetData>
      <sheetData sheetId="5085">
        <row r="7">
          <cell r="AI7">
            <v>10000</v>
          </cell>
        </row>
      </sheetData>
      <sheetData sheetId="5086">
        <row r="7">
          <cell r="AI7">
            <v>10000</v>
          </cell>
        </row>
      </sheetData>
      <sheetData sheetId="5087">
        <row r="7">
          <cell r="AI7">
            <v>10000</v>
          </cell>
        </row>
      </sheetData>
      <sheetData sheetId="5088">
        <row r="7">
          <cell r="AI7">
            <v>10000</v>
          </cell>
        </row>
      </sheetData>
      <sheetData sheetId="5089">
        <row r="7">
          <cell r="AI7">
            <v>10000</v>
          </cell>
        </row>
      </sheetData>
      <sheetData sheetId="5090">
        <row r="7">
          <cell r="AI7">
            <v>10000</v>
          </cell>
        </row>
      </sheetData>
      <sheetData sheetId="5091">
        <row r="7">
          <cell r="AI7">
            <v>10000</v>
          </cell>
        </row>
      </sheetData>
      <sheetData sheetId="5092">
        <row r="7">
          <cell r="AI7">
            <v>10000</v>
          </cell>
        </row>
      </sheetData>
      <sheetData sheetId="5093">
        <row r="7">
          <cell r="AI7">
            <v>10000</v>
          </cell>
        </row>
      </sheetData>
      <sheetData sheetId="5094">
        <row r="7">
          <cell r="AI7">
            <v>10000</v>
          </cell>
        </row>
      </sheetData>
      <sheetData sheetId="5095">
        <row r="7">
          <cell r="AI7">
            <v>10000</v>
          </cell>
        </row>
      </sheetData>
      <sheetData sheetId="5096">
        <row r="7">
          <cell r="AI7">
            <v>10000</v>
          </cell>
        </row>
      </sheetData>
      <sheetData sheetId="5097">
        <row r="7">
          <cell r="AI7">
            <v>10000</v>
          </cell>
        </row>
      </sheetData>
      <sheetData sheetId="5098">
        <row r="7">
          <cell r="AI7">
            <v>10000</v>
          </cell>
        </row>
      </sheetData>
      <sheetData sheetId="5099">
        <row r="7">
          <cell r="AI7">
            <v>10000</v>
          </cell>
        </row>
      </sheetData>
      <sheetData sheetId="5100">
        <row r="7">
          <cell r="AI7">
            <v>10000</v>
          </cell>
        </row>
      </sheetData>
      <sheetData sheetId="5101">
        <row r="7">
          <cell r="AI7">
            <v>10000</v>
          </cell>
        </row>
      </sheetData>
      <sheetData sheetId="5102">
        <row r="7">
          <cell r="AI7">
            <v>10000</v>
          </cell>
        </row>
      </sheetData>
      <sheetData sheetId="5103">
        <row r="7">
          <cell r="AI7">
            <v>10000</v>
          </cell>
        </row>
      </sheetData>
      <sheetData sheetId="5104">
        <row r="7">
          <cell r="AI7">
            <v>10000</v>
          </cell>
        </row>
      </sheetData>
      <sheetData sheetId="5105">
        <row r="7">
          <cell r="AI7">
            <v>10000</v>
          </cell>
        </row>
      </sheetData>
      <sheetData sheetId="5106">
        <row r="7">
          <cell r="AI7">
            <v>10000</v>
          </cell>
        </row>
      </sheetData>
      <sheetData sheetId="5107">
        <row r="7">
          <cell r="AI7">
            <v>10000</v>
          </cell>
        </row>
      </sheetData>
      <sheetData sheetId="5108">
        <row r="7">
          <cell r="AI7">
            <v>10000</v>
          </cell>
        </row>
      </sheetData>
      <sheetData sheetId="5109">
        <row r="7">
          <cell r="AI7">
            <v>10000</v>
          </cell>
        </row>
      </sheetData>
      <sheetData sheetId="5110">
        <row r="7">
          <cell r="AI7">
            <v>10000</v>
          </cell>
        </row>
      </sheetData>
      <sheetData sheetId="5111">
        <row r="7">
          <cell r="AI7">
            <v>10000</v>
          </cell>
        </row>
      </sheetData>
      <sheetData sheetId="5112">
        <row r="7">
          <cell r="AI7">
            <v>10000</v>
          </cell>
        </row>
      </sheetData>
      <sheetData sheetId="5113">
        <row r="7">
          <cell r="AI7">
            <v>10000</v>
          </cell>
        </row>
      </sheetData>
      <sheetData sheetId="5114">
        <row r="7">
          <cell r="AI7">
            <v>10000</v>
          </cell>
        </row>
      </sheetData>
      <sheetData sheetId="5115">
        <row r="7">
          <cell r="AI7">
            <v>10000</v>
          </cell>
        </row>
      </sheetData>
      <sheetData sheetId="5116">
        <row r="7">
          <cell r="AI7">
            <v>10000</v>
          </cell>
        </row>
      </sheetData>
      <sheetData sheetId="5117">
        <row r="7">
          <cell r="AI7">
            <v>10000</v>
          </cell>
        </row>
      </sheetData>
      <sheetData sheetId="5118">
        <row r="7">
          <cell r="AI7">
            <v>10000</v>
          </cell>
        </row>
      </sheetData>
      <sheetData sheetId="5119">
        <row r="7">
          <cell r="AI7">
            <v>10000</v>
          </cell>
        </row>
      </sheetData>
      <sheetData sheetId="5120">
        <row r="7">
          <cell r="AI7">
            <v>10000</v>
          </cell>
        </row>
      </sheetData>
      <sheetData sheetId="5121">
        <row r="7">
          <cell r="AI7">
            <v>10000</v>
          </cell>
        </row>
      </sheetData>
      <sheetData sheetId="5122">
        <row r="7">
          <cell r="AI7">
            <v>10000</v>
          </cell>
        </row>
      </sheetData>
      <sheetData sheetId="5123">
        <row r="7">
          <cell r="AI7">
            <v>10000</v>
          </cell>
        </row>
      </sheetData>
      <sheetData sheetId="5124">
        <row r="7">
          <cell r="AI7">
            <v>10000</v>
          </cell>
        </row>
      </sheetData>
      <sheetData sheetId="5125">
        <row r="7">
          <cell r="AI7">
            <v>10000</v>
          </cell>
        </row>
      </sheetData>
      <sheetData sheetId="5126">
        <row r="7">
          <cell r="AI7">
            <v>10000</v>
          </cell>
        </row>
      </sheetData>
      <sheetData sheetId="5127">
        <row r="7">
          <cell r="AI7">
            <v>10000</v>
          </cell>
        </row>
      </sheetData>
      <sheetData sheetId="5128">
        <row r="7">
          <cell r="AI7">
            <v>10000</v>
          </cell>
        </row>
      </sheetData>
      <sheetData sheetId="5129">
        <row r="7">
          <cell r="AI7">
            <v>10000</v>
          </cell>
        </row>
      </sheetData>
      <sheetData sheetId="5130">
        <row r="7">
          <cell r="AI7">
            <v>10000</v>
          </cell>
        </row>
      </sheetData>
      <sheetData sheetId="5131">
        <row r="7">
          <cell r="AI7">
            <v>10000</v>
          </cell>
        </row>
      </sheetData>
      <sheetData sheetId="5132">
        <row r="7">
          <cell r="AI7">
            <v>10000</v>
          </cell>
        </row>
      </sheetData>
      <sheetData sheetId="5133">
        <row r="7">
          <cell r="AI7">
            <v>10000</v>
          </cell>
        </row>
      </sheetData>
      <sheetData sheetId="5134">
        <row r="7">
          <cell r="AI7">
            <v>10000</v>
          </cell>
        </row>
      </sheetData>
      <sheetData sheetId="5135">
        <row r="7">
          <cell r="AI7">
            <v>10000</v>
          </cell>
        </row>
      </sheetData>
      <sheetData sheetId="5136">
        <row r="7">
          <cell r="AI7">
            <v>10000</v>
          </cell>
        </row>
      </sheetData>
      <sheetData sheetId="5137">
        <row r="7">
          <cell r="AI7">
            <v>10000</v>
          </cell>
        </row>
      </sheetData>
      <sheetData sheetId="5138">
        <row r="7">
          <cell r="AI7">
            <v>10000</v>
          </cell>
        </row>
      </sheetData>
      <sheetData sheetId="5139">
        <row r="7">
          <cell r="AI7">
            <v>10000</v>
          </cell>
        </row>
      </sheetData>
      <sheetData sheetId="5140">
        <row r="7">
          <cell r="AI7">
            <v>10000</v>
          </cell>
        </row>
      </sheetData>
      <sheetData sheetId="5141">
        <row r="7">
          <cell r="AI7">
            <v>10000</v>
          </cell>
        </row>
      </sheetData>
      <sheetData sheetId="5142">
        <row r="7">
          <cell r="AI7">
            <v>10000</v>
          </cell>
        </row>
      </sheetData>
      <sheetData sheetId="5143">
        <row r="7">
          <cell r="AI7">
            <v>10000</v>
          </cell>
        </row>
      </sheetData>
      <sheetData sheetId="5144">
        <row r="7">
          <cell r="AI7">
            <v>10000</v>
          </cell>
        </row>
      </sheetData>
      <sheetData sheetId="5145">
        <row r="7">
          <cell r="AI7">
            <v>10000</v>
          </cell>
        </row>
      </sheetData>
      <sheetData sheetId="5146">
        <row r="7">
          <cell r="AI7">
            <v>10000</v>
          </cell>
        </row>
      </sheetData>
      <sheetData sheetId="5147">
        <row r="7">
          <cell r="AI7">
            <v>10000</v>
          </cell>
        </row>
      </sheetData>
      <sheetData sheetId="5148">
        <row r="7">
          <cell r="AI7">
            <v>10000</v>
          </cell>
        </row>
      </sheetData>
      <sheetData sheetId="5149">
        <row r="7">
          <cell r="AI7">
            <v>10000</v>
          </cell>
        </row>
      </sheetData>
      <sheetData sheetId="5150">
        <row r="7">
          <cell r="AI7">
            <v>10000</v>
          </cell>
        </row>
      </sheetData>
      <sheetData sheetId="5151">
        <row r="7">
          <cell r="AI7">
            <v>10000</v>
          </cell>
        </row>
      </sheetData>
      <sheetData sheetId="5152">
        <row r="7">
          <cell r="AI7">
            <v>10000</v>
          </cell>
        </row>
      </sheetData>
      <sheetData sheetId="5153">
        <row r="7">
          <cell r="AI7">
            <v>10000</v>
          </cell>
        </row>
      </sheetData>
      <sheetData sheetId="5154">
        <row r="7">
          <cell r="AI7">
            <v>10000</v>
          </cell>
        </row>
      </sheetData>
      <sheetData sheetId="5155">
        <row r="7">
          <cell r="AI7">
            <v>10000</v>
          </cell>
        </row>
      </sheetData>
      <sheetData sheetId="5156">
        <row r="7">
          <cell r="AI7">
            <v>10000</v>
          </cell>
        </row>
      </sheetData>
      <sheetData sheetId="5157">
        <row r="7">
          <cell r="AI7">
            <v>10000</v>
          </cell>
        </row>
      </sheetData>
      <sheetData sheetId="5158">
        <row r="7">
          <cell r="AI7">
            <v>10000</v>
          </cell>
        </row>
      </sheetData>
      <sheetData sheetId="5159">
        <row r="7">
          <cell r="AI7">
            <v>10000</v>
          </cell>
        </row>
      </sheetData>
      <sheetData sheetId="5160">
        <row r="7">
          <cell r="AI7">
            <v>10000</v>
          </cell>
        </row>
      </sheetData>
      <sheetData sheetId="5161">
        <row r="7">
          <cell r="AI7">
            <v>10000</v>
          </cell>
        </row>
      </sheetData>
      <sheetData sheetId="5162">
        <row r="7">
          <cell r="AI7">
            <v>10000</v>
          </cell>
        </row>
      </sheetData>
      <sheetData sheetId="5163">
        <row r="7">
          <cell r="AI7">
            <v>10000</v>
          </cell>
        </row>
      </sheetData>
      <sheetData sheetId="5164">
        <row r="7">
          <cell r="AI7">
            <v>10000</v>
          </cell>
        </row>
      </sheetData>
      <sheetData sheetId="5165">
        <row r="7">
          <cell r="AI7">
            <v>10000</v>
          </cell>
        </row>
      </sheetData>
      <sheetData sheetId="5166">
        <row r="7">
          <cell r="AI7">
            <v>10000</v>
          </cell>
        </row>
      </sheetData>
      <sheetData sheetId="5167">
        <row r="7">
          <cell r="AI7">
            <v>10000</v>
          </cell>
        </row>
      </sheetData>
      <sheetData sheetId="5168">
        <row r="7">
          <cell r="AI7">
            <v>10000</v>
          </cell>
        </row>
      </sheetData>
      <sheetData sheetId="5169">
        <row r="7">
          <cell r="AI7">
            <v>10000</v>
          </cell>
        </row>
      </sheetData>
      <sheetData sheetId="5170">
        <row r="7">
          <cell r="AI7">
            <v>10000</v>
          </cell>
        </row>
      </sheetData>
      <sheetData sheetId="5171">
        <row r="7">
          <cell r="AI7">
            <v>10000</v>
          </cell>
        </row>
      </sheetData>
      <sheetData sheetId="5172">
        <row r="7">
          <cell r="AI7">
            <v>10000</v>
          </cell>
        </row>
      </sheetData>
      <sheetData sheetId="5173">
        <row r="7">
          <cell r="AI7">
            <v>10000</v>
          </cell>
        </row>
      </sheetData>
      <sheetData sheetId="5174">
        <row r="7">
          <cell r="AI7">
            <v>10000</v>
          </cell>
        </row>
      </sheetData>
      <sheetData sheetId="5175">
        <row r="7">
          <cell r="AI7">
            <v>10000</v>
          </cell>
        </row>
      </sheetData>
      <sheetData sheetId="5176">
        <row r="7">
          <cell r="AI7">
            <v>10000</v>
          </cell>
        </row>
      </sheetData>
      <sheetData sheetId="5177">
        <row r="7">
          <cell r="AI7">
            <v>10000</v>
          </cell>
        </row>
      </sheetData>
      <sheetData sheetId="5178">
        <row r="7">
          <cell r="AI7">
            <v>10000</v>
          </cell>
        </row>
      </sheetData>
      <sheetData sheetId="5179">
        <row r="7">
          <cell r="AI7">
            <v>10000</v>
          </cell>
        </row>
      </sheetData>
      <sheetData sheetId="5180">
        <row r="7">
          <cell r="AI7">
            <v>10000</v>
          </cell>
        </row>
      </sheetData>
      <sheetData sheetId="5181">
        <row r="7">
          <cell r="AI7">
            <v>10000</v>
          </cell>
        </row>
      </sheetData>
      <sheetData sheetId="5182">
        <row r="7">
          <cell r="AI7">
            <v>10000</v>
          </cell>
        </row>
      </sheetData>
      <sheetData sheetId="5183">
        <row r="7">
          <cell r="AI7">
            <v>10000</v>
          </cell>
        </row>
      </sheetData>
      <sheetData sheetId="5184">
        <row r="7">
          <cell r="AI7">
            <v>10000</v>
          </cell>
        </row>
      </sheetData>
      <sheetData sheetId="5185">
        <row r="7">
          <cell r="AI7">
            <v>10000</v>
          </cell>
        </row>
      </sheetData>
      <sheetData sheetId="5186">
        <row r="7">
          <cell r="AI7">
            <v>10000</v>
          </cell>
        </row>
      </sheetData>
      <sheetData sheetId="5187">
        <row r="7">
          <cell r="AI7">
            <v>10000</v>
          </cell>
        </row>
      </sheetData>
      <sheetData sheetId="5188">
        <row r="7">
          <cell r="AI7">
            <v>10000</v>
          </cell>
        </row>
      </sheetData>
      <sheetData sheetId="5189">
        <row r="7">
          <cell r="AI7">
            <v>10000</v>
          </cell>
        </row>
      </sheetData>
      <sheetData sheetId="5190">
        <row r="7">
          <cell r="AI7">
            <v>10000</v>
          </cell>
        </row>
      </sheetData>
      <sheetData sheetId="5191">
        <row r="7">
          <cell r="AI7">
            <v>10000</v>
          </cell>
        </row>
      </sheetData>
      <sheetData sheetId="5192">
        <row r="7">
          <cell r="AI7">
            <v>10000</v>
          </cell>
        </row>
      </sheetData>
      <sheetData sheetId="5193">
        <row r="7">
          <cell r="AI7">
            <v>10000</v>
          </cell>
        </row>
      </sheetData>
      <sheetData sheetId="5194">
        <row r="7">
          <cell r="AI7">
            <v>10000</v>
          </cell>
        </row>
      </sheetData>
      <sheetData sheetId="5195">
        <row r="7">
          <cell r="AI7">
            <v>10000</v>
          </cell>
        </row>
      </sheetData>
      <sheetData sheetId="5196">
        <row r="7">
          <cell r="AI7">
            <v>10000</v>
          </cell>
        </row>
      </sheetData>
      <sheetData sheetId="5197">
        <row r="7">
          <cell r="AI7">
            <v>10000</v>
          </cell>
        </row>
      </sheetData>
      <sheetData sheetId="5198">
        <row r="7">
          <cell r="AI7">
            <v>10000</v>
          </cell>
        </row>
      </sheetData>
      <sheetData sheetId="5199">
        <row r="7">
          <cell r="AI7">
            <v>10000</v>
          </cell>
        </row>
      </sheetData>
      <sheetData sheetId="5200">
        <row r="7">
          <cell r="AI7">
            <v>10000</v>
          </cell>
        </row>
      </sheetData>
      <sheetData sheetId="5201">
        <row r="7">
          <cell r="AI7">
            <v>10000</v>
          </cell>
        </row>
      </sheetData>
      <sheetData sheetId="5202">
        <row r="7">
          <cell r="AI7">
            <v>10000</v>
          </cell>
        </row>
      </sheetData>
      <sheetData sheetId="5203">
        <row r="7">
          <cell r="AI7">
            <v>10000</v>
          </cell>
        </row>
      </sheetData>
      <sheetData sheetId="5204">
        <row r="7">
          <cell r="AI7">
            <v>10000</v>
          </cell>
        </row>
      </sheetData>
      <sheetData sheetId="5205">
        <row r="7">
          <cell r="AI7">
            <v>10000</v>
          </cell>
        </row>
      </sheetData>
      <sheetData sheetId="5206">
        <row r="7">
          <cell r="AI7">
            <v>10000</v>
          </cell>
        </row>
      </sheetData>
      <sheetData sheetId="5207">
        <row r="7">
          <cell r="AI7">
            <v>10000</v>
          </cell>
        </row>
      </sheetData>
      <sheetData sheetId="5208">
        <row r="7">
          <cell r="AI7">
            <v>10000</v>
          </cell>
        </row>
      </sheetData>
      <sheetData sheetId="5209">
        <row r="7">
          <cell r="AI7">
            <v>10000</v>
          </cell>
        </row>
      </sheetData>
      <sheetData sheetId="5210">
        <row r="7">
          <cell r="AI7">
            <v>10000</v>
          </cell>
        </row>
      </sheetData>
      <sheetData sheetId="5211">
        <row r="7">
          <cell r="AI7">
            <v>10000</v>
          </cell>
        </row>
      </sheetData>
      <sheetData sheetId="5212">
        <row r="7">
          <cell r="AI7">
            <v>10000</v>
          </cell>
        </row>
      </sheetData>
      <sheetData sheetId="5213">
        <row r="7">
          <cell r="AI7">
            <v>10000</v>
          </cell>
        </row>
      </sheetData>
      <sheetData sheetId="5214">
        <row r="7">
          <cell r="AI7">
            <v>10000</v>
          </cell>
        </row>
      </sheetData>
      <sheetData sheetId="5215">
        <row r="7">
          <cell r="AI7">
            <v>10000</v>
          </cell>
        </row>
      </sheetData>
      <sheetData sheetId="5216">
        <row r="7">
          <cell r="AI7">
            <v>10000</v>
          </cell>
        </row>
      </sheetData>
      <sheetData sheetId="5217">
        <row r="7">
          <cell r="AI7">
            <v>10000</v>
          </cell>
        </row>
      </sheetData>
      <sheetData sheetId="5218">
        <row r="7">
          <cell r="AI7">
            <v>10000</v>
          </cell>
        </row>
      </sheetData>
      <sheetData sheetId="5219">
        <row r="7">
          <cell r="AI7">
            <v>10000</v>
          </cell>
        </row>
      </sheetData>
      <sheetData sheetId="5220">
        <row r="7">
          <cell r="AI7">
            <v>10000</v>
          </cell>
        </row>
      </sheetData>
      <sheetData sheetId="5221">
        <row r="7">
          <cell r="AI7">
            <v>10000</v>
          </cell>
        </row>
      </sheetData>
      <sheetData sheetId="5222">
        <row r="7">
          <cell r="AI7">
            <v>10000</v>
          </cell>
        </row>
      </sheetData>
      <sheetData sheetId="5223">
        <row r="7">
          <cell r="AI7">
            <v>10000</v>
          </cell>
        </row>
      </sheetData>
      <sheetData sheetId="5224">
        <row r="7">
          <cell r="AI7">
            <v>10000</v>
          </cell>
        </row>
      </sheetData>
      <sheetData sheetId="5225">
        <row r="7">
          <cell r="AI7">
            <v>10000</v>
          </cell>
        </row>
      </sheetData>
      <sheetData sheetId="5226">
        <row r="7">
          <cell r="AI7">
            <v>10000</v>
          </cell>
        </row>
      </sheetData>
      <sheetData sheetId="5227">
        <row r="7">
          <cell r="AI7">
            <v>10000</v>
          </cell>
        </row>
      </sheetData>
      <sheetData sheetId="5228">
        <row r="7">
          <cell r="AI7">
            <v>10000</v>
          </cell>
        </row>
      </sheetData>
      <sheetData sheetId="5229">
        <row r="7">
          <cell r="AI7">
            <v>10000</v>
          </cell>
        </row>
      </sheetData>
      <sheetData sheetId="5230">
        <row r="7">
          <cell r="AI7">
            <v>10000</v>
          </cell>
        </row>
      </sheetData>
      <sheetData sheetId="5231">
        <row r="7">
          <cell r="AI7">
            <v>10000</v>
          </cell>
        </row>
      </sheetData>
      <sheetData sheetId="5232">
        <row r="7">
          <cell r="AI7">
            <v>10000</v>
          </cell>
        </row>
      </sheetData>
      <sheetData sheetId="5233">
        <row r="7">
          <cell r="AI7">
            <v>10000</v>
          </cell>
        </row>
      </sheetData>
      <sheetData sheetId="5234">
        <row r="7">
          <cell r="AI7">
            <v>10000</v>
          </cell>
        </row>
      </sheetData>
      <sheetData sheetId="5235">
        <row r="7">
          <cell r="AI7">
            <v>10000</v>
          </cell>
        </row>
      </sheetData>
      <sheetData sheetId="5236">
        <row r="7">
          <cell r="AI7">
            <v>10000</v>
          </cell>
        </row>
      </sheetData>
      <sheetData sheetId="5237">
        <row r="7">
          <cell r="AI7">
            <v>10000</v>
          </cell>
        </row>
      </sheetData>
      <sheetData sheetId="5238">
        <row r="7">
          <cell r="AI7">
            <v>10000</v>
          </cell>
        </row>
      </sheetData>
      <sheetData sheetId="5239">
        <row r="7">
          <cell r="AI7">
            <v>10000</v>
          </cell>
        </row>
      </sheetData>
      <sheetData sheetId="5240">
        <row r="7">
          <cell r="AI7">
            <v>10000</v>
          </cell>
        </row>
      </sheetData>
      <sheetData sheetId="5241">
        <row r="7">
          <cell r="AI7">
            <v>10000</v>
          </cell>
        </row>
      </sheetData>
      <sheetData sheetId="5242">
        <row r="7">
          <cell r="AI7">
            <v>10000</v>
          </cell>
        </row>
      </sheetData>
      <sheetData sheetId="5243">
        <row r="7">
          <cell r="AI7">
            <v>10000</v>
          </cell>
        </row>
      </sheetData>
      <sheetData sheetId="5244">
        <row r="7">
          <cell r="AI7">
            <v>10000</v>
          </cell>
        </row>
      </sheetData>
      <sheetData sheetId="5245">
        <row r="7">
          <cell r="AI7">
            <v>10000</v>
          </cell>
        </row>
      </sheetData>
      <sheetData sheetId="5246">
        <row r="7">
          <cell r="AI7">
            <v>10000</v>
          </cell>
        </row>
      </sheetData>
      <sheetData sheetId="5247">
        <row r="7">
          <cell r="AI7">
            <v>10000</v>
          </cell>
        </row>
      </sheetData>
      <sheetData sheetId="5248">
        <row r="7">
          <cell r="AI7">
            <v>10000</v>
          </cell>
        </row>
      </sheetData>
      <sheetData sheetId="5249">
        <row r="7">
          <cell r="AI7">
            <v>10000</v>
          </cell>
        </row>
      </sheetData>
      <sheetData sheetId="5250">
        <row r="7">
          <cell r="AI7">
            <v>10000</v>
          </cell>
        </row>
      </sheetData>
      <sheetData sheetId="5251">
        <row r="7">
          <cell r="AI7">
            <v>10000</v>
          </cell>
        </row>
      </sheetData>
      <sheetData sheetId="5252">
        <row r="7">
          <cell r="AI7">
            <v>10000</v>
          </cell>
        </row>
      </sheetData>
      <sheetData sheetId="5253">
        <row r="7">
          <cell r="AI7">
            <v>10000</v>
          </cell>
        </row>
      </sheetData>
      <sheetData sheetId="5254">
        <row r="7">
          <cell r="AI7">
            <v>10000</v>
          </cell>
        </row>
      </sheetData>
      <sheetData sheetId="5255">
        <row r="7">
          <cell r="AI7">
            <v>10000</v>
          </cell>
        </row>
      </sheetData>
      <sheetData sheetId="5256">
        <row r="7">
          <cell r="AI7">
            <v>10000</v>
          </cell>
        </row>
      </sheetData>
      <sheetData sheetId="5257">
        <row r="7">
          <cell r="AI7">
            <v>10000</v>
          </cell>
        </row>
      </sheetData>
      <sheetData sheetId="5258">
        <row r="7">
          <cell r="AI7">
            <v>10000</v>
          </cell>
        </row>
      </sheetData>
      <sheetData sheetId="5259">
        <row r="7">
          <cell r="AI7">
            <v>10000</v>
          </cell>
        </row>
      </sheetData>
      <sheetData sheetId="5260">
        <row r="7">
          <cell r="AI7">
            <v>10000</v>
          </cell>
        </row>
      </sheetData>
      <sheetData sheetId="5261">
        <row r="7">
          <cell r="AI7">
            <v>10000</v>
          </cell>
        </row>
      </sheetData>
      <sheetData sheetId="5262">
        <row r="7">
          <cell r="AI7">
            <v>10000</v>
          </cell>
        </row>
      </sheetData>
      <sheetData sheetId="5263">
        <row r="7">
          <cell r="AI7">
            <v>10000</v>
          </cell>
        </row>
      </sheetData>
      <sheetData sheetId="5264">
        <row r="7">
          <cell r="AI7">
            <v>10000</v>
          </cell>
        </row>
      </sheetData>
      <sheetData sheetId="5265">
        <row r="7">
          <cell r="AI7">
            <v>10000</v>
          </cell>
        </row>
      </sheetData>
      <sheetData sheetId="5266">
        <row r="7">
          <cell r="AI7">
            <v>10000</v>
          </cell>
        </row>
      </sheetData>
      <sheetData sheetId="5267">
        <row r="7">
          <cell r="AI7">
            <v>10000</v>
          </cell>
        </row>
      </sheetData>
      <sheetData sheetId="5268">
        <row r="7">
          <cell r="AI7">
            <v>10000</v>
          </cell>
        </row>
      </sheetData>
      <sheetData sheetId="5269">
        <row r="7">
          <cell r="AI7">
            <v>10000</v>
          </cell>
        </row>
      </sheetData>
      <sheetData sheetId="5270">
        <row r="7">
          <cell r="AI7">
            <v>10000</v>
          </cell>
        </row>
      </sheetData>
      <sheetData sheetId="5271">
        <row r="7">
          <cell r="AI7">
            <v>10000</v>
          </cell>
        </row>
      </sheetData>
      <sheetData sheetId="5272">
        <row r="7">
          <cell r="AI7">
            <v>10000</v>
          </cell>
        </row>
      </sheetData>
      <sheetData sheetId="5273">
        <row r="7">
          <cell r="AI7">
            <v>10000</v>
          </cell>
        </row>
      </sheetData>
      <sheetData sheetId="5274">
        <row r="7">
          <cell r="AI7">
            <v>10000</v>
          </cell>
        </row>
      </sheetData>
      <sheetData sheetId="5275">
        <row r="7">
          <cell r="AI7">
            <v>10000</v>
          </cell>
        </row>
      </sheetData>
      <sheetData sheetId="5276">
        <row r="7">
          <cell r="AI7">
            <v>10000</v>
          </cell>
        </row>
      </sheetData>
      <sheetData sheetId="5277">
        <row r="7">
          <cell r="AI7">
            <v>10000</v>
          </cell>
        </row>
      </sheetData>
      <sheetData sheetId="5278">
        <row r="7">
          <cell r="AI7">
            <v>10000</v>
          </cell>
        </row>
      </sheetData>
      <sheetData sheetId="5279">
        <row r="7">
          <cell r="AI7">
            <v>10000</v>
          </cell>
        </row>
      </sheetData>
      <sheetData sheetId="5280">
        <row r="7">
          <cell r="AI7">
            <v>10000</v>
          </cell>
        </row>
      </sheetData>
      <sheetData sheetId="5281">
        <row r="7">
          <cell r="AI7">
            <v>10000</v>
          </cell>
        </row>
      </sheetData>
      <sheetData sheetId="5282">
        <row r="7">
          <cell r="AI7">
            <v>10000</v>
          </cell>
        </row>
      </sheetData>
      <sheetData sheetId="5283">
        <row r="7">
          <cell r="AI7">
            <v>10000</v>
          </cell>
        </row>
      </sheetData>
      <sheetData sheetId="5284">
        <row r="7">
          <cell r="AI7">
            <v>10000</v>
          </cell>
        </row>
      </sheetData>
      <sheetData sheetId="5285">
        <row r="7">
          <cell r="AI7">
            <v>10000</v>
          </cell>
        </row>
      </sheetData>
      <sheetData sheetId="5286">
        <row r="7">
          <cell r="AI7">
            <v>10000</v>
          </cell>
        </row>
      </sheetData>
      <sheetData sheetId="5287">
        <row r="7">
          <cell r="AI7">
            <v>10000</v>
          </cell>
        </row>
      </sheetData>
      <sheetData sheetId="5288">
        <row r="7">
          <cell r="AI7">
            <v>10000</v>
          </cell>
        </row>
      </sheetData>
      <sheetData sheetId="5289">
        <row r="7">
          <cell r="AI7">
            <v>10000</v>
          </cell>
        </row>
      </sheetData>
      <sheetData sheetId="5290">
        <row r="7">
          <cell r="AI7">
            <v>10000</v>
          </cell>
        </row>
      </sheetData>
      <sheetData sheetId="5291">
        <row r="7">
          <cell r="AI7">
            <v>10000</v>
          </cell>
        </row>
      </sheetData>
      <sheetData sheetId="5292">
        <row r="7">
          <cell r="AI7">
            <v>10000</v>
          </cell>
        </row>
      </sheetData>
      <sheetData sheetId="5293">
        <row r="7">
          <cell r="AI7">
            <v>10000</v>
          </cell>
        </row>
      </sheetData>
      <sheetData sheetId="5294">
        <row r="7">
          <cell r="AI7">
            <v>10000</v>
          </cell>
        </row>
      </sheetData>
      <sheetData sheetId="5295">
        <row r="7">
          <cell r="AI7">
            <v>10000</v>
          </cell>
        </row>
      </sheetData>
      <sheetData sheetId="5296">
        <row r="7">
          <cell r="AI7">
            <v>10000</v>
          </cell>
        </row>
      </sheetData>
      <sheetData sheetId="5297">
        <row r="7">
          <cell r="AI7">
            <v>10000</v>
          </cell>
        </row>
      </sheetData>
      <sheetData sheetId="5298">
        <row r="7">
          <cell r="AI7">
            <v>10000</v>
          </cell>
        </row>
      </sheetData>
      <sheetData sheetId="5299">
        <row r="7">
          <cell r="AI7">
            <v>10000</v>
          </cell>
        </row>
      </sheetData>
      <sheetData sheetId="5300">
        <row r="7">
          <cell r="AI7">
            <v>10000</v>
          </cell>
        </row>
      </sheetData>
      <sheetData sheetId="5301">
        <row r="7">
          <cell r="AI7">
            <v>10000</v>
          </cell>
        </row>
      </sheetData>
      <sheetData sheetId="5302">
        <row r="7">
          <cell r="AI7">
            <v>10000</v>
          </cell>
        </row>
      </sheetData>
      <sheetData sheetId="5303">
        <row r="7">
          <cell r="AI7">
            <v>10000</v>
          </cell>
        </row>
      </sheetData>
      <sheetData sheetId="5304">
        <row r="7">
          <cell r="AI7">
            <v>10000</v>
          </cell>
        </row>
      </sheetData>
      <sheetData sheetId="5305">
        <row r="7">
          <cell r="AI7">
            <v>10000</v>
          </cell>
        </row>
      </sheetData>
      <sheetData sheetId="5306">
        <row r="7">
          <cell r="AI7">
            <v>10000</v>
          </cell>
        </row>
      </sheetData>
      <sheetData sheetId="5307">
        <row r="7">
          <cell r="AI7">
            <v>10000</v>
          </cell>
        </row>
      </sheetData>
      <sheetData sheetId="5308">
        <row r="7">
          <cell r="AI7">
            <v>10000</v>
          </cell>
        </row>
      </sheetData>
      <sheetData sheetId="5309">
        <row r="7">
          <cell r="AI7">
            <v>10000</v>
          </cell>
        </row>
      </sheetData>
      <sheetData sheetId="5310">
        <row r="7">
          <cell r="AI7">
            <v>10000</v>
          </cell>
        </row>
      </sheetData>
      <sheetData sheetId="5311">
        <row r="7">
          <cell r="AI7">
            <v>10000</v>
          </cell>
        </row>
      </sheetData>
      <sheetData sheetId="5312">
        <row r="7">
          <cell r="AI7">
            <v>10000</v>
          </cell>
        </row>
      </sheetData>
      <sheetData sheetId="5313">
        <row r="7">
          <cell r="AI7">
            <v>10000</v>
          </cell>
        </row>
      </sheetData>
      <sheetData sheetId="5314">
        <row r="7">
          <cell r="AI7">
            <v>10000</v>
          </cell>
        </row>
      </sheetData>
      <sheetData sheetId="5315">
        <row r="7">
          <cell r="AI7">
            <v>10000</v>
          </cell>
        </row>
      </sheetData>
      <sheetData sheetId="5316">
        <row r="7">
          <cell r="AI7">
            <v>10000</v>
          </cell>
        </row>
      </sheetData>
      <sheetData sheetId="5317">
        <row r="7">
          <cell r="AI7">
            <v>10000</v>
          </cell>
        </row>
      </sheetData>
      <sheetData sheetId="5318">
        <row r="7">
          <cell r="AI7">
            <v>10000</v>
          </cell>
        </row>
      </sheetData>
      <sheetData sheetId="5319">
        <row r="7">
          <cell r="AI7">
            <v>10000</v>
          </cell>
        </row>
      </sheetData>
      <sheetData sheetId="5320">
        <row r="7">
          <cell r="AI7">
            <v>10000</v>
          </cell>
        </row>
      </sheetData>
      <sheetData sheetId="5321">
        <row r="7">
          <cell r="AI7">
            <v>10000</v>
          </cell>
        </row>
      </sheetData>
      <sheetData sheetId="5322">
        <row r="7">
          <cell r="AI7">
            <v>10000</v>
          </cell>
        </row>
      </sheetData>
      <sheetData sheetId="5323">
        <row r="7">
          <cell r="AI7">
            <v>10000</v>
          </cell>
        </row>
      </sheetData>
      <sheetData sheetId="5324">
        <row r="7">
          <cell r="AI7">
            <v>10000</v>
          </cell>
        </row>
      </sheetData>
      <sheetData sheetId="5325">
        <row r="7">
          <cell r="AI7">
            <v>10000</v>
          </cell>
        </row>
      </sheetData>
      <sheetData sheetId="5326">
        <row r="7">
          <cell r="AI7">
            <v>10000</v>
          </cell>
        </row>
      </sheetData>
      <sheetData sheetId="5327">
        <row r="7">
          <cell r="AI7">
            <v>10000</v>
          </cell>
        </row>
      </sheetData>
      <sheetData sheetId="5328">
        <row r="7">
          <cell r="AI7">
            <v>10000</v>
          </cell>
        </row>
      </sheetData>
      <sheetData sheetId="5329">
        <row r="7">
          <cell r="AI7">
            <v>10000</v>
          </cell>
        </row>
      </sheetData>
      <sheetData sheetId="5330">
        <row r="7">
          <cell r="AI7">
            <v>10000</v>
          </cell>
        </row>
      </sheetData>
      <sheetData sheetId="5331">
        <row r="7">
          <cell r="AI7">
            <v>10000</v>
          </cell>
        </row>
      </sheetData>
      <sheetData sheetId="5332">
        <row r="7">
          <cell r="AI7">
            <v>10000</v>
          </cell>
        </row>
      </sheetData>
      <sheetData sheetId="5333">
        <row r="7">
          <cell r="AI7">
            <v>10000</v>
          </cell>
        </row>
      </sheetData>
      <sheetData sheetId="5334">
        <row r="7">
          <cell r="AI7">
            <v>10000</v>
          </cell>
        </row>
      </sheetData>
      <sheetData sheetId="5335">
        <row r="7">
          <cell r="AI7">
            <v>10000</v>
          </cell>
        </row>
      </sheetData>
      <sheetData sheetId="5336">
        <row r="7">
          <cell r="AI7">
            <v>10000</v>
          </cell>
        </row>
      </sheetData>
      <sheetData sheetId="5337">
        <row r="7">
          <cell r="AI7">
            <v>10000</v>
          </cell>
        </row>
      </sheetData>
      <sheetData sheetId="5338">
        <row r="7">
          <cell r="AI7">
            <v>10000</v>
          </cell>
        </row>
      </sheetData>
      <sheetData sheetId="5339">
        <row r="7">
          <cell r="AI7">
            <v>10000</v>
          </cell>
        </row>
      </sheetData>
      <sheetData sheetId="5340">
        <row r="7">
          <cell r="AI7">
            <v>10000</v>
          </cell>
        </row>
      </sheetData>
      <sheetData sheetId="5341">
        <row r="7">
          <cell r="AI7">
            <v>10000</v>
          </cell>
        </row>
      </sheetData>
      <sheetData sheetId="5342">
        <row r="7">
          <cell r="AI7">
            <v>10000</v>
          </cell>
        </row>
      </sheetData>
      <sheetData sheetId="5343">
        <row r="7">
          <cell r="AI7">
            <v>10000</v>
          </cell>
        </row>
      </sheetData>
      <sheetData sheetId="5344">
        <row r="7">
          <cell r="AI7">
            <v>10000</v>
          </cell>
        </row>
      </sheetData>
      <sheetData sheetId="5345">
        <row r="7">
          <cell r="AI7">
            <v>10000</v>
          </cell>
        </row>
      </sheetData>
      <sheetData sheetId="5346">
        <row r="7">
          <cell r="AI7">
            <v>10000</v>
          </cell>
        </row>
      </sheetData>
      <sheetData sheetId="5347">
        <row r="7">
          <cell r="AI7">
            <v>10000</v>
          </cell>
        </row>
      </sheetData>
      <sheetData sheetId="5348">
        <row r="7">
          <cell r="AI7">
            <v>10000</v>
          </cell>
        </row>
      </sheetData>
      <sheetData sheetId="5349">
        <row r="7">
          <cell r="AI7">
            <v>10000</v>
          </cell>
        </row>
      </sheetData>
      <sheetData sheetId="5350">
        <row r="7">
          <cell r="AI7">
            <v>10000</v>
          </cell>
        </row>
      </sheetData>
      <sheetData sheetId="5351">
        <row r="7">
          <cell r="AI7">
            <v>10000</v>
          </cell>
        </row>
      </sheetData>
      <sheetData sheetId="5352">
        <row r="7">
          <cell r="AI7">
            <v>10000</v>
          </cell>
        </row>
      </sheetData>
      <sheetData sheetId="5353">
        <row r="7">
          <cell r="AI7">
            <v>10000</v>
          </cell>
        </row>
      </sheetData>
      <sheetData sheetId="5354">
        <row r="7">
          <cell r="AI7">
            <v>10000</v>
          </cell>
        </row>
      </sheetData>
      <sheetData sheetId="5355">
        <row r="7">
          <cell r="AI7">
            <v>10000</v>
          </cell>
        </row>
      </sheetData>
      <sheetData sheetId="5356">
        <row r="7">
          <cell r="AI7">
            <v>10000</v>
          </cell>
        </row>
      </sheetData>
      <sheetData sheetId="5357">
        <row r="7">
          <cell r="AI7">
            <v>10000</v>
          </cell>
        </row>
      </sheetData>
      <sheetData sheetId="5358">
        <row r="7">
          <cell r="AI7">
            <v>10000</v>
          </cell>
        </row>
      </sheetData>
      <sheetData sheetId="5359">
        <row r="7">
          <cell r="AI7">
            <v>10000</v>
          </cell>
        </row>
      </sheetData>
      <sheetData sheetId="5360">
        <row r="7">
          <cell r="AI7">
            <v>10000</v>
          </cell>
        </row>
      </sheetData>
      <sheetData sheetId="5361">
        <row r="7">
          <cell r="AI7">
            <v>10000</v>
          </cell>
        </row>
      </sheetData>
      <sheetData sheetId="5362">
        <row r="7">
          <cell r="AI7">
            <v>10000</v>
          </cell>
        </row>
      </sheetData>
      <sheetData sheetId="5363">
        <row r="7">
          <cell r="AI7">
            <v>10000</v>
          </cell>
        </row>
      </sheetData>
      <sheetData sheetId="5364">
        <row r="7">
          <cell r="AI7">
            <v>10000</v>
          </cell>
        </row>
      </sheetData>
      <sheetData sheetId="5365">
        <row r="7">
          <cell r="AI7">
            <v>10000</v>
          </cell>
        </row>
      </sheetData>
      <sheetData sheetId="5366">
        <row r="7">
          <cell r="AI7">
            <v>10000</v>
          </cell>
        </row>
      </sheetData>
      <sheetData sheetId="5367">
        <row r="7">
          <cell r="AI7">
            <v>10000</v>
          </cell>
        </row>
      </sheetData>
      <sheetData sheetId="5368">
        <row r="7">
          <cell r="AI7">
            <v>10000</v>
          </cell>
        </row>
      </sheetData>
      <sheetData sheetId="5369">
        <row r="7">
          <cell r="AI7">
            <v>10000</v>
          </cell>
        </row>
      </sheetData>
      <sheetData sheetId="5370">
        <row r="7">
          <cell r="AI7">
            <v>10000</v>
          </cell>
        </row>
      </sheetData>
      <sheetData sheetId="5371">
        <row r="7">
          <cell r="AI7">
            <v>10000</v>
          </cell>
        </row>
      </sheetData>
      <sheetData sheetId="5372">
        <row r="7">
          <cell r="AI7">
            <v>10000</v>
          </cell>
        </row>
      </sheetData>
      <sheetData sheetId="5373">
        <row r="7">
          <cell r="AI7">
            <v>10000</v>
          </cell>
        </row>
      </sheetData>
      <sheetData sheetId="5374">
        <row r="7">
          <cell r="AI7">
            <v>10000</v>
          </cell>
        </row>
      </sheetData>
      <sheetData sheetId="5375">
        <row r="7">
          <cell r="AI7">
            <v>10000</v>
          </cell>
        </row>
      </sheetData>
      <sheetData sheetId="5376">
        <row r="7">
          <cell r="AI7">
            <v>10000</v>
          </cell>
        </row>
      </sheetData>
      <sheetData sheetId="5377">
        <row r="7">
          <cell r="AI7">
            <v>10000</v>
          </cell>
        </row>
      </sheetData>
      <sheetData sheetId="5378">
        <row r="7">
          <cell r="AI7">
            <v>10000</v>
          </cell>
        </row>
      </sheetData>
      <sheetData sheetId="5379">
        <row r="7">
          <cell r="AI7">
            <v>10000</v>
          </cell>
        </row>
      </sheetData>
      <sheetData sheetId="5380">
        <row r="7">
          <cell r="AI7">
            <v>10000</v>
          </cell>
        </row>
      </sheetData>
      <sheetData sheetId="5381">
        <row r="7">
          <cell r="AI7">
            <v>10000</v>
          </cell>
        </row>
      </sheetData>
      <sheetData sheetId="5382">
        <row r="7">
          <cell r="AI7">
            <v>10000</v>
          </cell>
        </row>
      </sheetData>
      <sheetData sheetId="5383">
        <row r="7">
          <cell r="AI7">
            <v>10000</v>
          </cell>
        </row>
      </sheetData>
      <sheetData sheetId="5384">
        <row r="7">
          <cell r="AI7">
            <v>10000</v>
          </cell>
        </row>
      </sheetData>
      <sheetData sheetId="5385">
        <row r="7">
          <cell r="AI7">
            <v>10000</v>
          </cell>
        </row>
      </sheetData>
      <sheetData sheetId="5386">
        <row r="7">
          <cell r="AI7">
            <v>10000</v>
          </cell>
        </row>
      </sheetData>
      <sheetData sheetId="5387">
        <row r="7">
          <cell r="AI7">
            <v>10000</v>
          </cell>
        </row>
      </sheetData>
      <sheetData sheetId="5388">
        <row r="7">
          <cell r="AI7">
            <v>10000</v>
          </cell>
        </row>
      </sheetData>
      <sheetData sheetId="5389">
        <row r="7">
          <cell r="AI7">
            <v>10000</v>
          </cell>
        </row>
      </sheetData>
      <sheetData sheetId="5390">
        <row r="7">
          <cell r="AI7">
            <v>10000</v>
          </cell>
        </row>
      </sheetData>
      <sheetData sheetId="5391">
        <row r="7">
          <cell r="AI7">
            <v>10000</v>
          </cell>
        </row>
      </sheetData>
      <sheetData sheetId="5392">
        <row r="7">
          <cell r="AI7">
            <v>10000</v>
          </cell>
        </row>
      </sheetData>
      <sheetData sheetId="5393">
        <row r="7">
          <cell r="AI7">
            <v>10000</v>
          </cell>
        </row>
      </sheetData>
      <sheetData sheetId="5394">
        <row r="7">
          <cell r="AI7">
            <v>10000</v>
          </cell>
        </row>
      </sheetData>
      <sheetData sheetId="5395">
        <row r="7">
          <cell r="AI7">
            <v>10000</v>
          </cell>
        </row>
      </sheetData>
      <sheetData sheetId="5396">
        <row r="7">
          <cell r="AI7">
            <v>10000</v>
          </cell>
        </row>
      </sheetData>
      <sheetData sheetId="5397">
        <row r="7">
          <cell r="AI7">
            <v>10000</v>
          </cell>
        </row>
      </sheetData>
      <sheetData sheetId="5398">
        <row r="7">
          <cell r="AI7">
            <v>10000</v>
          </cell>
        </row>
      </sheetData>
      <sheetData sheetId="5399">
        <row r="7">
          <cell r="AI7">
            <v>10000</v>
          </cell>
        </row>
      </sheetData>
      <sheetData sheetId="5400">
        <row r="7">
          <cell r="AI7">
            <v>10000</v>
          </cell>
        </row>
      </sheetData>
      <sheetData sheetId="5401">
        <row r="7">
          <cell r="AI7">
            <v>10000</v>
          </cell>
        </row>
      </sheetData>
      <sheetData sheetId="5402">
        <row r="7">
          <cell r="AI7">
            <v>10000</v>
          </cell>
        </row>
      </sheetData>
      <sheetData sheetId="5403">
        <row r="7">
          <cell r="AI7">
            <v>10000</v>
          </cell>
        </row>
      </sheetData>
      <sheetData sheetId="5404">
        <row r="7">
          <cell r="AI7">
            <v>10000</v>
          </cell>
        </row>
      </sheetData>
      <sheetData sheetId="5405">
        <row r="7">
          <cell r="AI7">
            <v>10000</v>
          </cell>
        </row>
      </sheetData>
      <sheetData sheetId="5406">
        <row r="7">
          <cell r="AI7">
            <v>10000</v>
          </cell>
        </row>
      </sheetData>
      <sheetData sheetId="5407">
        <row r="7">
          <cell r="AI7">
            <v>10000</v>
          </cell>
        </row>
      </sheetData>
      <sheetData sheetId="5408">
        <row r="7">
          <cell r="AI7">
            <v>10000</v>
          </cell>
        </row>
      </sheetData>
      <sheetData sheetId="5409">
        <row r="7">
          <cell r="AI7">
            <v>10000</v>
          </cell>
        </row>
      </sheetData>
      <sheetData sheetId="5410">
        <row r="7">
          <cell r="AI7">
            <v>10000</v>
          </cell>
        </row>
      </sheetData>
      <sheetData sheetId="5411">
        <row r="7">
          <cell r="AI7">
            <v>10000</v>
          </cell>
        </row>
      </sheetData>
      <sheetData sheetId="5412">
        <row r="7">
          <cell r="AI7">
            <v>10000</v>
          </cell>
        </row>
      </sheetData>
      <sheetData sheetId="5413">
        <row r="7">
          <cell r="AI7">
            <v>10000</v>
          </cell>
        </row>
      </sheetData>
      <sheetData sheetId="5414">
        <row r="7">
          <cell r="AI7">
            <v>10000</v>
          </cell>
        </row>
      </sheetData>
      <sheetData sheetId="5415">
        <row r="7">
          <cell r="AI7">
            <v>10000</v>
          </cell>
        </row>
      </sheetData>
      <sheetData sheetId="5416">
        <row r="7">
          <cell r="AI7">
            <v>10000</v>
          </cell>
        </row>
      </sheetData>
      <sheetData sheetId="5417">
        <row r="7">
          <cell r="AI7">
            <v>10000</v>
          </cell>
        </row>
      </sheetData>
      <sheetData sheetId="5418">
        <row r="7">
          <cell r="AI7">
            <v>10000</v>
          </cell>
        </row>
      </sheetData>
      <sheetData sheetId="5419">
        <row r="7">
          <cell r="AI7">
            <v>10000</v>
          </cell>
        </row>
      </sheetData>
      <sheetData sheetId="5420">
        <row r="7">
          <cell r="AI7">
            <v>10000</v>
          </cell>
        </row>
      </sheetData>
      <sheetData sheetId="5421">
        <row r="7">
          <cell r="AI7">
            <v>10000</v>
          </cell>
        </row>
      </sheetData>
      <sheetData sheetId="5422">
        <row r="7">
          <cell r="AI7">
            <v>10000</v>
          </cell>
        </row>
      </sheetData>
      <sheetData sheetId="5423">
        <row r="7">
          <cell r="AI7">
            <v>10000</v>
          </cell>
        </row>
      </sheetData>
      <sheetData sheetId="5424">
        <row r="7">
          <cell r="AI7">
            <v>10000</v>
          </cell>
        </row>
      </sheetData>
      <sheetData sheetId="5425">
        <row r="7">
          <cell r="AI7">
            <v>10000</v>
          </cell>
        </row>
      </sheetData>
      <sheetData sheetId="5426">
        <row r="7">
          <cell r="AI7">
            <v>10000</v>
          </cell>
        </row>
      </sheetData>
      <sheetData sheetId="5427">
        <row r="7">
          <cell r="AI7">
            <v>10000</v>
          </cell>
        </row>
      </sheetData>
      <sheetData sheetId="5428">
        <row r="7">
          <cell r="AI7">
            <v>10000</v>
          </cell>
        </row>
      </sheetData>
      <sheetData sheetId="5429">
        <row r="7">
          <cell r="AI7">
            <v>10000</v>
          </cell>
        </row>
      </sheetData>
      <sheetData sheetId="5430">
        <row r="7">
          <cell r="AI7">
            <v>10000</v>
          </cell>
        </row>
      </sheetData>
      <sheetData sheetId="5431">
        <row r="7">
          <cell r="AI7">
            <v>10000</v>
          </cell>
        </row>
      </sheetData>
      <sheetData sheetId="5432">
        <row r="7">
          <cell r="AI7">
            <v>10000</v>
          </cell>
        </row>
      </sheetData>
      <sheetData sheetId="5433">
        <row r="7">
          <cell r="AI7">
            <v>10000</v>
          </cell>
        </row>
      </sheetData>
      <sheetData sheetId="5434">
        <row r="7">
          <cell r="AI7">
            <v>10000</v>
          </cell>
        </row>
      </sheetData>
      <sheetData sheetId="5435">
        <row r="7">
          <cell r="AI7">
            <v>10000</v>
          </cell>
        </row>
      </sheetData>
      <sheetData sheetId="5436">
        <row r="7">
          <cell r="AI7">
            <v>10000</v>
          </cell>
        </row>
      </sheetData>
      <sheetData sheetId="5437">
        <row r="7">
          <cell r="AI7">
            <v>10000</v>
          </cell>
        </row>
      </sheetData>
      <sheetData sheetId="5438">
        <row r="7">
          <cell r="AI7">
            <v>10000</v>
          </cell>
        </row>
      </sheetData>
      <sheetData sheetId="5439">
        <row r="7">
          <cell r="AI7">
            <v>10000</v>
          </cell>
        </row>
      </sheetData>
      <sheetData sheetId="5440">
        <row r="7">
          <cell r="AI7">
            <v>10000</v>
          </cell>
        </row>
      </sheetData>
      <sheetData sheetId="5441">
        <row r="7">
          <cell r="AI7">
            <v>10000</v>
          </cell>
        </row>
      </sheetData>
      <sheetData sheetId="5442">
        <row r="7">
          <cell r="AI7">
            <v>10000</v>
          </cell>
        </row>
      </sheetData>
      <sheetData sheetId="5443">
        <row r="7">
          <cell r="AI7">
            <v>10000</v>
          </cell>
        </row>
      </sheetData>
      <sheetData sheetId="5444">
        <row r="7">
          <cell r="AI7">
            <v>10000</v>
          </cell>
        </row>
      </sheetData>
      <sheetData sheetId="5445">
        <row r="7">
          <cell r="AI7">
            <v>10000</v>
          </cell>
        </row>
      </sheetData>
      <sheetData sheetId="5446">
        <row r="7">
          <cell r="AI7">
            <v>10000</v>
          </cell>
        </row>
      </sheetData>
      <sheetData sheetId="5447">
        <row r="7">
          <cell r="AI7">
            <v>10000</v>
          </cell>
        </row>
      </sheetData>
      <sheetData sheetId="5448">
        <row r="7">
          <cell r="AI7">
            <v>10000</v>
          </cell>
        </row>
      </sheetData>
      <sheetData sheetId="5449">
        <row r="7">
          <cell r="AI7">
            <v>10000</v>
          </cell>
        </row>
      </sheetData>
      <sheetData sheetId="5450">
        <row r="7">
          <cell r="AI7">
            <v>10000</v>
          </cell>
        </row>
      </sheetData>
      <sheetData sheetId="5451">
        <row r="7">
          <cell r="AI7">
            <v>10000</v>
          </cell>
        </row>
      </sheetData>
      <sheetData sheetId="5452">
        <row r="7">
          <cell r="AI7">
            <v>10000</v>
          </cell>
        </row>
      </sheetData>
      <sheetData sheetId="5453">
        <row r="7">
          <cell r="AI7">
            <v>10000</v>
          </cell>
        </row>
      </sheetData>
      <sheetData sheetId="5454">
        <row r="7">
          <cell r="AI7">
            <v>10000</v>
          </cell>
        </row>
      </sheetData>
      <sheetData sheetId="5455">
        <row r="7">
          <cell r="AI7">
            <v>10000</v>
          </cell>
        </row>
      </sheetData>
      <sheetData sheetId="5456">
        <row r="7">
          <cell r="AI7">
            <v>10000</v>
          </cell>
        </row>
      </sheetData>
      <sheetData sheetId="5457">
        <row r="7">
          <cell r="AI7">
            <v>10000</v>
          </cell>
        </row>
      </sheetData>
      <sheetData sheetId="5458">
        <row r="7">
          <cell r="AI7">
            <v>10000</v>
          </cell>
        </row>
      </sheetData>
      <sheetData sheetId="5459">
        <row r="7">
          <cell r="AI7">
            <v>10000</v>
          </cell>
        </row>
      </sheetData>
      <sheetData sheetId="5460">
        <row r="7">
          <cell r="AI7">
            <v>10000</v>
          </cell>
        </row>
      </sheetData>
      <sheetData sheetId="5461">
        <row r="7">
          <cell r="AI7">
            <v>10000</v>
          </cell>
        </row>
      </sheetData>
      <sheetData sheetId="5462">
        <row r="7">
          <cell r="AI7">
            <v>10000</v>
          </cell>
        </row>
      </sheetData>
      <sheetData sheetId="5463">
        <row r="7">
          <cell r="AI7">
            <v>10000</v>
          </cell>
        </row>
      </sheetData>
      <sheetData sheetId="5464">
        <row r="7">
          <cell r="AI7">
            <v>10000</v>
          </cell>
        </row>
      </sheetData>
      <sheetData sheetId="5465">
        <row r="7">
          <cell r="AI7">
            <v>10000</v>
          </cell>
        </row>
      </sheetData>
      <sheetData sheetId="5466">
        <row r="7">
          <cell r="AI7">
            <v>10000</v>
          </cell>
        </row>
      </sheetData>
      <sheetData sheetId="5467">
        <row r="7">
          <cell r="AI7">
            <v>10000</v>
          </cell>
        </row>
      </sheetData>
      <sheetData sheetId="5468">
        <row r="7">
          <cell r="AI7">
            <v>10000</v>
          </cell>
        </row>
      </sheetData>
      <sheetData sheetId="5469">
        <row r="7">
          <cell r="AI7">
            <v>10000</v>
          </cell>
        </row>
      </sheetData>
      <sheetData sheetId="5470">
        <row r="7">
          <cell r="AI7">
            <v>10000</v>
          </cell>
        </row>
      </sheetData>
      <sheetData sheetId="5471">
        <row r="7">
          <cell r="AI7">
            <v>10000</v>
          </cell>
        </row>
      </sheetData>
      <sheetData sheetId="5472">
        <row r="7">
          <cell r="AI7">
            <v>10000</v>
          </cell>
        </row>
      </sheetData>
      <sheetData sheetId="5473">
        <row r="7">
          <cell r="AI7">
            <v>10000</v>
          </cell>
        </row>
      </sheetData>
      <sheetData sheetId="5474">
        <row r="7">
          <cell r="AI7">
            <v>10000</v>
          </cell>
        </row>
      </sheetData>
      <sheetData sheetId="5475">
        <row r="7">
          <cell r="AI7">
            <v>10000</v>
          </cell>
        </row>
      </sheetData>
      <sheetData sheetId="5476">
        <row r="7">
          <cell r="AI7">
            <v>10000</v>
          </cell>
        </row>
      </sheetData>
      <sheetData sheetId="5477">
        <row r="7">
          <cell r="AI7">
            <v>10000</v>
          </cell>
        </row>
      </sheetData>
      <sheetData sheetId="5478">
        <row r="7">
          <cell r="AI7">
            <v>10000</v>
          </cell>
        </row>
      </sheetData>
      <sheetData sheetId="5479">
        <row r="7">
          <cell r="AI7">
            <v>10000</v>
          </cell>
        </row>
      </sheetData>
      <sheetData sheetId="5480">
        <row r="7">
          <cell r="AI7">
            <v>10000</v>
          </cell>
        </row>
      </sheetData>
      <sheetData sheetId="5481">
        <row r="7">
          <cell r="AI7">
            <v>10000</v>
          </cell>
        </row>
      </sheetData>
      <sheetData sheetId="5482">
        <row r="7">
          <cell r="AI7">
            <v>10000</v>
          </cell>
        </row>
      </sheetData>
      <sheetData sheetId="5483">
        <row r="7">
          <cell r="AI7">
            <v>10000</v>
          </cell>
        </row>
      </sheetData>
      <sheetData sheetId="5484">
        <row r="7">
          <cell r="AI7">
            <v>10000</v>
          </cell>
        </row>
      </sheetData>
      <sheetData sheetId="5485">
        <row r="7">
          <cell r="AI7">
            <v>10000</v>
          </cell>
        </row>
      </sheetData>
      <sheetData sheetId="5486">
        <row r="7">
          <cell r="AI7">
            <v>10000</v>
          </cell>
        </row>
      </sheetData>
      <sheetData sheetId="5487">
        <row r="7">
          <cell r="AI7">
            <v>10000</v>
          </cell>
        </row>
      </sheetData>
      <sheetData sheetId="5488">
        <row r="7">
          <cell r="AI7">
            <v>10000</v>
          </cell>
        </row>
      </sheetData>
      <sheetData sheetId="5489">
        <row r="7">
          <cell r="AI7">
            <v>10000</v>
          </cell>
        </row>
      </sheetData>
      <sheetData sheetId="5490">
        <row r="7">
          <cell r="AI7">
            <v>10000</v>
          </cell>
        </row>
      </sheetData>
      <sheetData sheetId="5491">
        <row r="7">
          <cell r="AI7">
            <v>10000</v>
          </cell>
        </row>
      </sheetData>
      <sheetData sheetId="5492">
        <row r="7">
          <cell r="AI7">
            <v>10000</v>
          </cell>
        </row>
      </sheetData>
      <sheetData sheetId="5493">
        <row r="7">
          <cell r="AI7">
            <v>10000</v>
          </cell>
        </row>
      </sheetData>
      <sheetData sheetId="5494">
        <row r="7">
          <cell r="AI7">
            <v>10000</v>
          </cell>
        </row>
      </sheetData>
      <sheetData sheetId="5495">
        <row r="7">
          <cell r="AI7">
            <v>10000</v>
          </cell>
        </row>
      </sheetData>
      <sheetData sheetId="5496">
        <row r="7">
          <cell r="AI7">
            <v>10000</v>
          </cell>
        </row>
      </sheetData>
      <sheetData sheetId="5497">
        <row r="7">
          <cell r="AI7">
            <v>10000</v>
          </cell>
        </row>
      </sheetData>
      <sheetData sheetId="5498">
        <row r="7">
          <cell r="AI7">
            <v>10000</v>
          </cell>
        </row>
      </sheetData>
      <sheetData sheetId="5499">
        <row r="7">
          <cell r="AI7">
            <v>10000</v>
          </cell>
        </row>
      </sheetData>
      <sheetData sheetId="5500">
        <row r="7">
          <cell r="AI7">
            <v>10000</v>
          </cell>
        </row>
      </sheetData>
      <sheetData sheetId="5501">
        <row r="7">
          <cell r="AI7">
            <v>10000</v>
          </cell>
        </row>
      </sheetData>
      <sheetData sheetId="5502">
        <row r="7">
          <cell r="AI7">
            <v>10000</v>
          </cell>
        </row>
      </sheetData>
      <sheetData sheetId="5503">
        <row r="7">
          <cell r="AI7">
            <v>10000</v>
          </cell>
        </row>
      </sheetData>
      <sheetData sheetId="5504">
        <row r="7">
          <cell r="AI7">
            <v>10000</v>
          </cell>
        </row>
      </sheetData>
      <sheetData sheetId="5505">
        <row r="7">
          <cell r="AI7">
            <v>10000</v>
          </cell>
        </row>
      </sheetData>
      <sheetData sheetId="5506">
        <row r="7">
          <cell r="AI7">
            <v>10000</v>
          </cell>
        </row>
      </sheetData>
      <sheetData sheetId="5507">
        <row r="7">
          <cell r="AI7">
            <v>10000</v>
          </cell>
        </row>
      </sheetData>
      <sheetData sheetId="5508">
        <row r="7">
          <cell r="AI7">
            <v>10000</v>
          </cell>
        </row>
      </sheetData>
      <sheetData sheetId="5509">
        <row r="7">
          <cell r="AI7">
            <v>10000</v>
          </cell>
        </row>
      </sheetData>
      <sheetData sheetId="5510">
        <row r="7">
          <cell r="AI7">
            <v>10000</v>
          </cell>
        </row>
      </sheetData>
      <sheetData sheetId="5511">
        <row r="7">
          <cell r="AI7">
            <v>10000</v>
          </cell>
        </row>
      </sheetData>
      <sheetData sheetId="5512">
        <row r="7">
          <cell r="AI7">
            <v>10000</v>
          </cell>
        </row>
      </sheetData>
      <sheetData sheetId="5513">
        <row r="7">
          <cell r="AI7">
            <v>10000</v>
          </cell>
        </row>
      </sheetData>
      <sheetData sheetId="5514">
        <row r="7">
          <cell r="AI7">
            <v>10000</v>
          </cell>
        </row>
      </sheetData>
      <sheetData sheetId="5515">
        <row r="7">
          <cell r="AI7">
            <v>10000</v>
          </cell>
        </row>
      </sheetData>
      <sheetData sheetId="5516">
        <row r="7">
          <cell r="AI7">
            <v>10000</v>
          </cell>
        </row>
      </sheetData>
      <sheetData sheetId="5517">
        <row r="7">
          <cell r="AI7">
            <v>10000</v>
          </cell>
        </row>
      </sheetData>
      <sheetData sheetId="5518">
        <row r="7">
          <cell r="AI7">
            <v>10000</v>
          </cell>
        </row>
      </sheetData>
      <sheetData sheetId="5519">
        <row r="7">
          <cell r="AI7">
            <v>10000</v>
          </cell>
        </row>
      </sheetData>
      <sheetData sheetId="5520">
        <row r="7">
          <cell r="AI7">
            <v>10000</v>
          </cell>
        </row>
      </sheetData>
      <sheetData sheetId="5521">
        <row r="7">
          <cell r="AI7">
            <v>10000</v>
          </cell>
        </row>
      </sheetData>
      <sheetData sheetId="5522">
        <row r="7">
          <cell r="AI7">
            <v>10000</v>
          </cell>
        </row>
      </sheetData>
      <sheetData sheetId="5523">
        <row r="7">
          <cell r="AI7">
            <v>10000</v>
          </cell>
        </row>
      </sheetData>
      <sheetData sheetId="5524">
        <row r="7">
          <cell r="AI7">
            <v>10000</v>
          </cell>
        </row>
      </sheetData>
      <sheetData sheetId="5525">
        <row r="7">
          <cell r="AI7">
            <v>10000</v>
          </cell>
        </row>
      </sheetData>
      <sheetData sheetId="5526">
        <row r="7">
          <cell r="AI7">
            <v>10000</v>
          </cell>
        </row>
      </sheetData>
      <sheetData sheetId="5527">
        <row r="7">
          <cell r="AI7">
            <v>10000</v>
          </cell>
        </row>
      </sheetData>
      <sheetData sheetId="5528">
        <row r="7">
          <cell r="AI7">
            <v>10000</v>
          </cell>
        </row>
      </sheetData>
      <sheetData sheetId="5529">
        <row r="7">
          <cell r="AI7">
            <v>10000</v>
          </cell>
        </row>
      </sheetData>
      <sheetData sheetId="5530">
        <row r="7">
          <cell r="AI7">
            <v>10000</v>
          </cell>
        </row>
      </sheetData>
      <sheetData sheetId="5531">
        <row r="7">
          <cell r="AI7">
            <v>10000</v>
          </cell>
        </row>
      </sheetData>
      <sheetData sheetId="5532">
        <row r="7">
          <cell r="AI7">
            <v>10000</v>
          </cell>
        </row>
      </sheetData>
      <sheetData sheetId="5533">
        <row r="7">
          <cell r="AI7">
            <v>10000</v>
          </cell>
        </row>
      </sheetData>
      <sheetData sheetId="5534">
        <row r="7">
          <cell r="AI7">
            <v>10000</v>
          </cell>
        </row>
      </sheetData>
      <sheetData sheetId="5535">
        <row r="7">
          <cell r="AI7">
            <v>10000</v>
          </cell>
        </row>
      </sheetData>
      <sheetData sheetId="5536">
        <row r="7">
          <cell r="AI7">
            <v>10000</v>
          </cell>
        </row>
      </sheetData>
      <sheetData sheetId="5537">
        <row r="7">
          <cell r="AI7">
            <v>10000</v>
          </cell>
        </row>
      </sheetData>
      <sheetData sheetId="5538">
        <row r="7">
          <cell r="AI7">
            <v>10000</v>
          </cell>
        </row>
      </sheetData>
      <sheetData sheetId="5539">
        <row r="7">
          <cell r="AI7">
            <v>10000</v>
          </cell>
        </row>
      </sheetData>
      <sheetData sheetId="5540">
        <row r="7">
          <cell r="AI7">
            <v>10000</v>
          </cell>
        </row>
      </sheetData>
      <sheetData sheetId="5541">
        <row r="7">
          <cell r="AI7">
            <v>10000</v>
          </cell>
        </row>
      </sheetData>
      <sheetData sheetId="5542">
        <row r="7">
          <cell r="AI7">
            <v>10000</v>
          </cell>
        </row>
      </sheetData>
      <sheetData sheetId="5543">
        <row r="7">
          <cell r="AI7">
            <v>10000</v>
          </cell>
        </row>
      </sheetData>
      <sheetData sheetId="5544">
        <row r="7">
          <cell r="AI7">
            <v>10000</v>
          </cell>
        </row>
      </sheetData>
      <sheetData sheetId="5545">
        <row r="7">
          <cell r="AI7">
            <v>10000</v>
          </cell>
        </row>
      </sheetData>
      <sheetData sheetId="5546">
        <row r="7">
          <cell r="AI7">
            <v>10000</v>
          </cell>
        </row>
      </sheetData>
      <sheetData sheetId="5547">
        <row r="7">
          <cell r="AI7">
            <v>10000</v>
          </cell>
        </row>
      </sheetData>
      <sheetData sheetId="5548">
        <row r="7">
          <cell r="AI7">
            <v>10000</v>
          </cell>
        </row>
      </sheetData>
      <sheetData sheetId="5549">
        <row r="7">
          <cell r="AI7">
            <v>10000</v>
          </cell>
        </row>
      </sheetData>
      <sheetData sheetId="5550">
        <row r="7">
          <cell r="AI7">
            <v>10000</v>
          </cell>
        </row>
      </sheetData>
      <sheetData sheetId="5551">
        <row r="7">
          <cell r="AI7">
            <v>10000</v>
          </cell>
        </row>
      </sheetData>
      <sheetData sheetId="5552">
        <row r="7">
          <cell r="AI7">
            <v>10000</v>
          </cell>
        </row>
      </sheetData>
      <sheetData sheetId="5553">
        <row r="7">
          <cell r="AI7">
            <v>10000</v>
          </cell>
        </row>
      </sheetData>
      <sheetData sheetId="5554">
        <row r="7">
          <cell r="AI7">
            <v>10000</v>
          </cell>
        </row>
      </sheetData>
      <sheetData sheetId="5555">
        <row r="7">
          <cell r="AI7">
            <v>10000</v>
          </cell>
        </row>
      </sheetData>
      <sheetData sheetId="5556">
        <row r="7">
          <cell r="AI7">
            <v>10000</v>
          </cell>
        </row>
      </sheetData>
      <sheetData sheetId="5557">
        <row r="7">
          <cell r="AI7">
            <v>10000</v>
          </cell>
        </row>
      </sheetData>
      <sheetData sheetId="5558">
        <row r="7">
          <cell r="AI7">
            <v>10000</v>
          </cell>
        </row>
      </sheetData>
      <sheetData sheetId="5559">
        <row r="7">
          <cell r="AI7">
            <v>10000</v>
          </cell>
        </row>
      </sheetData>
      <sheetData sheetId="5560">
        <row r="7">
          <cell r="AI7">
            <v>10000</v>
          </cell>
        </row>
      </sheetData>
      <sheetData sheetId="5561">
        <row r="7">
          <cell r="AI7">
            <v>10000</v>
          </cell>
        </row>
      </sheetData>
      <sheetData sheetId="5562">
        <row r="7">
          <cell r="AI7">
            <v>10000</v>
          </cell>
        </row>
      </sheetData>
      <sheetData sheetId="5563">
        <row r="7">
          <cell r="AI7">
            <v>10000</v>
          </cell>
        </row>
      </sheetData>
      <sheetData sheetId="5564">
        <row r="7">
          <cell r="AI7">
            <v>10000</v>
          </cell>
        </row>
      </sheetData>
      <sheetData sheetId="5565">
        <row r="7">
          <cell r="AI7">
            <v>10000</v>
          </cell>
        </row>
      </sheetData>
      <sheetData sheetId="5566">
        <row r="7">
          <cell r="AI7">
            <v>10000</v>
          </cell>
        </row>
      </sheetData>
      <sheetData sheetId="5567">
        <row r="7">
          <cell r="AI7">
            <v>10000</v>
          </cell>
        </row>
      </sheetData>
      <sheetData sheetId="5568">
        <row r="7">
          <cell r="AI7">
            <v>10000</v>
          </cell>
        </row>
      </sheetData>
      <sheetData sheetId="5569">
        <row r="7">
          <cell r="AI7">
            <v>10000</v>
          </cell>
        </row>
      </sheetData>
      <sheetData sheetId="5570">
        <row r="7">
          <cell r="AI7">
            <v>10000</v>
          </cell>
        </row>
      </sheetData>
      <sheetData sheetId="5571">
        <row r="7">
          <cell r="AI7">
            <v>10000</v>
          </cell>
        </row>
      </sheetData>
      <sheetData sheetId="5572">
        <row r="7">
          <cell r="AI7">
            <v>10000</v>
          </cell>
        </row>
      </sheetData>
      <sheetData sheetId="5573">
        <row r="7">
          <cell r="AI7">
            <v>10000</v>
          </cell>
        </row>
      </sheetData>
      <sheetData sheetId="5574">
        <row r="7">
          <cell r="AI7">
            <v>10000</v>
          </cell>
        </row>
      </sheetData>
      <sheetData sheetId="5575">
        <row r="7">
          <cell r="AI7">
            <v>10000</v>
          </cell>
        </row>
      </sheetData>
      <sheetData sheetId="5576">
        <row r="7">
          <cell r="AI7">
            <v>10000</v>
          </cell>
        </row>
      </sheetData>
      <sheetData sheetId="5577">
        <row r="7">
          <cell r="AI7">
            <v>10000</v>
          </cell>
        </row>
      </sheetData>
      <sheetData sheetId="5578">
        <row r="7">
          <cell r="AI7">
            <v>10000</v>
          </cell>
        </row>
      </sheetData>
      <sheetData sheetId="5579">
        <row r="7">
          <cell r="AI7">
            <v>10000</v>
          </cell>
        </row>
      </sheetData>
      <sheetData sheetId="5580">
        <row r="7">
          <cell r="AI7">
            <v>10000</v>
          </cell>
        </row>
      </sheetData>
      <sheetData sheetId="5581">
        <row r="7">
          <cell r="AI7">
            <v>10000</v>
          </cell>
        </row>
      </sheetData>
      <sheetData sheetId="5582">
        <row r="7">
          <cell r="AI7">
            <v>10000</v>
          </cell>
        </row>
      </sheetData>
      <sheetData sheetId="5583">
        <row r="7">
          <cell r="AI7">
            <v>10000</v>
          </cell>
        </row>
      </sheetData>
      <sheetData sheetId="5584">
        <row r="7">
          <cell r="AI7">
            <v>10000</v>
          </cell>
        </row>
      </sheetData>
      <sheetData sheetId="5585">
        <row r="7">
          <cell r="AI7">
            <v>10000</v>
          </cell>
        </row>
      </sheetData>
      <sheetData sheetId="5586">
        <row r="7">
          <cell r="AI7">
            <v>10000</v>
          </cell>
        </row>
      </sheetData>
      <sheetData sheetId="5587">
        <row r="7">
          <cell r="AI7">
            <v>10000</v>
          </cell>
        </row>
      </sheetData>
      <sheetData sheetId="5588">
        <row r="7">
          <cell r="AI7">
            <v>10000</v>
          </cell>
        </row>
      </sheetData>
      <sheetData sheetId="5589">
        <row r="7">
          <cell r="AI7">
            <v>10000</v>
          </cell>
        </row>
      </sheetData>
      <sheetData sheetId="5590">
        <row r="7">
          <cell r="AI7">
            <v>10000</v>
          </cell>
        </row>
      </sheetData>
      <sheetData sheetId="5591">
        <row r="7">
          <cell r="AI7">
            <v>10000</v>
          </cell>
        </row>
      </sheetData>
      <sheetData sheetId="5592">
        <row r="7">
          <cell r="AI7">
            <v>10000</v>
          </cell>
        </row>
      </sheetData>
      <sheetData sheetId="5593">
        <row r="7">
          <cell r="AI7">
            <v>10000</v>
          </cell>
        </row>
      </sheetData>
      <sheetData sheetId="5594">
        <row r="7">
          <cell r="AI7">
            <v>10000</v>
          </cell>
        </row>
      </sheetData>
      <sheetData sheetId="5595">
        <row r="7">
          <cell r="AI7">
            <v>10000</v>
          </cell>
        </row>
      </sheetData>
      <sheetData sheetId="5596">
        <row r="7">
          <cell r="AI7">
            <v>10000</v>
          </cell>
        </row>
      </sheetData>
      <sheetData sheetId="5597">
        <row r="7">
          <cell r="AI7">
            <v>10000</v>
          </cell>
        </row>
      </sheetData>
      <sheetData sheetId="5598">
        <row r="7">
          <cell r="AI7">
            <v>10000</v>
          </cell>
        </row>
      </sheetData>
      <sheetData sheetId="5599">
        <row r="7">
          <cell r="AI7">
            <v>10000</v>
          </cell>
        </row>
      </sheetData>
      <sheetData sheetId="5600">
        <row r="7">
          <cell r="AI7">
            <v>10000</v>
          </cell>
        </row>
      </sheetData>
      <sheetData sheetId="5601">
        <row r="7">
          <cell r="AI7">
            <v>10000</v>
          </cell>
        </row>
      </sheetData>
      <sheetData sheetId="5602">
        <row r="7">
          <cell r="AI7">
            <v>10000</v>
          </cell>
        </row>
      </sheetData>
      <sheetData sheetId="5603">
        <row r="7">
          <cell r="AI7">
            <v>10000</v>
          </cell>
        </row>
      </sheetData>
      <sheetData sheetId="5604">
        <row r="7">
          <cell r="AI7">
            <v>10000</v>
          </cell>
        </row>
      </sheetData>
      <sheetData sheetId="5605">
        <row r="7">
          <cell r="AI7">
            <v>10000</v>
          </cell>
        </row>
      </sheetData>
      <sheetData sheetId="5606">
        <row r="7">
          <cell r="AI7">
            <v>10000</v>
          </cell>
        </row>
      </sheetData>
      <sheetData sheetId="5607">
        <row r="7">
          <cell r="AI7">
            <v>10000</v>
          </cell>
        </row>
      </sheetData>
      <sheetData sheetId="5608">
        <row r="7">
          <cell r="AI7">
            <v>10000</v>
          </cell>
        </row>
      </sheetData>
      <sheetData sheetId="5609">
        <row r="7">
          <cell r="AI7">
            <v>10000</v>
          </cell>
        </row>
      </sheetData>
      <sheetData sheetId="5610">
        <row r="7">
          <cell r="AI7">
            <v>10000</v>
          </cell>
        </row>
      </sheetData>
      <sheetData sheetId="5611">
        <row r="7">
          <cell r="AI7">
            <v>10000</v>
          </cell>
        </row>
      </sheetData>
      <sheetData sheetId="5612">
        <row r="7">
          <cell r="AI7">
            <v>10000</v>
          </cell>
        </row>
      </sheetData>
      <sheetData sheetId="5613">
        <row r="7">
          <cell r="AI7">
            <v>10000</v>
          </cell>
        </row>
      </sheetData>
      <sheetData sheetId="5614">
        <row r="7">
          <cell r="AI7">
            <v>10000</v>
          </cell>
        </row>
      </sheetData>
      <sheetData sheetId="5615">
        <row r="7">
          <cell r="AI7">
            <v>10000</v>
          </cell>
        </row>
      </sheetData>
      <sheetData sheetId="5616">
        <row r="7">
          <cell r="AI7">
            <v>10000</v>
          </cell>
        </row>
      </sheetData>
      <sheetData sheetId="5617">
        <row r="7">
          <cell r="AI7">
            <v>10000</v>
          </cell>
        </row>
      </sheetData>
      <sheetData sheetId="5618">
        <row r="7">
          <cell r="AI7">
            <v>10000</v>
          </cell>
        </row>
      </sheetData>
      <sheetData sheetId="5619">
        <row r="7">
          <cell r="AI7">
            <v>10000</v>
          </cell>
        </row>
      </sheetData>
      <sheetData sheetId="5620">
        <row r="7">
          <cell r="AI7">
            <v>10000</v>
          </cell>
        </row>
      </sheetData>
      <sheetData sheetId="5621">
        <row r="7">
          <cell r="AI7">
            <v>10000</v>
          </cell>
        </row>
      </sheetData>
      <sheetData sheetId="5622">
        <row r="7">
          <cell r="AI7">
            <v>10000</v>
          </cell>
        </row>
      </sheetData>
      <sheetData sheetId="5623">
        <row r="7">
          <cell r="AI7">
            <v>10000</v>
          </cell>
        </row>
      </sheetData>
      <sheetData sheetId="5624">
        <row r="7">
          <cell r="AI7">
            <v>10000</v>
          </cell>
        </row>
      </sheetData>
      <sheetData sheetId="5625">
        <row r="7">
          <cell r="AI7">
            <v>10000</v>
          </cell>
        </row>
      </sheetData>
      <sheetData sheetId="5626">
        <row r="7">
          <cell r="AI7">
            <v>10000</v>
          </cell>
        </row>
      </sheetData>
      <sheetData sheetId="5627">
        <row r="7">
          <cell r="AI7">
            <v>10000</v>
          </cell>
        </row>
      </sheetData>
      <sheetData sheetId="5628">
        <row r="7">
          <cell r="AI7">
            <v>10000</v>
          </cell>
        </row>
      </sheetData>
      <sheetData sheetId="5629">
        <row r="7">
          <cell r="AI7">
            <v>10000</v>
          </cell>
        </row>
      </sheetData>
      <sheetData sheetId="5630">
        <row r="7">
          <cell r="AI7">
            <v>10000</v>
          </cell>
        </row>
      </sheetData>
      <sheetData sheetId="5631">
        <row r="7">
          <cell r="AI7">
            <v>10000</v>
          </cell>
        </row>
      </sheetData>
      <sheetData sheetId="5632">
        <row r="7">
          <cell r="AI7">
            <v>10000</v>
          </cell>
        </row>
      </sheetData>
      <sheetData sheetId="5633">
        <row r="7">
          <cell r="AI7">
            <v>10000</v>
          </cell>
        </row>
      </sheetData>
      <sheetData sheetId="5634">
        <row r="7">
          <cell r="AI7">
            <v>10000</v>
          </cell>
        </row>
      </sheetData>
      <sheetData sheetId="5635">
        <row r="7">
          <cell r="AI7">
            <v>10000</v>
          </cell>
        </row>
      </sheetData>
      <sheetData sheetId="5636">
        <row r="7">
          <cell r="AI7">
            <v>10000</v>
          </cell>
        </row>
      </sheetData>
      <sheetData sheetId="5637">
        <row r="7">
          <cell r="AI7">
            <v>10000</v>
          </cell>
        </row>
      </sheetData>
      <sheetData sheetId="5638">
        <row r="7">
          <cell r="AI7">
            <v>10000</v>
          </cell>
        </row>
      </sheetData>
      <sheetData sheetId="5639">
        <row r="7">
          <cell r="AI7">
            <v>10000</v>
          </cell>
        </row>
      </sheetData>
      <sheetData sheetId="5640">
        <row r="7">
          <cell r="AI7">
            <v>10000</v>
          </cell>
        </row>
      </sheetData>
      <sheetData sheetId="5641">
        <row r="7">
          <cell r="AI7">
            <v>10000</v>
          </cell>
        </row>
      </sheetData>
      <sheetData sheetId="5642">
        <row r="7">
          <cell r="AI7">
            <v>10000</v>
          </cell>
        </row>
      </sheetData>
      <sheetData sheetId="5643">
        <row r="7">
          <cell r="AI7">
            <v>10000</v>
          </cell>
        </row>
      </sheetData>
      <sheetData sheetId="5644">
        <row r="7">
          <cell r="AI7">
            <v>10000</v>
          </cell>
        </row>
      </sheetData>
      <sheetData sheetId="5645">
        <row r="7">
          <cell r="AI7">
            <v>10000</v>
          </cell>
        </row>
      </sheetData>
      <sheetData sheetId="5646">
        <row r="7">
          <cell r="AI7">
            <v>10000</v>
          </cell>
        </row>
      </sheetData>
      <sheetData sheetId="5647">
        <row r="7">
          <cell r="AI7">
            <v>10000</v>
          </cell>
        </row>
      </sheetData>
      <sheetData sheetId="5648">
        <row r="7">
          <cell r="AI7">
            <v>10000</v>
          </cell>
        </row>
      </sheetData>
      <sheetData sheetId="5649">
        <row r="7">
          <cell r="AI7">
            <v>10000</v>
          </cell>
        </row>
      </sheetData>
      <sheetData sheetId="5650">
        <row r="7">
          <cell r="AI7">
            <v>10000</v>
          </cell>
        </row>
      </sheetData>
      <sheetData sheetId="5651">
        <row r="7">
          <cell r="AI7">
            <v>10000</v>
          </cell>
        </row>
      </sheetData>
      <sheetData sheetId="5652">
        <row r="7">
          <cell r="AI7">
            <v>10000</v>
          </cell>
        </row>
      </sheetData>
      <sheetData sheetId="5653">
        <row r="7">
          <cell r="AI7">
            <v>10000</v>
          </cell>
        </row>
      </sheetData>
      <sheetData sheetId="5654">
        <row r="7">
          <cell r="AI7">
            <v>10000</v>
          </cell>
        </row>
      </sheetData>
      <sheetData sheetId="5655">
        <row r="7">
          <cell r="AI7">
            <v>10000</v>
          </cell>
        </row>
      </sheetData>
      <sheetData sheetId="5656">
        <row r="7">
          <cell r="AI7">
            <v>10000</v>
          </cell>
        </row>
      </sheetData>
      <sheetData sheetId="5657">
        <row r="7">
          <cell r="AI7">
            <v>10000</v>
          </cell>
        </row>
      </sheetData>
      <sheetData sheetId="5658">
        <row r="7">
          <cell r="AI7">
            <v>10000</v>
          </cell>
        </row>
      </sheetData>
      <sheetData sheetId="5659">
        <row r="7">
          <cell r="AI7">
            <v>10000</v>
          </cell>
        </row>
      </sheetData>
      <sheetData sheetId="5660">
        <row r="7">
          <cell r="AI7">
            <v>10000</v>
          </cell>
        </row>
      </sheetData>
      <sheetData sheetId="5661">
        <row r="7">
          <cell r="AI7">
            <v>10000</v>
          </cell>
        </row>
      </sheetData>
      <sheetData sheetId="5662">
        <row r="7">
          <cell r="AI7">
            <v>10000</v>
          </cell>
        </row>
      </sheetData>
      <sheetData sheetId="5663">
        <row r="7">
          <cell r="AI7">
            <v>10000</v>
          </cell>
        </row>
      </sheetData>
      <sheetData sheetId="5664">
        <row r="7">
          <cell r="AI7">
            <v>10000</v>
          </cell>
        </row>
      </sheetData>
      <sheetData sheetId="5665">
        <row r="7">
          <cell r="AI7">
            <v>10000</v>
          </cell>
        </row>
      </sheetData>
      <sheetData sheetId="5666">
        <row r="7">
          <cell r="AI7">
            <v>10000</v>
          </cell>
        </row>
      </sheetData>
      <sheetData sheetId="5667">
        <row r="7">
          <cell r="AI7">
            <v>10000</v>
          </cell>
        </row>
      </sheetData>
      <sheetData sheetId="5668">
        <row r="7">
          <cell r="AI7">
            <v>10000</v>
          </cell>
        </row>
      </sheetData>
      <sheetData sheetId="5669">
        <row r="7">
          <cell r="AI7">
            <v>10000</v>
          </cell>
        </row>
      </sheetData>
      <sheetData sheetId="5670">
        <row r="7">
          <cell r="AI7">
            <v>10000</v>
          </cell>
        </row>
      </sheetData>
      <sheetData sheetId="5671">
        <row r="7">
          <cell r="AI7">
            <v>10000</v>
          </cell>
        </row>
      </sheetData>
      <sheetData sheetId="5672">
        <row r="7">
          <cell r="AI7">
            <v>10000</v>
          </cell>
        </row>
      </sheetData>
      <sheetData sheetId="5673">
        <row r="7">
          <cell r="AI7">
            <v>10000</v>
          </cell>
        </row>
      </sheetData>
      <sheetData sheetId="5674">
        <row r="7">
          <cell r="AI7">
            <v>10000</v>
          </cell>
        </row>
      </sheetData>
      <sheetData sheetId="5675">
        <row r="7">
          <cell r="AI7">
            <v>10000</v>
          </cell>
        </row>
      </sheetData>
      <sheetData sheetId="5676">
        <row r="7">
          <cell r="AI7">
            <v>10000</v>
          </cell>
        </row>
      </sheetData>
      <sheetData sheetId="5677">
        <row r="7">
          <cell r="AI7">
            <v>10000</v>
          </cell>
        </row>
      </sheetData>
      <sheetData sheetId="5678">
        <row r="7">
          <cell r="AI7">
            <v>10000</v>
          </cell>
        </row>
      </sheetData>
      <sheetData sheetId="5679">
        <row r="7">
          <cell r="AI7">
            <v>10000</v>
          </cell>
        </row>
      </sheetData>
      <sheetData sheetId="5680">
        <row r="7">
          <cell r="AI7">
            <v>10000</v>
          </cell>
        </row>
      </sheetData>
      <sheetData sheetId="5681">
        <row r="7">
          <cell r="AI7">
            <v>10000</v>
          </cell>
        </row>
      </sheetData>
      <sheetData sheetId="5682">
        <row r="7">
          <cell r="AI7">
            <v>10000</v>
          </cell>
        </row>
      </sheetData>
      <sheetData sheetId="5683">
        <row r="7">
          <cell r="AI7">
            <v>10000</v>
          </cell>
        </row>
      </sheetData>
      <sheetData sheetId="5684">
        <row r="7">
          <cell r="AI7">
            <v>10000</v>
          </cell>
        </row>
      </sheetData>
      <sheetData sheetId="5685">
        <row r="7">
          <cell r="AI7">
            <v>10000</v>
          </cell>
        </row>
      </sheetData>
      <sheetData sheetId="5686">
        <row r="7">
          <cell r="AI7">
            <v>10000</v>
          </cell>
        </row>
      </sheetData>
      <sheetData sheetId="5687">
        <row r="7">
          <cell r="AI7">
            <v>10000</v>
          </cell>
        </row>
      </sheetData>
      <sheetData sheetId="5688">
        <row r="7">
          <cell r="AI7">
            <v>10000</v>
          </cell>
        </row>
      </sheetData>
      <sheetData sheetId="5689">
        <row r="7">
          <cell r="AI7">
            <v>10000</v>
          </cell>
        </row>
      </sheetData>
      <sheetData sheetId="5690">
        <row r="7">
          <cell r="AI7">
            <v>10000</v>
          </cell>
        </row>
      </sheetData>
      <sheetData sheetId="5691">
        <row r="7">
          <cell r="AI7">
            <v>10000</v>
          </cell>
        </row>
      </sheetData>
      <sheetData sheetId="5692">
        <row r="7">
          <cell r="AI7">
            <v>10000</v>
          </cell>
        </row>
      </sheetData>
      <sheetData sheetId="5693">
        <row r="7">
          <cell r="AI7">
            <v>10000</v>
          </cell>
        </row>
      </sheetData>
      <sheetData sheetId="5694">
        <row r="7">
          <cell r="AI7">
            <v>10000</v>
          </cell>
        </row>
      </sheetData>
      <sheetData sheetId="5695">
        <row r="7">
          <cell r="AI7">
            <v>10000</v>
          </cell>
        </row>
      </sheetData>
      <sheetData sheetId="5696">
        <row r="7">
          <cell r="AI7">
            <v>10000</v>
          </cell>
        </row>
      </sheetData>
      <sheetData sheetId="5697">
        <row r="7">
          <cell r="AI7">
            <v>10000</v>
          </cell>
        </row>
      </sheetData>
      <sheetData sheetId="5698">
        <row r="7">
          <cell r="AI7">
            <v>10000</v>
          </cell>
        </row>
      </sheetData>
      <sheetData sheetId="5699">
        <row r="7">
          <cell r="AI7">
            <v>10000</v>
          </cell>
        </row>
      </sheetData>
      <sheetData sheetId="5700">
        <row r="7">
          <cell r="AI7">
            <v>10000</v>
          </cell>
        </row>
      </sheetData>
      <sheetData sheetId="5701">
        <row r="7">
          <cell r="AI7">
            <v>10000</v>
          </cell>
        </row>
      </sheetData>
      <sheetData sheetId="5702">
        <row r="7">
          <cell r="AI7">
            <v>10000</v>
          </cell>
        </row>
      </sheetData>
      <sheetData sheetId="5703">
        <row r="7">
          <cell r="AI7">
            <v>10000</v>
          </cell>
        </row>
      </sheetData>
      <sheetData sheetId="5704">
        <row r="7">
          <cell r="AI7">
            <v>10000</v>
          </cell>
        </row>
      </sheetData>
      <sheetData sheetId="5705">
        <row r="7">
          <cell r="AI7">
            <v>10000</v>
          </cell>
        </row>
      </sheetData>
      <sheetData sheetId="5706">
        <row r="7">
          <cell r="AI7">
            <v>10000</v>
          </cell>
        </row>
      </sheetData>
      <sheetData sheetId="5707">
        <row r="7">
          <cell r="AI7">
            <v>10000</v>
          </cell>
        </row>
      </sheetData>
      <sheetData sheetId="5708">
        <row r="7">
          <cell r="AI7">
            <v>10000</v>
          </cell>
        </row>
      </sheetData>
      <sheetData sheetId="5709">
        <row r="7">
          <cell r="AI7">
            <v>10000</v>
          </cell>
        </row>
      </sheetData>
      <sheetData sheetId="5710">
        <row r="7">
          <cell r="AI7">
            <v>10000</v>
          </cell>
        </row>
      </sheetData>
      <sheetData sheetId="5711">
        <row r="7">
          <cell r="AI7">
            <v>10000</v>
          </cell>
        </row>
      </sheetData>
      <sheetData sheetId="5712">
        <row r="7">
          <cell r="AI7">
            <v>10000</v>
          </cell>
        </row>
      </sheetData>
      <sheetData sheetId="5713">
        <row r="7">
          <cell r="AI7">
            <v>10000</v>
          </cell>
        </row>
      </sheetData>
      <sheetData sheetId="5714">
        <row r="7">
          <cell r="AI7">
            <v>10000</v>
          </cell>
        </row>
      </sheetData>
      <sheetData sheetId="5715">
        <row r="7">
          <cell r="AI7">
            <v>10000</v>
          </cell>
        </row>
      </sheetData>
      <sheetData sheetId="5716">
        <row r="7">
          <cell r="AI7">
            <v>10000</v>
          </cell>
        </row>
      </sheetData>
      <sheetData sheetId="5717">
        <row r="7">
          <cell r="AI7">
            <v>10000</v>
          </cell>
        </row>
      </sheetData>
      <sheetData sheetId="5718">
        <row r="7">
          <cell r="AI7">
            <v>10000</v>
          </cell>
        </row>
      </sheetData>
      <sheetData sheetId="5719">
        <row r="7">
          <cell r="AI7">
            <v>10000</v>
          </cell>
        </row>
      </sheetData>
      <sheetData sheetId="5720">
        <row r="7">
          <cell r="AI7">
            <v>10000</v>
          </cell>
        </row>
      </sheetData>
      <sheetData sheetId="5721">
        <row r="7">
          <cell r="AI7">
            <v>10000</v>
          </cell>
        </row>
      </sheetData>
      <sheetData sheetId="5722">
        <row r="7">
          <cell r="AI7">
            <v>10000</v>
          </cell>
        </row>
      </sheetData>
      <sheetData sheetId="5723">
        <row r="7">
          <cell r="AI7">
            <v>10000</v>
          </cell>
        </row>
      </sheetData>
      <sheetData sheetId="5724">
        <row r="7">
          <cell r="AI7">
            <v>10000</v>
          </cell>
        </row>
      </sheetData>
      <sheetData sheetId="5725">
        <row r="7">
          <cell r="AI7">
            <v>10000</v>
          </cell>
        </row>
      </sheetData>
      <sheetData sheetId="5726">
        <row r="7">
          <cell r="AI7">
            <v>10000</v>
          </cell>
        </row>
      </sheetData>
      <sheetData sheetId="5727">
        <row r="7">
          <cell r="AI7">
            <v>10000</v>
          </cell>
        </row>
      </sheetData>
      <sheetData sheetId="5728">
        <row r="7">
          <cell r="AI7">
            <v>10000</v>
          </cell>
        </row>
      </sheetData>
      <sheetData sheetId="5729">
        <row r="7">
          <cell r="AI7">
            <v>10000</v>
          </cell>
        </row>
      </sheetData>
      <sheetData sheetId="5730">
        <row r="7">
          <cell r="AI7">
            <v>10000</v>
          </cell>
        </row>
      </sheetData>
      <sheetData sheetId="5731">
        <row r="7">
          <cell r="AI7">
            <v>10000</v>
          </cell>
        </row>
      </sheetData>
      <sheetData sheetId="5732">
        <row r="7">
          <cell r="AI7">
            <v>10000</v>
          </cell>
        </row>
      </sheetData>
      <sheetData sheetId="5733">
        <row r="7">
          <cell r="AI7">
            <v>10000</v>
          </cell>
        </row>
      </sheetData>
      <sheetData sheetId="5734">
        <row r="7">
          <cell r="AI7">
            <v>10000</v>
          </cell>
        </row>
      </sheetData>
      <sheetData sheetId="5735">
        <row r="7">
          <cell r="AI7">
            <v>10000</v>
          </cell>
        </row>
      </sheetData>
      <sheetData sheetId="5736">
        <row r="7">
          <cell r="AI7">
            <v>10000</v>
          </cell>
        </row>
      </sheetData>
      <sheetData sheetId="5737">
        <row r="7">
          <cell r="AI7">
            <v>10000</v>
          </cell>
        </row>
      </sheetData>
      <sheetData sheetId="5738">
        <row r="7">
          <cell r="AI7">
            <v>10000</v>
          </cell>
        </row>
      </sheetData>
      <sheetData sheetId="5739">
        <row r="7">
          <cell r="AI7">
            <v>10000</v>
          </cell>
        </row>
      </sheetData>
      <sheetData sheetId="5740">
        <row r="7">
          <cell r="AI7">
            <v>10000</v>
          </cell>
        </row>
      </sheetData>
      <sheetData sheetId="5741">
        <row r="7">
          <cell r="AI7">
            <v>10000</v>
          </cell>
        </row>
      </sheetData>
      <sheetData sheetId="5742">
        <row r="7">
          <cell r="AI7">
            <v>10000</v>
          </cell>
        </row>
      </sheetData>
      <sheetData sheetId="5743">
        <row r="7">
          <cell r="AI7">
            <v>10000</v>
          </cell>
        </row>
      </sheetData>
      <sheetData sheetId="5744">
        <row r="7">
          <cell r="AI7">
            <v>10000</v>
          </cell>
        </row>
      </sheetData>
      <sheetData sheetId="5745">
        <row r="7">
          <cell r="AI7">
            <v>10000</v>
          </cell>
        </row>
      </sheetData>
      <sheetData sheetId="5746">
        <row r="7">
          <cell r="AI7">
            <v>10000</v>
          </cell>
        </row>
      </sheetData>
      <sheetData sheetId="5747">
        <row r="7">
          <cell r="AI7">
            <v>10000</v>
          </cell>
        </row>
      </sheetData>
      <sheetData sheetId="5748">
        <row r="7">
          <cell r="AI7">
            <v>10000</v>
          </cell>
        </row>
      </sheetData>
      <sheetData sheetId="5749">
        <row r="7">
          <cell r="AI7">
            <v>10000</v>
          </cell>
        </row>
      </sheetData>
      <sheetData sheetId="5750">
        <row r="7">
          <cell r="AI7">
            <v>10000</v>
          </cell>
        </row>
      </sheetData>
      <sheetData sheetId="5751">
        <row r="7">
          <cell r="AI7">
            <v>10000</v>
          </cell>
        </row>
      </sheetData>
      <sheetData sheetId="5752">
        <row r="7">
          <cell r="AI7">
            <v>10000</v>
          </cell>
        </row>
      </sheetData>
      <sheetData sheetId="5753">
        <row r="7">
          <cell r="AI7">
            <v>10000</v>
          </cell>
        </row>
      </sheetData>
      <sheetData sheetId="5754">
        <row r="7">
          <cell r="AI7">
            <v>10000</v>
          </cell>
        </row>
      </sheetData>
      <sheetData sheetId="5755">
        <row r="7">
          <cell r="AI7">
            <v>10000</v>
          </cell>
        </row>
      </sheetData>
      <sheetData sheetId="5756">
        <row r="7">
          <cell r="AI7">
            <v>10000</v>
          </cell>
        </row>
      </sheetData>
      <sheetData sheetId="5757">
        <row r="7">
          <cell r="AI7">
            <v>10000</v>
          </cell>
        </row>
      </sheetData>
      <sheetData sheetId="5758">
        <row r="7">
          <cell r="AI7">
            <v>10000</v>
          </cell>
        </row>
      </sheetData>
      <sheetData sheetId="5759">
        <row r="7">
          <cell r="AI7">
            <v>10000</v>
          </cell>
        </row>
      </sheetData>
      <sheetData sheetId="5760">
        <row r="7">
          <cell r="AI7">
            <v>10000</v>
          </cell>
        </row>
      </sheetData>
      <sheetData sheetId="5761">
        <row r="7">
          <cell r="AI7">
            <v>10000</v>
          </cell>
        </row>
      </sheetData>
      <sheetData sheetId="5762">
        <row r="7">
          <cell r="AI7">
            <v>10000</v>
          </cell>
        </row>
      </sheetData>
      <sheetData sheetId="5763">
        <row r="7">
          <cell r="AI7">
            <v>10000</v>
          </cell>
        </row>
      </sheetData>
      <sheetData sheetId="5764">
        <row r="7">
          <cell r="AI7">
            <v>10000</v>
          </cell>
        </row>
      </sheetData>
      <sheetData sheetId="5765">
        <row r="7">
          <cell r="AI7">
            <v>10000</v>
          </cell>
        </row>
      </sheetData>
      <sheetData sheetId="5766">
        <row r="7">
          <cell r="AI7">
            <v>10000</v>
          </cell>
        </row>
      </sheetData>
      <sheetData sheetId="5767">
        <row r="7">
          <cell r="AI7">
            <v>10000</v>
          </cell>
        </row>
      </sheetData>
      <sheetData sheetId="5768">
        <row r="7">
          <cell r="AI7">
            <v>10000</v>
          </cell>
        </row>
      </sheetData>
      <sheetData sheetId="5769">
        <row r="7">
          <cell r="AI7">
            <v>10000</v>
          </cell>
        </row>
      </sheetData>
      <sheetData sheetId="5770">
        <row r="7">
          <cell r="AI7">
            <v>10000</v>
          </cell>
        </row>
      </sheetData>
      <sheetData sheetId="5771">
        <row r="7">
          <cell r="AI7">
            <v>10000</v>
          </cell>
        </row>
      </sheetData>
      <sheetData sheetId="5772">
        <row r="7">
          <cell r="AI7">
            <v>10000</v>
          </cell>
        </row>
      </sheetData>
      <sheetData sheetId="5773">
        <row r="7">
          <cell r="AI7">
            <v>10000</v>
          </cell>
        </row>
      </sheetData>
      <sheetData sheetId="5774">
        <row r="7">
          <cell r="AI7">
            <v>10000</v>
          </cell>
        </row>
      </sheetData>
      <sheetData sheetId="5775">
        <row r="7">
          <cell r="AI7">
            <v>10000</v>
          </cell>
        </row>
      </sheetData>
      <sheetData sheetId="5776">
        <row r="7">
          <cell r="AI7">
            <v>10000</v>
          </cell>
        </row>
      </sheetData>
      <sheetData sheetId="5777">
        <row r="7">
          <cell r="AI7">
            <v>10000</v>
          </cell>
        </row>
      </sheetData>
      <sheetData sheetId="5778">
        <row r="7">
          <cell r="AI7">
            <v>10000</v>
          </cell>
        </row>
      </sheetData>
      <sheetData sheetId="5779">
        <row r="7">
          <cell r="AI7">
            <v>10000</v>
          </cell>
        </row>
      </sheetData>
      <sheetData sheetId="5780">
        <row r="7">
          <cell r="AI7">
            <v>10000</v>
          </cell>
        </row>
      </sheetData>
      <sheetData sheetId="5781">
        <row r="7">
          <cell r="AI7">
            <v>10000</v>
          </cell>
        </row>
      </sheetData>
      <sheetData sheetId="5782">
        <row r="7">
          <cell r="AI7">
            <v>10000</v>
          </cell>
        </row>
      </sheetData>
      <sheetData sheetId="5783">
        <row r="7">
          <cell r="AI7">
            <v>10000</v>
          </cell>
        </row>
      </sheetData>
      <sheetData sheetId="5784">
        <row r="7">
          <cell r="AI7">
            <v>10000</v>
          </cell>
        </row>
      </sheetData>
      <sheetData sheetId="5785">
        <row r="7">
          <cell r="AI7">
            <v>10000</v>
          </cell>
        </row>
      </sheetData>
      <sheetData sheetId="5786">
        <row r="7">
          <cell r="AI7">
            <v>10000</v>
          </cell>
        </row>
      </sheetData>
      <sheetData sheetId="5787">
        <row r="7">
          <cell r="AI7">
            <v>10000</v>
          </cell>
        </row>
      </sheetData>
      <sheetData sheetId="5788">
        <row r="7">
          <cell r="AI7">
            <v>10000</v>
          </cell>
        </row>
      </sheetData>
      <sheetData sheetId="5789">
        <row r="7">
          <cell r="AI7">
            <v>10000</v>
          </cell>
        </row>
      </sheetData>
      <sheetData sheetId="5790">
        <row r="7">
          <cell r="AI7">
            <v>10000</v>
          </cell>
        </row>
      </sheetData>
      <sheetData sheetId="5791">
        <row r="7">
          <cell r="AI7">
            <v>10000</v>
          </cell>
        </row>
      </sheetData>
      <sheetData sheetId="5792">
        <row r="7">
          <cell r="AI7">
            <v>10000</v>
          </cell>
        </row>
      </sheetData>
      <sheetData sheetId="5793">
        <row r="7">
          <cell r="AI7">
            <v>10000</v>
          </cell>
        </row>
      </sheetData>
      <sheetData sheetId="5794">
        <row r="7">
          <cell r="AI7">
            <v>10000</v>
          </cell>
        </row>
      </sheetData>
      <sheetData sheetId="5795">
        <row r="7">
          <cell r="AI7">
            <v>10000</v>
          </cell>
        </row>
      </sheetData>
      <sheetData sheetId="5796">
        <row r="7">
          <cell r="AI7">
            <v>10000</v>
          </cell>
        </row>
      </sheetData>
      <sheetData sheetId="5797">
        <row r="7">
          <cell r="AI7">
            <v>10000</v>
          </cell>
        </row>
      </sheetData>
      <sheetData sheetId="5798">
        <row r="7">
          <cell r="AI7">
            <v>10000</v>
          </cell>
        </row>
      </sheetData>
      <sheetData sheetId="5799">
        <row r="7">
          <cell r="AI7">
            <v>10000</v>
          </cell>
        </row>
      </sheetData>
      <sheetData sheetId="5800">
        <row r="7">
          <cell r="AI7">
            <v>10000</v>
          </cell>
        </row>
      </sheetData>
      <sheetData sheetId="5801">
        <row r="7">
          <cell r="AI7">
            <v>10000</v>
          </cell>
        </row>
      </sheetData>
      <sheetData sheetId="5802">
        <row r="7">
          <cell r="AI7">
            <v>10000</v>
          </cell>
        </row>
      </sheetData>
      <sheetData sheetId="5803">
        <row r="7">
          <cell r="AI7">
            <v>10000</v>
          </cell>
        </row>
      </sheetData>
      <sheetData sheetId="5804">
        <row r="7">
          <cell r="AI7">
            <v>10000</v>
          </cell>
        </row>
      </sheetData>
      <sheetData sheetId="5805">
        <row r="7">
          <cell r="AI7">
            <v>10000</v>
          </cell>
        </row>
      </sheetData>
      <sheetData sheetId="5806">
        <row r="7">
          <cell r="AI7">
            <v>10000</v>
          </cell>
        </row>
      </sheetData>
      <sheetData sheetId="5807">
        <row r="7">
          <cell r="AI7">
            <v>10000</v>
          </cell>
        </row>
      </sheetData>
      <sheetData sheetId="5808">
        <row r="7">
          <cell r="AI7">
            <v>10000</v>
          </cell>
        </row>
      </sheetData>
      <sheetData sheetId="5809">
        <row r="7">
          <cell r="AI7">
            <v>10000</v>
          </cell>
        </row>
      </sheetData>
      <sheetData sheetId="5810">
        <row r="7">
          <cell r="AI7">
            <v>10000</v>
          </cell>
        </row>
      </sheetData>
      <sheetData sheetId="5811">
        <row r="7">
          <cell r="AI7">
            <v>10000</v>
          </cell>
        </row>
      </sheetData>
      <sheetData sheetId="5812">
        <row r="7">
          <cell r="AI7">
            <v>10000</v>
          </cell>
        </row>
      </sheetData>
      <sheetData sheetId="5813">
        <row r="7">
          <cell r="AI7">
            <v>10000</v>
          </cell>
        </row>
      </sheetData>
      <sheetData sheetId="5814">
        <row r="7">
          <cell r="AI7">
            <v>10000</v>
          </cell>
        </row>
      </sheetData>
      <sheetData sheetId="5815">
        <row r="7">
          <cell r="AI7">
            <v>10000</v>
          </cell>
        </row>
      </sheetData>
      <sheetData sheetId="5816">
        <row r="7">
          <cell r="AI7">
            <v>10000</v>
          </cell>
        </row>
      </sheetData>
      <sheetData sheetId="5817">
        <row r="7">
          <cell r="AI7">
            <v>10000</v>
          </cell>
        </row>
      </sheetData>
      <sheetData sheetId="5818">
        <row r="7">
          <cell r="AI7">
            <v>10000</v>
          </cell>
        </row>
      </sheetData>
      <sheetData sheetId="5819">
        <row r="7">
          <cell r="AI7">
            <v>10000</v>
          </cell>
        </row>
      </sheetData>
      <sheetData sheetId="5820">
        <row r="7">
          <cell r="AI7">
            <v>10000</v>
          </cell>
        </row>
      </sheetData>
      <sheetData sheetId="5821">
        <row r="7">
          <cell r="AI7">
            <v>10000</v>
          </cell>
        </row>
      </sheetData>
      <sheetData sheetId="5822">
        <row r="7">
          <cell r="AI7">
            <v>10000</v>
          </cell>
        </row>
      </sheetData>
      <sheetData sheetId="5823">
        <row r="7">
          <cell r="AI7">
            <v>10000</v>
          </cell>
        </row>
      </sheetData>
      <sheetData sheetId="5824">
        <row r="7">
          <cell r="AI7">
            <v>10000</v>
          </cell>
        </row>
      </sheetData>
      <sheetData sheetId="5825">
        <row r="7">
          <cell r="AI7">
            <v>10000</v>
          </cell>
        </row>
      </sheetData>
      <sheetData sheetId="5826">
        <row r="7">
          <cell r="AI7">
            <v>10000</v>
          </cell>
        </row>
      </sheetData>
      <sheetData sheetId="5827">
        <row r="7">
          <cell r="AI7">
            <v>10000</v>
          </cell>
        </row>
      </sheetData>
      <sheetData sheetId="5828">
        <row r="7">
          <cell r="AI7">
            <v>10000</v>
          </cell>
        </row>
      </sheetData>
      <sheetData sheetId="5829">
        <row r="7">
          <cell r="AI7">
            <v>10000</v>
          </cell>
        </row>
      </sheetData>
      <sheetData sheetId="5830">
        <row r="7">
          <cell r="AI7">
            <v>10000</v>
          </cell>
        </row>
      </sheetData>
      <sheetData sheetId="5831">
        <row r="7">
          <cell r="AI7">
            <v>10000</v>
          </cell>
        </row>
      </sheetData>
      <sheetData sheetId="5832">
        <row r="7">
          <cell r="AI7">
            <v>10000</v>
          </cell>
        </row>
      </sheetData>
      <sheetData sheetId="5833">
        <row r="7">
          <cell r="AI7">
            <v>10000</v>
          </cell>
        </row>
      </sheetData>
      <sheetData sheetId="5834">
        <row r="7">
          <cell r="AI7">
            <v>10000</v>
          </cell>
        </row>
      </sheetData>
      <sheetData sheetId="5835">
        <row r="7">
          <cell r="AI7">
            <v>10000</v>
          </cell>
        </row>
      </sheetData>
      <sheetData sheetId="5836">
        <row r="7">
          <cell r="AI7">
            <v>10000</v>
          </cell>
        </row>
      </sheetData>
      <sheetData sheetId="5837">
        <row r="7">
          <cell r="AI7">
            <v>10000</v>
          </cell>
        </row>
      </sheetData>
      <sheetData sheetId="5838">
        <row r="7">
          <cell r="AI7">
            <v>10000</v>
          </cell>
        </row>
      </sheetData>
      <sheetData sheetId="5839">
        <row r="7">
          <cell r="AI7">
            <v>10000</v>
          </cell>
        </row>
      </sheetData>
      <sheetData sheetId="5840">
        <row r="7">
          <cell r="AI7">
            <v>10000</v>
          </cell>
        </row>
      </sheetData>
      <sheetData sheetId="5841">
        <row r="7">
          <cell r="AI7">
            <v>10000</v>
          </cell>
        </row>
      </sheetData>
      <sheetData sheetId="5842">
        <row r="7">
          <cell r="AI7">
            <v>10000</v>
          </cell>
        </row>
      </sheetData>
      <sheetData sheetId="5843">
        <row r="7">
          <cell r="AI7">
            <v>10000</v>
          </cell>
        </row>
      </sheetData>
      <sheetData sheetId="5844">
        <row r="7">
          <cell r="AI7">
            <v>10000</v>
          </cell>
        </row>
      </sheetData>
      <sheetData sheetId="5845">
        <row r="7">
          <cell r="AI7">
            <v>10000</v>
          </cell>
        </row>
      </sheetData>
      <sheetData sheetId="5846">
        <row r="7">
          <cell r="AI7">
            <v>10000</v>
          </cell>
        </row>
      </sheetData>
      <sheetData sheetId="5847">
        <row r="7">
          <cell r="AI7">
            <v>10000</v>
          </cell>
        </row>
      </sheetData>
      <sheetData sheetId="5848">
        <row r="7">
          <cell r="AI7">
            <v>10000</v>
          </cell>
        </row>
      </sheetData>
      <sheetData sheetId="5849">
        <row r="7">
          <cell r="AI7">
            <v>10000</v>
          </cell>
        </row>
      </sheetData>
      <sheetData sheetId="5850">
        <row r="7">
          <cell r="AI7">
            <v>10000</v>
          </cell>
        </row>
      </sheetData>
      <sheetData sheetId="5851">
        <row r="7">
          <cell r="AI7">
            <v>10000</v>
          </cell>
        </row>
      </sheetData>
      <sheetData sheetId="5852">
        <row r="7">
          <cell r="AI7">
            <v>10000</v>
          </cell>
        </row>
      </sheetData>
      <sheetData sheetId="5853">
        <row r="7">
          <cell r="AI7">
            <v>10000</v>
          </cell>
        </row>
      </sheetData>
      <sheetData sheetId="5854">
        <row r="7">
          <cell r="AI7">
            <v>10000</v>
          </cell>
        </row>
      </sheetData>
      <sheetData sheetId="5855">
        <row r="7">
          <cell r="AI7">
            <v>10000</v>
          </cell>
        </row>
      </sheetData>
      <sheetData sheetId="5856">
        <row r="7">
          <cell r="AI7">
            <v>10000</v>
          </cell>
        </row>
      </sheetData>
      <sheetData sheetId="5857">
        <row r="7">
          <cell r="AI7">
            <v>10000</v>
          </cell>
        </row>
      </sheetData>
      <sheetData sheetId="5858">
        <row r="7">
          <cell r="AI7">
            <v>10000</v>
          </cell>
        </row>
      </sheetData>
      <sheetData sheetId="5859">
        <row r="7">
          <cell r="AI7">
            <v>10000</v>
          </cell>
        </row>
      </sheetData>
      <sheetData sheetId="5860">
        <row r="7">
          <cell r="AI7">
            <v>10000</v>
          </cell>
        </row>
      </sheetData>
      <sheetData sheetId="5861">
        <row r="7">
          <cell r="AI7">
            <v>10000</v>
          </cell>
        </row>
      </sheetData>
      <sheetData sheetId="5862">
        <row r="7">
          <cell r="AI7">
            <v>10000</v>
          </cell>
        </row>
      </sheetData>
      <sheetData sheetId="5863">
        <row r="7">
          <cell r="AI7">
            <v>10000</v>
          </cell>
        </row>
      </sheetData>
      <sheetData sheetId="5864">
        <row r="7">
          <cell r="AI7">
            <v>10000</v>
          </cell>
        </row>
      </sheetData>
      <sheetData sheetId="5865">
        <row r="7">
          <cell r="AI7">
            <v>10000</v>
          </cell>
        </row>
      </sheetData>
      <sheetData sheetId="5866">
        <row r="7">
          <cell r="AI7">
            <v>10000</v>
          </cell>
        </row>
      </sheetData>
      <sheetData sheetId="5867">
        <row r="7">
          <cell r="AI7">
            <v>10000</v>
          </cell>
        </row>
      </sheetData>
      <sheetData sheetId="5868">
        <row r="7">
          <cell r="AI7">
            <v>10000</v>
          </cell>
        </row>
      </sheetData>
      <sheetData sheetId="5869">
        <row r="7">
          <cell r="AI7">
            <v>10000</v>
          </cell>
        </row>
      </sheetData>
      <sheetData sheetId="5870">
        <row r="7">
          <cell r="AI7">
            <v>10000</v>
          </cell>
        </row>
      </sheetData>
      <sheetData sheetId="5871">
        <row r="7">
          <cell r="AI7">
            <v>10000</v>
          </cell>
        </row>
      </sheetData>
      <sheetData sheetId="5872">
        <row r="7">
          <cell r="AI7">
            <v>10000</v>
          </cell>
        </row>
      </sheetData>
      <sheetData sheetId="5873">
        <row r="7">
          <cell r="AI7">
            <v>10000</v>
          </cell>
        </row>
      </sheetData>
      <sheetData sheetId="5874">
        <row r="7">
          <cell r="AI7">
            <v>10000</v>
          </cell>
        </row>
      </sheetData>
      <sheetData sheetId="5875">
        <row r="7">
          <cell r="AI7">
            <v>10000</v>
          </cell>
        </row>
      </sheetData>
      <sheetData sheetId="5876">
        <row r="7">
          <cell r="AI7">
            <v>10000</v>
          </cell>
        </row>
      </sheetData>
      <sheetData sheetId="5877">
        <row r="7">
          <cell r="AI7">
            <v>10000</v>
          </cell>
        </row>
      </sheetData>
      <sheetData sheetId="5878">
        <row r="7">
          <cell r="AI7">
            <v>10000</v>
          </cell>
        </row>
      </sheetData>
      <sheetData sheetId="5879">
        <row r="7">
          <cell r="AI7">
            <v>10000</v>
          </cell>
        </row>
      </sheetData>
      <sheetData sheetId="5880">
        <row r="7">
          <cell r="AI7">
            <v>10000</v>
          </cell>
        </row>
      </sheetData>
      <sheetData sheetId="5881">
        <row r="7">
          <cell r="AI7">
            <v>10000</v>
          </cell>
        </row>
      </sheetData>
      <sheetData sheetId="5882">
        <row r="7">
          <cell r="AI7">
            <v>10000</v>
          </cell>
        </row>
      </sheetData>
      <sheetData sheetId="5883">
        <row r="7">
          <cell r="AI7">
            <v>10000</v>
          </cell>
        </row>
      </sheetData>
      <sheetData sheetId="5884">
        <row r="7">
          <cell r="AI7">
            <v>10000</v>
          </cell>
        </row>
      </sheetData>
      <sheetData sheetId="5885">
        <row r="7">
          <cell r="AI7">
            <v>10000</v>
          </cell>
        </row>
      </sheetData>
      <sheetData sheetId="5886">
        <row r="7">
          <cell r="AI7">
            <v>10000</v>
          </cell>
        </row>
      </sheetData>
      <sheetData sheetId="5887">
        <row r="7">
          <cell r="AI7">
            <v>10000</v>
          </cell>
        </row>
      </sheetData>
      <sheetData sheetId="5888">
        <row r="7">
          <cell r="AI7">
            <v>10000</v>
          </cell>
        </row>
      </sheetData>
      <sheetData sheetId="5889">
        <row r="7">
          <cell r="AI7">
            <v>10000</v>
          </cell>
        </row>
      </sheetData>
      <sheetData sheetId="5890">
        <row r="7">
          <cell r="AI7">
            <v>10000</v>
          </cell>
        </row>
      </sheetData>
      <sheetData sheetId="5891">
        <row r="7">
          <cell r="AI7">
            <v>10000</v>
          </cell>
        </row>
      </sheetData>
      <sheetData sheetId="5892">
        <row r="7">
          <cell r="AI7">
            <v>10000</v>
          </cell>
        </row>
      </sheetData>
      <sheetData sheetId="5893">
        <row r="7">
          <cell r="AI7">
            <v>10000</v>
          </cell>
        </row>
      </sheetData>
      <sheetData sheetId="5894">
        <row r="7">
          <cell r="AI7">
            <v>10000</v>
          </cell>
        </row>
      </sheetData>
      <sheetData sheetId="5895">
        <row r="7">
          <cell r="AI7">
            <v>10000</v>
          </cell>
        </row>
      </sheetData>
      <sheetData sheetId="5896">
        <row r="7">
          <cell r="AI7">
            <v>10000</v>
          </cell>
        </row>
      </sheetData>
      <sheetData sheetId="5897">
        <row r="7">
          <cell r="AI7">
            <v>10000</v>
          </cell>
        </row>
      </sheetData>
      <sheetData sheetId="5898">
        <row r="7">
          <cell r="AI7">
            <v>10000</v>
          </cell>
        </row>
      </sheetData>
      <sheetData sheetId="5899">
        <row r="7">
          <cell r="AI7">
            <v>10000</v>
          </cell>
        </row>
      </sheetData>
      <sheetData sheetId="5900">
        <row r="7">
          <cell r="AI7">
            <v>10000</v>
          </cell>
        </row>
      </sheetData>
      <sheetData sheetId="5901">
        <row r="7">
          <cell r="AI7">
            <v>10000</v>
          </cell>
        </row>
      </sheetData>
      <sheetData sheetId="5902">
        <row r="7">
          <cell r="AI7">
            <v>10000</v>
          </cell>
        </row>
      </sheetData>
      <sheetData sheetId="5903">
        <row r="7">
          <cell r="AI7">
            <v>10000</v>
          </cell>
        </row>
      </sheetData>
      <sheetData sheetId="5904">
        <row r="7">
          <cell r="AI7">
            <v>10000</v>
          </cell>
        </row>
      </sheetData>
      <sheetData sheetId="5905">
        <row r="7">
          <cell r="AI7">
            <v>10000</v>
          </cell>
        </row>
      </sheetData>
      <sheetData sheetId="5906">
        <row r="7">
          <cell r="AI7">
            <v>10000</v>
          </cell>
        </row>
      </sheetData>
      <sheetData sheetId="5907">
        <row r="7">
          <cell r="AI7">
            <v>10000</v>
          </cell>
        </row>
      </sheetData>
      <sheetData sheetId="5908">
        <row r="7">
          <cell r="AI7">
            <v>10000</v>
          </cell>
        </row>
      </sheetData>
      <sheetData sheetId="5909">
        <row r="7">
          <cell r="AI7">
            <v>10000</v>
          </cell>
        </row>
      </sheetData>
      <sheetData sheetId="5910">
        <row r="7">
          <cell r="AI7">
            <v>10000</v>
          </cell>
        </row>
      </sheetData>
      <sheetData sheetId="5911">
        <row r="7">
          <cell r="AI7">
            <v>10000</v>
          </cell>
        </row>
      </sheetData>
      <sheetData sheetId="5912">
        <row r="7">
          <cell r="AI7">
            <v>10000</v>
          </cell>
        </row>
      </sheetData>
      <sheetData sheetId="5913">
        <row r="7">
          <cell r="AI7">
            <v>10000</v>
          </cell>
        </row>
      </sheetData>
      <sheetData sheetId="5914">
        <row r="7">
          <cell r="AI7">
            <v>10000</v>
          </cell>
        </row>
      </sheetData>
      <sheetData sheetId="5915">
        <row r="7">
          <cell r="AI7">
            <v>10000</v>
          </cell>
        </row>
      </sheetData>
      <sheetData sheetId="5916">
        <row r="7">
          <cell r="AI7">
            <v>10000</v>
          </cell>
        </row>
      </sheetData>
      <sheetData sheetId="5917">
        <row r="7">
          <cell r="AI7">
            <v>10000</v>
          </cell>
        </row>
      </sheetData>
      <sheetData sheetId="5918">
        <row r="7">
          <cell r="AI7">
            <v>10000</v>
          </cell>
        </row>
      </sheetData>
      <sheetData sheetId="5919">
        <row r="7">
          <cell r="AI7">
            <v>10000</v>
          </cell>
        </row>
      </sheetData>
      <sheetData sheetId="5920">
        <row r="7">
          <cell r="AI7">
            <v>10000</v>
          </cell>
        </row>
      </sheetData>
      <sheetData sheetId="5921">
        <row r="7">
          <cell r="AI7">
            <v>10000</v>
          </cell>
        </row>
      </sheetData>
      <sheetData sheetId="5922">
        <row r="7">
          <cell r="AI7">
            <v>10000</v>
          </cell>
        </row>
      </sheetData>
      <sheetData sheetId="5923">
        <row r="7">
          <cell r="AI7">
            <v>10000</v>
          </cell>
        </row>
      </sheetData>
      <sheetData sheetId="5924">
        <row r="7">
          <cell r="AI7">
            <v>10000</v>
          </cell>
        </row>
      </sheetData>
      <sheetData sheetId="5925">
        <row r="7">
          <cell r="AI7">
            <v>10000</v>
          </cell>
        </row>
      </sheetData>
      <sheetData sheetId="5926">
        <row r="7">
          <cell r="AI7">
            <v>10000</v>
          </cell>
        </row>
      </sheetData>
      <sheetData sheetId="5927">
        <row r="7">
          <cell r="AI7">
            <v>10000</v>
          </cell>
        </row>
      </sheetData>
      <sheetData sheetId="5928">
        <row r="7">
          <cell r="AI7">
            <v>10000</v>
          </cell>
        </row>
      </sheetData>
      <sheetData sheetId="5929">
        <row r="7">
          <cell r="AI7">
            <v>10000</v>
          </cell>
        </row>
      </sheetData>
      <sheetData sheetId="5930">
        <row r="7">
          <cell r="AI7">
            <v>10000</v>
          </cell>
        </row>
      </sheetData>
      <sheetData sheetId="5931">
        <row r="7">
          <cell r="AI7">
            <v>10000</v>
          </cell>
        </row>
      </sheetData>
      <sheetData sheetId="5932">
        <row r="7">
          <cell r="AI7">
            <v>10000</v>
          </cell>
        </row>
      </sheetData>
      <sheetData sheetId="5933">
        <row r="7">
          <cell r="AI7">
            <v>10000</v>
          </cell>
        </row>
      </sheetData>
      <sheetData sheetId="5934">
        <row r="7">
          <cell r="AI7">
            <v>10000</v>
          </cell>
        </row>
      </sheetData>
      <sheetData sheetId="5935">
        <row r="7">
          <cell r="AI7">
            <v>10000</v>
          </cell>
        </row>
      </sheetData>
      <sheetData sheetId="5936">
        <row r="7">
          <cell r="AI7">
            <v>10000</v>
          </cell>
        </row>
      </sheetData>
      <sheetData sheetId="5937">
        <row r="7">
          <cell r="AI7">
            <v>10000</v>
          </cell>
        </row>
      </sheetData>
      <sheetData sheetId="5938">
        <row r="7">
          <cell r="AI7">
            <v>10000</v>
          </cell>
        </row>
      </sheetData>
      <sheetData sheetId="5939">
        <row r="7">
          <cell r="AI7">
            <v>10000</v>
          </cell>
        </row>
      </sheetData>
      <sheetData sheetId="5940">
        <row r="7">
          <cell r="AI7">
            <v>10000</v>
          </cell>
        </row>
      </sheetData>
      <sheetData sheetId="5941">
        <row r="7">
          <cell r="AI7">
            <v>10000</v>
          </cell>
        </row>
      </sheetData>
      <sheetData sheetId="5942">
        <row r="7">
          <cell r="AI7">
            <v>10000</v>
          </cell>
        </row>
      </sheetData>
      <sheetData sheetId="5943">
        <row r="7">
          <cell r="AI7">
            <v>10000</v>
          </cell>
        </row>
      </sheetData>
      <sheetData sheetId="5944">
        <row r="7">
          <cell r="AI7">
            <v>10000</v>
          </cell>
        </row>
      </sheetData>
      <sheetData sheetId="5945">
        <row r="7">
          <cell r="AI7">
            <v>10000</v>
          </cell>
        </row>
      </sheetData>
      <sheetData sheetId="5946">
        <row r="7">
          <cell r="AI7">
            <v>10000</v>
          </cell>
        </row>
      </sheetData>
      <sheetData sheetId="5947">
        <row r="7">
          <cell r="AI7">
            <v>10000</v>
          </cell>
        </row>
      </sheetData>
      <sheetData sheetId="5948">
        <row r="7">
          <cell r="AI7">
            <v>10000</v>
          </cell>
        </row>
      </sheetData>
      <sheetData sheetId="5949">
        <row r="7">
          <cell r="AI7">
            <v>10000</v>
          </cell>
        </row>
      </sheetData>
      <sheetData sheetId="5950">
        <row r="7">
          <cell r="AI7">
            <v>10000</v>
          </cell>
        </row>
      </sheetData>
      <sheetData sheetId="5951">
        <row r="7">
          <cell r="AI7">
            <v>10000</v>
          </cell>
        </row>
      </sheetData>
      <sheetData sheetId="5952">
        <row r="7">
          <cell r="AI7">
            <v>10000</v>
          </cell>
        </row>
      </sheetData>
      <sheetData sheetId="5953">
        <row r="7">
          <cell r="AI7">
            <v>10000</v>
          </cell>
        </row>
      </sheetData>
      <sheetData sheetId="5954">
        <row r="7">
          <cell r="AI7">
            <v>10000</v>
          </cell>
        </row>
      </sheetData>
      <sheetData sheetId="5955">
        <row r="7">
          <cell r="AI7">
            <v>10000</v>
          </cell>
        </row>
      </sheetData>
      <sheetData sheetId="5956">
        <row r="7">
          <cell r="AI7">
            <v>10000</v>
          </cell>
        </row>
      </sheetData>
      <sheetData sheetId="5957">
        <row r="7">
          <cell r="AI7">
            <v>10000</v>
          </cell>
        </row>
      </sheetData>
      <sheetData sheetId="5958">
        <row r="7">
          <cell r="AI7">
            <v>10000</v>
          </cell>
        </row>
      </sheetData>
      <sheetData sheetId="5959">
        <row r="7">
          <cell r="AI7">
            <v>10000</v>
          </cell>
        </row>
      </sheetData>
      <sheetData sheetId="5960">
        <row r="7">
          <cell r="AI7">
            <v>10000</v>
          </cell>
        </row>
      </sheetData>
      <sheetData sheetId="5961">
        <row r="7">
          <cell r="AI7">
            <v>10000</v>
          </cell>
        </row>
      </sheetData>
      <sheetData sheetId="5962">
        <row r="7">
          <cell r="AI7">
            <v>10000</v>
          </cell>
        </row>
      </sheetData>
      <sheetData sheetId="5963">
        <row r="7">
          <cell r="AI7">
            <v>10000</v>
          </cell>
        </row>
      </sheetData>
      <sheetData sheetId="5964">
        <row r="7">
          <cell r="AI7">
            <v>10000</v>
          </cell>
        </row>
      </sheetData>
      <sheetData sheetId="5965">
        <row r="7">
          <cell r="AI7">
            <v>10000</v>
          </cell>
        </row>
      </sheetData>
      <sheetData sheetId="5966">
        <row r="7">
          <cell r="AI7">
            <v>10000</v>
          </cell>
        </row>
      </sheetData>
      <sheetData sheetId="5967">
        <row r="7">
          <cell r="AI7">
            <v>10000</v>
          </cell>
        </row>
      </sheetData>
      <sheetData sheetId="5968">
        <row r="7">
          <cell r="AI7">
            <v>10000</v>
          </cell>
        </row>
      </sheetData>
      <sheetData sheetId="5969">
        <row r="7">
          <cell r="AI7">
            <v>10000</v>
          </cell>
        </row>
      </sheetData>
      <sheetData sheetId="5970">
        <row r="7">
          <cell r="AI7">
            <v>10000</v>
          </cell>
        </row>
      </sheetData>
      <sheetData sheetId="5971">
        <row r="7">
          <cell r="AI7">
            <v>10000</v>
          </cell>
        </row>
      </sheetData>
      <sheetData sheetId="5972">
        <row r="7">
          <cell r="AI7">
            <v>10000</v>
          </cell>
        </row>
      </sheetData>
      <sheetData sheetId="5973">
        <row r="7">
          <cell r="AI7">
            <v>10000</v>
          </cell>
        </row>
      </sheetData>
      <sheetData sheetId="5974">
        <row r="7">
          <cell r="AI7">
            <v>10000</v>
          </cell>
        </row>
      </sheetData>
      <sheetData sheetId="5975">
        <row r="7">
          <cell r="AI7">
            <v>10000</v>
          </cell>
        </row>
      </sheetData>
      <sheetData sheetId="5976">
        <row r="7">
          <cell r="AI7">
            <v>10000</v>
          </cell>
        </row>
      </sheetData>
      <sheetData sheetId="5977">
        <row r="7">
          <cell r="AI7">
            <v>10000</v>
          </cell>
        </row>
      </sheetData>
      <sheetData sheetId="5978">
        <row r="7">
          <cell r="AI7">
            <v>10000</v>
          </cell>
        </row>
      </sheetData>
      <sheetData sheetId="5979">
        <row r="7">
          <cell r="AI7">
            <v>10000</v>
          </cell>
        </row>
      </sheetData>
      <sheetData sheetId="5980">
        <row r="7">
          <cell r="AI7">
            <v>10000</v>
          </cell>
        </row>
      </sheetData>
      <sheetData sheetId="5981">
        <row r="7">
          <cell r="AI7">
            <v>10000</v>
          </cell>
        </row>
      </sheetData>
      <sheetData sheetId="5982">
        <row r="7">
          <cell r="AI7">
            <v>10000</v>
          </cell>
        </row>
      </sheetData>
      <sheetData sheetId="5983">
        <row r="7">
          <cell r="AI7">
            <v>10000</v>
          </cell>
        </row>
      </sheetData>
      <sheetData sheetId="5984">
        <row r="7">
          <cell r="AI7">
            <v>10000</v>
          </cell>
        </row>
      </sheetData>
      <sheetData sheetId="5985">
        <row r="7">
          <cell r="AI7">
            <v>10000</v>
          </cell>
        </row>
      </sheetData>
      <sheetData sheetId="5986">
        <row r="7">
          <cell r="AI7">
            <v>10000</v>
          </cell>
        </row>
      </sheetData>
      <sheetData sheetId="5987">
        <row r="7">
          <cell r="AI7">
            <v>10000</v>
          </cell>
        </row>
      </sheetData>
      <sheetData sheetId="5988">
        <row r="7">
          <cell r="AI7">
            <v>10000</v>
          </cell>
        </row>
      </sheetData>
      <sheetData sheetId="5989">
        <row r="7">
          <cell r="AI7">
            <v>10000</v>
          </cell>
        </row>
      </sheetData>
      <sheetData sheetId="5990">
        <row r="7">
          <cell r="AI7">
            <v>10000</v>
          </cell>
        </row>
      </sheetData>
      <sheetData sheetId="5991">
        <row r="7">
          <cell r="AI7">
            <v>10000</v>
          </cell>
        </row>
      </sheetData>
      <sheetData sheetId="5992">
        <row r="7">
          <cell r="AI7">
            <v>10000</v>
          </cell>
        </row>
      </sheetData>
      <sheetData sheetId="5993">
        <row r="7">
          <cell r="AI7">
            <v>10000</v>
          </cell>
        </row>
      </sheetData>
      <sheetData sheetId="5994">
        <row r="7">
          <cell r="AI7">
            <v>10000</v>
          </cell>
        </row>
      </sheetData>
      <sheetData sheetId="5995">
        <row r="7">
          <cell r="AI7">
            <v>10000</v>
          </cell>
        </row>
      </sheetData>
      <sheetData sheetId="5996">
        <row r="7">
          <cell r="AI7">
            <v>10000</v>
          </cell>
        </row>
      </sheetData>
      <sheetData sheetId="5997">
        <row r="7">
          <cell r="AI7">
            <v>10000</v>
          </cell>
        </row>
      </sheetData>
      <sheetData sheetId="5998">
        <row r="7">
          <cell r="AI7">
            <v>10000</v>
          </cell>
        </row>
      </sheetData>
      <sheetData sheetId="5999">
        <row r="7">
          <cell r="AI7">
            <v>10000</v>
          </cell>
        </row>
      </sheetData>
      <sheetData sheetId="6000">
        <row r="7">
          <cell r="AI7">
            <v>10000</v>
          </cell>
        </row>
      </sheetData>
      <sheetData sheetId="6001">
        <row r="7">
          <cell r="AI7">
            <v>10000</v>
          </cell>
        </row>
      </sheetData>
      <sheetData sheetId="6002">
        <row r="7">
          <cell r="AI7">
            <v>10000</v>
          </cell>
        </row>
      </sheetData>
      <sheetData sheetId="6003">
        <row r="7">
          <cell r="AI7">
            <v>10000</v>
          </cell>
        </row>
      </sheetData>
      <sheetData sheetId="6004">
        <row r="7">
          <cell r="AI7">
            <v>10000</v>
          </cell>
        </row>
      </sheetData>
      <sheetData sheetId="6005">
        <row r="7">
          <cell r="AI7">
            <v>10000</v>
          </cell>
        </row>
      </sheetData>
      <sheetData sheetId="6006">
        <row r="7">
          <cell r="AI7">
            <v>10000</v>
          </cell>
        </row>
      </sheetData>
      <sheetData sheetId="6007">
        <row r="7">
          <cell r="AI7">
            <v>10000</v>
          </cell>
        </row>
      </sheetData>
      <sheetData sheetId="6008">
        <row r="7">
          <cell r="AI7">
            <v>10000</v>
          </cell>
        </row>
      </sheetData>
      <sheetData sheetId="6009">
        <row r="7">
          <cell r="AI7">
            <v>10000</v>
          </cell>
        </row>
      </sheetData>
      <sheetData sheetId="6010">
        <row r="7">
          <cell r="AI7">
            <v>10000</v>
          </cell>
        </row>
      </sheetData>
      <sheetData sheetId="6011">
        <row r="7">
          <cell r="AI7">
            <v>10000</v>
          </cell>
        </row>
      </sheetData>
      <sheetData sheetId="6012">
        <row r="7">
          <cell r="AI7">
            <v>10000</v>
          </cell>
        </row>
      </sheetData>
      <sheetData sheetId="6013">
        <row r="7">
          <cell r="AI7">
            <v>10000</v>
          </cell>
        </row>
      </sheetData>
      <sheetData sheetId="6014">
        <row r="7">
          <cell r="AI7">
            <v>10000</v>
          </cell>
        </row>
      </sheetData>
      <sheetData sheetId="6015">
        <row r="7">
          <cell r="AI7">
            <v>10000</v>
          </cell>
        </row>
      </sheetData>
      <sheetData sheetId="6016">
        <row r="7">
          <cell r="AI7">
            <v>10000</v>
          </cell>
        </row>
      </sheetData>
      <sheetData sheetId="6017">
        <row r="7">
          <cell r="AI7">
            <v>10000</v>
          </cell>
        </row>
      </sheetData>
      <sheetData sheetId="6018">
        <row r="7">
          <cell r="AI7">
            <v>10000</v>
          </cell>
        </row>
      </sheetData>
      <sheetData sheetId="6019">
        <row r="7">
          <cell r="AI7">
            <v>10000</v>
          </cell>
        </row>
      </sheetData>
      <sheetData sheetId="6020">
        <row r="7">
          <cell r="AI7">
            <v>10000</v>
          </cell>
        </row>
      </sheetData>
      <sheetData sheetId="6021">
        <row r="7">
          <cell r="AI7">
            <v>10000</v>
          </cell>
        </row>
      </sheetData>
      <sheetData sheetId="6022">
        <row r="7">
          <cell r="AI7">
            <v>10000</v>
          </cell>
        </row>
      </sheetData>
      <sheetData sheetId="6023">
        <row r="7">
          <cell r="AI7">
            <v>10000</v>
          </cell>
        </row>
      </sheetData>
      <sheetData sheetId="6024">
        <row r="7">
          <cell r="AI7">
            <v>10000</v>
          </cell>
        </row>
      </sheetData>
      <sheetData sheetId="6025">
        <row r="7">
          <cell r="AI7">
            <v>10000</v>
          </cell>
        </row>
      </sheetData>
      <sheetData sheetId="6026">
        <row r="7">
          <cell r="AI7">
            <v>10000</v>
          </cell>
        </row>
      </sheetData>
      <sheetData sheetId="6027">
        <row r="7">
          <cell r="AI7">
            <v>10000</v>
          </cell>
        </row>
      </sheetData>
      <sheetData sheetId="6028">
        <row r="7">
          <cell r="AI7">
            <v>10000</v>
          </cell>
        </row>
      </sheetData>
      <sheetData sheetId="6029">
        <row r="7">
          <cell r="AI7">
            <v>10000</v>
          </cell>
        </row>
      </sheetData>
      <sheetData sheetId="6030">
        <row r="7">
          <cell r="AI7">
            <v>10000</v>
          </cell>
        </row>
      </sheetData>
      <sheetData sheetId="6031">
        <row r="7">
          <cell r="AI7">
            <v>10000</v>
          </cell>
        </row>
      </sheetData>
      <sheetData sheetId="6032">
        <row r="7">
          <cell r="AI7">
            <v>10000</v>
          </cell>
        </row>
      </sheetData>
      <sheetData sheetId="6033">
        <row r="7">
          <cell r="AI7">
            <v>10000</v>
          </cell>
        </row>
      </sheetData>
      <sheetData sheetId="6034">
        <row r="7">
          <cell r="AI7">
            <v>10000</v>
          </cell>
        </row>
      </sheetData>
      <sheetData sheetId="6035">
        <row r="7">
          <cell r="AI7">
            <v>10000</v>
          </cell>
        </row>
      </sheetData>
      <sheetData sheetId="6036">
        <row r="7">
          <cell r="AI7">
            <v>10000</v>
          </cell>
        </row>
      </sheetData>
      <sheetData sheetId="6037">
        <row r="7">
          <cell r="AI7">
            <v>10000</v>
          </cell>
        </row>
      </sheetData>
      <sheetData sheetId="6038">
        <row r="7">
          <cell r="AI7">
            <v>10000</v>
          </cell>
        </row>
      </sheetData>
      <sheetData sheetId="6039">
        <row r="7">
          <cell r="AI7">
            <v>10000</v>
          </cell>
        </row>
      </sheetData>
      <sheetData sheetId="6040">
        <row r="7">
          <cell r="AI7">
            <v>10000</v>
          </cell>
        </row>
      </sheetData>
      <sheetData sheetId="6041">
        <row r="7">
          <cell r="AI7">
            <v>10000</v>
          </cell>
        </row>
      </sheetData>
      <sheetData sheetId="6042">
        <row r="7">
          <cell r="AI7">
            <v>10000</v>
          </cell>
        </row>
      </sheetData>
      <sheetData sheetId="6043">
        <row r="7">
          <cell r="AI7">
            <v>10000</v>
          </cell>
        </row>
      </sheetData>
      <sheetData sheetId="6044">
        <row r="7">
          <cell r="AI7">
            <v>10000</v>
          </cell>
        </row>
      </sheetData>
      <sheetData sheetId="6045">
        <row r="7">
          <cell r="AI7">
            <v>10000</v>
          </cell>
        </row>
      </sheetData>
      <sheetData sheetId="6046">
        <row r="7">
          <cell r="AI7">
            <v>10000</v>
          </cell>
        </row>
      </sheetData>
      <sheetData sheetId="6047">
        <row r="7">
          <cell r="AI7">
            <v>10000</v>
          </cell>
        </row>
      </sheetData>
      <sheetData sheetId="6048">
        <row r="7">
          <cell r="AI7">
            <v>10000</v>
          </cell>
        </row>
      </sheetData>
      <sheetData sheetId="6049">
        <row r="7">
          <cell r="AI7">
            <v>10000</v>
          </cell>
        </row>
      </sheetData>
      <sheetData sheetId="6050">
        <row r="7">
          <cell r="AI7">
            <v>10000</v>
          </cell>
        </row>
      </sheetData>
      <sheetData sheetId="6051">
        <row r="7">
          <cell r="AI7">
            <v>10000</v>
          </cell>
        </row>
      </sheetData>
      <sheetData sheetId="6052">
        <row r="7">
          <cell r="AI7">
            <v>10000</v>
          </cell>
        </row>
      </sheetData>
      <sheetData sheetId="6053">
        <row r="7">
          <cell r="AI7">
            <v>10000</v>
          </cell>
        </row>
      </sheetData>
      <sheetData sheetId="6054">
        <row r="7">
          <cell r="AI7">
            <v>10000</v>
          </cell>
        </row>
      </sheetData>
      <sheetData sheetId="6055">
        <row r="7">
          <cell r="AI7">
            <v>10000</v>
          </cell>
        </row>
      </sheetData>
      <sheetData sheetId="6056">
        <row r="7">
          <cell r="AI7">
            <v>10000</v>
          </cell>
        </row>
      </sheetData>
      <sheetData sheetId="6057">
        <row r="7">
          <cell r="AI7">
            <v>10000</v>
          </cell>
        </row>
      </sheetData>
      <sheetData sheetId="6058">
        <row r="7">
          <cell r="AI7">
            <v>10000</v>
          </cell>
        </row>
      </sheetData>
      <sheetData sheetId="6059">
        <row r="7">
          <cell r="AI7">
            <v>10000</v>
          </cell>
        </row>
      </sheetData>
      <sheetData sheetId="6060">
        <row r="7">
          <cell r="AI7">
            <v>10000</v>
          </cell>
        </row>
      </sheetData>
      <sheetData sheetId="6061">
        <row r="7">
          <cell r="AI7">
            <v>10000</v>
          </cell>
        </row>
      </sheetData>
      <sheetData sheetId="6062">
        <row r="7">
          <cell r="AI7">
            <v>10000</v>
          </cell>
        </row>
      </sheetData>
      <sheetData sheetId="6063">
        <row r="7">
          <cell r="AI7">
            <v>10000</v>
          </cell>
        </row>
      </sheetData>
      <sheetData sheetId="6064">
        <row r="7">
          <cell r="AI7">
            <v>10000</v>
          </cell>
        </row>
      </sheetData>
      <sheetData sheetId="6065">
        <row r="7">
          <cell r="AI7">
            <v>10000</v>
          </cell>
        </row>
      </sheetData>
      <sheetData sheetId="6066">
        <row r="7">
          <cell r="AI7">
            <v>10000</v>
          </cell>
        </row>
      </sheetData>
      <sheetData sheetId="6067">
        <row r="7">
          <cell r="AI7">
            <v>10000</v>
          </cell>
        </row>
      </sheetData>
      <sheetData sheetId="6068">
        <row r="7">
          <cell r="AI7">
            <v>10000</v>
          </cell>
        </row>
      </sheetData>
      <sheetData sheetId="6069">
        <row r="7">
          <cell r="AI7">
            <v>10000</v>
          </cell>
        </row>
      </sheetData>
      <sheetData sheetId="6070">
        <row r="7">
          <cell r="AI7">
            <v>10000</v>
          </cell>
        </row>
      </sheetData>
      <sheetData sheetId="6071">
        <row r="7">
          <cell r="AI7">
            <v>10000</v>
          </cell>
        </row>
      </sheetData>
      <sheetData sheetId="6072">
        <row r="7">
          <cell r="AI7">
            <v>10000</v>
          </cell>
        </row>
      </sheetData>
      <sheetData sheetId="6073">
        <row r="7">
          <cell r="AI7">
            <v>10000</v>
          </cell>
        </row>
      </sheetData>
      <sheetData sheetId="6074">
        <row r="7">
          <cell r="AI7">
            <v>10000</v>
          </cell>
        </row>
      </sheetData>
      <sheetData sheetId="6075">
        <row r="7">
          <cell r="AI7">
            <v>10000</v>
          </cell>
        </row>
      </sheetData>
      <sheetData sheetId="6076">
        <row r="7">
          <cell r="AI7">
            <v>10000</v>
          </cell>
        </row>
      </sheetData>
      <sheetData sheetId="6077">
        <row r="7">
          <cell r="AI7">
            <v>10000</v>
          </cell>
        </row>
      </sheetData>
      <sheetData sheetId="6078">
        <row r="7">
          <cell r="AI7">
            <v>10000</v>
          </cell>
        </row>
      </sheetData>
      <sheetData sheetId="6079">
        <row r="7">
          <cell r="AI7">
            <v>10000</v>
          </cell>
        </row>
      </sheetData>
      <sheetData sheetId="6080">
        <row r="7">
          <cell r="AI7">
            <v>10000</v>
          </cell>
        </row>
      </sheetData>
      <sheetData sheetId="6081">
        <row r="7">
          <cell r="AI7">
            <v>10000</v>
          </cell>
        </row>
      </sheetData>
      <sheetData sheetId="6082">
        <row r="7">
          <cell r="AI7">
            <v>10000</v>
          </cell>
        </row>
      </sheetData>
      <sheetData sheetId="6083">
        <row r="7">
          <cell r="AI7">
            <v>10000</v>
          </cell>
        </row>
      </sheetData>
      <sheetData sheetId="6084">
        <row r="7">
          <cell r="AI7">
            <v>10000</v>
          </cell>
        </row>
      </sheetData>
      <sheetData sheetId="6085">
        <row r="7">
          <cell r="AI7">
            <v>10000</v>
          </cell>
        </row>
      </sheetData>
      <sheetData sheetId="6086">
        <row r="7">
          <cell r="AI7">
            <v>10000</v>
          </cell>
        </row>
      </sheetData>
      <sheetData sheetId="6087">
        <row r="7">
          <cell r="AI7">
            <v>10000</v>
          </cell>
        </row>
      </sheetData>
      <sheetData sheetId="6088">
        <row r="7">
          <cell r="AI7">
            <v>10000</v>
          </cell>
        </row>
      </sheetData>
      <sheetData sheetId="6089">
        <row r="7">
          <cell r="AI7">
            <v>10000</v>
          </cell>
        </row>
      </sheetData>
      <sheetData sheetId="6090">
        <row r="7">
          <cell r="AI7">
            <v>10000</v>
          </cell>
        </row>
      </sheetData>
      <sheetData sheetId="6091">
        <row r="7">
          <cell r="AI7">
            <v>10000</v>
          </cell>
        </row>
      </sheetData>
      <sheetData sheetId="6092">
        <row r="7">
          <cell r="AI7">
            <v>10000</v>
          </cell>
        </row>
      </sheetData>
      <sheetData sheetId="6093">
        <row r="7">
          <cell r="AI7">
            <v>10000</v>
          </cell>
        </row>
      </sheetData>
      <sheetData sheetId="6094">
        <row r="7">
          <cell r="AI7">
            <v>10000</v>
          </cell>
        </row>
      </sheetData>
      <sheetData sheetId="6095">
        <row r="7">
          <cell r="AI7">
            <v>10000</v>
          </cell>
        </row>
      </sheetData>
      <sheetData sheetId="6096">
        <row r="7">
          <cell r="AI7">
            <v>10000</v>
          </cell>
        </row>
      </sheetData>
      <sheetData sheetId="6097">
        <row r="7">
          <cell r="AI7">
            <v>10000</v>
          </cell>
        </row>
      </sheetData>
      <sheetData sheetId="6098">
        <row r="7">
          <cell r="AI7">
            <v>10000</v>
          </cell>
        </row>
      </sheetData>
      <sheetData sheetId="6099">
        <row r="7">
          <cell r="AI7">
            <v>10000</v>
          </cell>
        </row>
      </sheetData>
      <sheetData sheetId="6100">
        <row r="7">
          <cell r="AI7">
            <v>10000</v>
          </cell>
        </row>
      </sheetData>
      <sheetData sheetId="6101">
        <row r="7">
          <cell r="AI7">
            <v>10000</v>
          </cell>
        </row>
      </sheetData>
      <sheetData sheetId="6102">
        <row r="7">
          <cell r="AI7">
            <v>10000</v>
          </cell>
        </row>
      </sheetData>
      <sheetData sheetId="6103">
        <row r="7">
          <cell r="AI7">
            <v>10000</v>
          </cell>
        </row>
      </sheetData>
      <sheetData sheetId="6104">
        <row r="7">
          <cell r="AI7">
            <v>10000</v>
          </cell>
        </row>
      </sheetData>
      <sheetData sheetId="6105">
        <row r="7">
          <cell r="AI7">
            <v>10000</v>
          </cell>
        </row>
      </sheetData>
      <sheetData sheetId="6106">
        <row r="7">
          <cell r="AI7">
            <v>10000</v>
          </cell>
        </row>
      </sheetData>
      <sheetData sheetId="6107">
        <row r="7">
          <cell r="AI7">
            <v>10000</v>
          </cell>
        </row>
      </sheetData>
      <sheetData sheetId="6108">
        <row r="7">
          <cell r="AI7">
            <v>10000</v>
          </cell>
        </row>
      </sheetData>
      <sheetData sheetId="6109">
        <row r="7">
          <cell r="AI7">
            <v>10000</v>
          </cell>
        </row>
      </sheetData>
      <sheetData sheetId="6110">
        <row r="7">
          <cell r="AI7">
            <v>10000</v>
          </cell>
        </row>
      </sheetData>
      <sheetData sheetId="6111">
        <row r="7">
          <cell r="AI7">
            <v>10000</v>
          </cell>
        </row>
      </sheetData>
      <sheetData sheetId="6112">
        <row r="7">
          <cell r="AI7">
            <v>10000</v>
          </cell>
        </row>
      </sheetData>
      <sheetData sheetId="6113">
        <row r="7">
          <cell r="AI7">
            <v>10000</v>
          </cell>
        </row>
      </sheetData>
      <sheetData sheetId="6114">
        <row r="7">
          <cell r="AI7">
            <v>10000</v>
          </cell>
        </row>
      </sheetData>
      <sheetData sheetId="6115">
        <row r="7">
          <cell r="AI7">
            <v>10000</v>
          </cell>
        </row>
      </sheetData>
      <sheetData sheetId="6116">
        <row r="7">
          <cell r="AI7">
            <v>10000</v>
          </cell>
        </row>
      </sheetData>
      <sheetData sheetId="6117">
        <row r="7">
          <cell r="AI7">
            <v>10000</v>
          </cell>
        </row>
      </sheetData>
      <sheetData sheetId="6118">
        <row r="7">
          <cell r="AI7">
            <v>10000</v>
          </cell>
        </row>
      </sheetData>
      <sheetData sheetId="6119">
        <row r="7">
          <cell r="AI7">
            <v>10000</v>
          </cell>
        </row>
      </sheetData>
      <sheetData sheetId="6120">
        <row r="7">
          <cell r="AI7">
            <v>10000</v>
          </cell>
        </row>
      </sheetData>
      <sheetData sheetId="6121">
        <row r="7">
          <cell r="AI7">
            <v>10000</v>
          </cell>
        </row>
      </sheetData>
      <sheetData sheetId="6122">
        <row r="7">
          <cell r="AI7">
            <v>10000</v>
          </cell>
        </row>
      </sheetData>
      <sheetData sheetId="6123">
        <row r="7">
          <cell r="AI7">
            <v>10000</v>
          </cell>
        </row>
      </sheetData>
      <sheetData sheetId="6124">
        <row r="7">
          <cell r="AI7">
            <v>10000</v>
          </cell>
        </row>
      </sheetData>
      <sheetData sheetId="6125">
        <row r="7">
          <cell r="AI7">
            <v>10000</v>
          </cell>
        </row>
      </sheetData>
      <sheetData sheetId="6126">
        <row r="7">
          <cell r="AI7">
            <v>10000</v>
          </cell>
        </row>
      </sheetData>
      <sheetData sheetId="6127">
        <row r="7">
          <cell r="AI7">
            <v>10000</v>
          </cell>
        </row>
      </sheetData>
      <sheetData sheetId="6128">
        <row r="7">
          <cell r="AI7">
            <v>10000</v>
          </cell>
        </row>
      </sheetData>
      <sheetData sheetId="6129">
        <row r="7">
          <cell r="AI7">
            <v>10000</v>
          </cell>
        </row>
      </sheetData>
      <sheetData sheetId="6130">
        <row r="7">
          <cell r="AI7">
            <v>10000</v>
          </cell>
        </row>
      </sheetData>
      <sheetData sheetId="6131">
        <row r="7">
          <cell r="AI7">
            <v>10000</v>
          </cell>
        </row>
      </sheetData>
      <sheetData sheetId="6132">
        <row r="7">
          <cell r="AI7">
            <v>10000</v>
          </cell>
        </row>
      </sheetData>
      <sheetData sheetId="6133">
        <row r="7">
          <cell r="AI7">
            <v>10000</v>
          </cell>
        </row>
      </sheetData>
      <sheetData sheetId="6134">
        <row r="7">
          <cell r="AI7">
            <v>10000</v>
          </cell>
        </row>
      </sheetData>
      <sheetData sheetId="6135">
        <row r="7">
          <cell r="AI7">
            <v>10000</v>
          </cell>
        </row>
      </sheetData>
      <sheetData sheetId="6136">
        <row r="7">
          <cell r="AI7">
            <v>10000</v>
          </cell>
        </row>
      </sheetData>
      <sheetData sheetId="6137">
        <row r="7">
          <cell r="AI7">
            <v>10000</v>
          </cell>
        </row>
      </sheetData>
      <sheetData sheetId="6138">
        <row r="7">
          <cell r="AI7">
            <v>10000</v>
          </cell>
        </row>
      </sheetData>
      <sheetData sheetId="6139">
        <row r="7">
          <cell r="AI7">
            <v>10000</v>
          </cell>
        </row>
      </sheetData>
      <sheetData sheetId="6140">
        <row r="7">
          <cell r="AI7">
            <v>10000</v>
          </cell>
        </row>
      </sheetData>
      <sheetData sheetId="6141">
        <row r="7">
          <cell r="AI7">
            <v>10000</v>
          </cell>
        </row>
      </sheetData>
      <sheetData sheetId="6142">
        <row r="7">
          <cell r="AI7">
            <v>10000</v>
          </cell>
        </row>
      </sheetData>
      <sheetData sheetId="6143">
        <row r="7">
          <cell r="AI7">
            <v>10000</v>
          </cell>
        </row>
      </sheetData>
      <sheetData sheetId="6144">
        <row r="7">
          <cell r="AI7">
            <v>10000</v>
          </cell>
        </row>
      </sheetData>
      <sheetData sheetId="6145">
        <row r="7">
          <cell r="AI7">
            <v>10000</v>
          </cell>
        </row>
      </sheetData>
      <sheetData sheetId="6146">
        <row r="7">
          <cell r="AI7">
            <v>10000</v>
          </cell>
        </row>
      </sheetData>
      <sheetData sheetId="6147">
        <row r="7">
          <cell r="AI7">
            <v>10000</v>
          </cell>
        </row>
      </sheetData>
      <sheetData sheetId="6148">
        <row r="7">
          <cell r="AI7">
            <v>10000</v>
          </cell>
        </row>
      </sheetData>
      <sheetData sheetId="6149">
        <row r="7">
          <cell r="AI7">
            <v>10000</v>
          </cell>
        </row>
      </sheetData>
      <sheetData sheetId="6150">
        <row r="7">
          <cell r="AI7">
            <v>10000</v>
          </cell>
        </row>
      </sheetData>
      <sheetData sheetId="6151">
        <row r="7">
          <cell r="AI7">
            <v>10000</v>
          </cell>
        </row>
      </sheetData>
      <sheetData sheetId="6152">
        <row r="7">
          <cell r="AI7">
            <v>10000</v>
          </cell>
        </row>
      </sheetData>
      <sheetData sheetId="6153">
        <row r="7">
          <cell r="AI7">
            <v>10000</v>
          </cell>
        </row>
      </sheetData>
      <sheetData sheetId="6154">
        <row r="7">
          <cell r="AI7">
            <v>10000</v>
          </cell>
        </row>
      </sheetData>
      <sheetData sheetId="6155">
        <row r="7">
          <cell r="AI7">
            <v>10000</v>
          </cell>
        </row>
      </sheetData>
      <sheetData sheetId="6156">
        <row r="7">
          <cell r="AI7">
            <v>10000</v>
          </cell>
        </row>
      </sheetData>
      <sheetData sheetId="6157">
        <row r="7">
          <cell r="AI7">
            <v>10000</v>
          </cell>
        </row>
      </sheetData>
      <sheetData sheetId="6158">
        <row r="7">
          <cell r="AI7">
            <v>10000</v>
          </cell>
        </row>
      </sheetData>
      <sheetData sheetId="6159">
        <row r="7">
          <cell r="AI7">
            <v>10000</v>
          </cell>
        </row>
      </sheetData>
      <sheetData sheetId="6160">
        <row r="7">
          <cell r="AI7">
            <v>10000</v>
          </cell>
        </row>
      </sheetData>
      <sheetData sheetId="6161">
        <row r="7">
          <cell r="AI7">
            <v>10000</v>
          </cell>
        </row>
      </sheetData>
      <sheetData sheetId="6162">
        <row r="7">
          <cell r="AI7">
            <v>10000</v>
          </cell>
        </row>
      </sheetData>
      <sheetData sheetId="6163">
        <row r="7">
          <cell r="AI7">
            <v>10000</v>
          </cell>
        </row>
      </sheetData>
      <sheetData sheetId="6164">
        <row r="7">
          <cell r="AI7">
            <v>10000</v>
          </cell>
        </row>
      </sheetData>
      <sheetData sheetId="6165">
        <row r="7">
          <cell r="AI7">
            <v>10000</v>
          </cell>
        </row>
      </sheetData>
      <sheetData sheetId="6166">
        <row r="7">
          <cell r="AI7">
            <v>10000</v>
          </cell>
        </row>
      </sheetData>
      <sheetData sheetId="6167">
        <row r="7">
          <cell r="AI7">
            <v>10000</v>
          </cell>
        </row>
      </sheetData>
      <sheetData sheetId="6168">
        <row r="7">
          <cell r="AI7">
            <v>10000</v>
          </cell>
        </row>
      </sheetData>
      <sheetData sheetId="6169">
        <row r="7">
          <cell r="AI7">
            <v>10000</v>
          </cell>
        </row>
      </sheetData>
      <sheetData sheetId="6170">
        <row r="7">
          <cell r="AI7">
            <v>10000</v>
          </cell>
        </row>
      </sheetData>
      <sheetData sheetId="6171">
        <row r="7">
          <cell r="AI7">
            <v>10000</v>
          </cell>
        </row>
      </sheetData>
      <sheetData sheetId="6172">
        <row r="7">
          <cell r="AI7">
            <v>10000</v>
          </cell>
        </row>
      </sheetData>
      <sheetData sheetId="6173">
        <row r="7">
          <cell r="AI7">
            <v>10000</v>
          </cell>
        </row>
      </sheetData>
      <sheetData sheetId="6174">
        <row r="7">
          <cell r="AI7">
            <v>10000</v>
          </cell>
        </row>
      </sheetData>
      <sheetData sheetId="6175">
        <row r="7">
          <cell r="AI7">
            <v>10000</v>
          </cell>
        </row>
      </sheetData>
      <sheetData sheetId="6176">
        <row r="7">
          <cell r="AI7">
            <v>10000</v>
          </cell>
        </row>
      </sheetData>
      <sheetData sheetId="6177">
        <row r="7">
          <cell r="AI7">
            <v>10000</v>
          </cell>
        </row>
      </sheetData>
      <sheetData sheetId="6178">
        <row r="7">
          <cell r="AI7">
            <v>10000</v>
          </cell>
        </row>
      </sheetData>
      <sheetData sheetId="6179">
        <row r="7">
          <cell r="AI7">
            <v>10000</v>
          </cell>
        </row>
      </sheetData>
      <sheetData sheetId="6180">
        <row r="7">
          <cell r="AI7">
            <v>10000</v>
          </cell>
        </row>
      </sheetData>
      <sheetData sheetId="6181">
        <row r="7">
          <cell r="AI7">
            <v>10000</v>
          </cell>
        </row>
      </sheetData>
      <sheetData sheetId="6182">
        <row r="7">
          <cell r="AI7">
            <v>10000</v>
          </cell>
        </row>
      </sheetData>
      <sheetData sheetId="6183">
        <row r="7">
          <cell r="AI7">
            <v>10000</v>
          </cell>
        </row>
      </sheetData>
      <sheetData sheetId="6184">
        <row r="7">
          <cell r="AI7">
            <v>10000</v>
          </cell>
        </row>
      </sheetData>
      <sheetData sheetId="6185">
        <row r="7">
          <cell r="AI7">
            <v>10000</v>
          </cell>
        </row>
      </sheetData>
      <sheetData sheetId="6186">
        <row r="7">
          <cell r="AI7">
            <v>10000</v>
          </cell>
        </row>
      </sheetData>
      <sheetData sheetId="6187">
        <row r="7">
          <cell r="AI7">
            <v>10000</v>
          </cell>
        </row>
      </sheetData>
      <sheetData sheetId="6188">
        <row r="7">
          <cell r="AI7">
            <v>10000</v>
          </cell>
        </row>
      </sheetData>
      <sheetData sheetId="6189">
        <row r="7">
          <cell r="AI7">
            <v>10000</v>
          </cell>
        </row>
      </sheetData>
      <sheetData sheetId="6190">
        <row r="7">
          <cell r="AI7">
            <v>10000</v>
          </cell>
        </row>
      </sheetData>
      <sheetData sheetId="6191">
        <row r="7">
          <cell r="AI7">
            <v>10000</v>
          </cell>
        </row>
      </sheetData>
      <sheetData sheetId="6192">
        <row r="7">
          <cell r="AI7">
            <v>10000</v>
          </cell>
        </row>
      </sheetData>
      <sheetData sheetId="6193">
        <row r="7">
          <cell r="AI7">
            <v>10000</v>
          </cell>
        </row>
      </sheetData>
      <sheetData sheetId="6194">
        <row r="7">
          <cell r="AI7">
            <v>10000</v>
          </cell>
        </row>
      </sheetData>
      <sheetData sheetId="6195">
        <row r="7">
          <cell r="AI7">
            <v>10000</v>
          </cell>
        </row>
      </sheetData>
      <sheetData sheetId="6196">
        <row r="7">
          <cell r="AI7">
            <v>10000</v>
          </cell>
        </row>
      </sheetData>
      <sheetData sheetId="6197">
        <row r="7">
          <cell r="AI7">
            <v>10000</v>
          </cell>
        </row>
      </sheetData>
      <sheetData sheetId="6198">
        <row r="7">
          <cell r="AI7">
            <v>10000</v>
          </cell>
        </row>
      </sheetData>
      <sheetData sheetId="6199">
        <row r="7">
          <cell r="AI7">
            <v>10000</v>
          </cell>
        </row>
      </sheetData>
      <sheetData sheetId="6200">
        <row r="7">
          <cell r="AI7">
            <v>10000</v>
          </cell>
        </row>
      </sheetData>
      <sheetData sheetId="6201">
        <row r="7">
          <cell r="AI7">
            <v>10000</v>
          </cell>
        </row>
      </sheetData>
      <sheetData sheetId="6202">
        <row r="7">
          <cell r="AI7">
            <v>10000</v>
          </cell>
        </row>
      </sheetData>
      <sheetData sheetId="6203">
        <row r="7">
          <cell r="AI7">
            <v>10000</v>
          </cell>
        </row>
      </sheetData>
      <sheetData sheetId="6204">
        <row r="7">
          <cell r="AI7">
            <v>10000</v>
          </cell>
        </row>
      </sheetData>
      <sheetData sheetId="6205">
        <row r="7">
          <cell r="AI7">
            <v>10000</v>
          </cell>
        </row>
      </sheetData>
      <sheetData sheetId="6206">
        <row r="7">
          <cell r="AI7">
            <v>10000</v>
          </cell>
        </row>
      </sheetData>
      <sheetData sheetId="6207">
        <row r="7">
          <cell r="AI7">
            <v>10000</v>
          </cell>
        </row>
      </sheetData>
      <sheetData sheetId="6208">
        <row r="7">
          <cell r="AI7">
            <v>10000</v>
          </cell>
        </row>
      </sheetData>
      <sheetData sheetId="6209">
        <row r="7">
          <cell r="AI7">
            <v>10000</v>
          </cell>
        </row>
      </sheetData>
      <sheetData sheetId="6210">
        <row r="7">
          <cell r="AI7">
            <v>10000</v>
          </cell>
        </row>
      </sheetData>
      <sheetData sheetId="6211">
        <row r="7">
          <cell r="AI7">
            <v>10000</v>
          </cell>
        </row>
      </sheetData>
      <sheetData sheetId="6212">
        <row r="7">
          <cell r="AI7">
            <v>10000</v>
          </cell>
        </row>
      </sheetData>
      <sheetData sheetId="6213">
        <row r="7">
          <cell r="AI7">
            <v>10000</v>
          </cell>
        </row>
      </sheetData>
      <sheetData sheetId="6214">
        <row r="7">
          <cell r="AI7">
            <v>10000</v>
          </cell>
        </row>
      </sheetData>
      <sheetData sheetId="6215">
        <row r="7">
          <cell r="AI7">
            <v>10000</v>
          </cell>
        </row>
      </sheetData>
      <sheetData sheetId="6216">
        <row r="7">
          <cell r="AI7">
            <v>10000</v>
          </cell>
        </row>
      </sheetData>
      <sheetData sheetId="6217">
        <row r="7">
          <cell r="AI7">
            <v>10000</v>
          </cell>
        </row>
      </sheetData>
      <sheetData sheetId="6218">
        <row r="7">
          <cell r="AI7">
            <v>10000</v>
          </cell>
        </row>
      </sheetData>
      <sheetData sheetId="6219">
        <row r="7">
          <cell r="AI7">
            <v>10000</v>
          </cell>
        </row>
      </sheetData>
      <sheetData sheetId="6220">
        <row r="7">
          <cell r="AI7">
            <v>10000</v>
          </cell>
        </row>
      </sheetData>
      <sheetData sheetId="6221">
        <row r="7">
          <cell r="AI7">
            <v>10000</v>
          </cell>
        </row>
      </sheetData>
      <sheetData sheetId="6222">
        <row r="7">
          <cell r="AI7">
            <v>10000</v>
          </cell>
        </row>
      </sheetData>
      <sheetData sheetId="6223">
        <row r="7">
          <cell r="AI7">
            <v>10000</v>
          </cell>
        </row>
      </sheetData>
      <sheetData sheetId="6224">
        <row r="7">
          <cell r="AI7">
            <v>10000</v>
          </cell>
        </row>
      </sheetData>
      <sheetData sheetId="6225">
        <row r="7">
          <cell r="AI7">
            <v>10000</v>
          </cell>
        </row>
      </sheetData>
      <sheetData sheetId="6226">
        <row r="7">
          <cell r="AI7">
            <v>10000</v>
          </cell>
        </row>
      </sheetData>
      <sheetData sheetId="6227">
        <row r="7">
          <cell r="AI7">
            <v>10000</v>
          </cell>
        </row>
      </sheetData>
      <sheetData sheetId="6228">
        <row r="7">
          <cell r="AI7">
            <v>10000</v>
          </cell>
        </row>
      </sheetData>
      <sheetData sheetId="6229">
        <row r="7">
          <cell r="AI7">
            <v>10000</v>
          </cell>
        </row>
      </sheetData>
      <sheetData sheetId="6230">
        <row r="7">
          <cell r="AI7">
            <v>10000</v>
          </cell>
        </row>
      </sheetData>
      <sheetData sheetId="6231">
        <row r="7">
          <cell r="AI7">
            <v>10000</v>
          </cell>
        </row>
      </sheetData>
      <sheetData sheetId="6232">
        <row r="7">
          <cell r="AI7">
            <v>10000</v>
          </cell>
        </row>
      </sheetData>
      <sheetData sheetId="6233">
        <row r="7">
          <cell r="AI7">
            <v>10000</v>
          </cell>
        </row>
      </sheetData>
      <sheetData sheetId="6234">
        <row r="7">
          <cell r="AI7">
            <v>10000</v>
          </cell>
        </row>
      </sheetData>
      <sheetData sheetId="6235">
        <row r="7">
          <cell r="AI7">
            <v>10000</v>
          </cell>
        </row>
      </sheetData>
      <sheetData sheetId="6236">
        <row r="7">
          <cell r="AI7">
            <v>10000</v>
          </cell>
        </row>
      </sheetData>
      <sheetData sheetId="6237">
        <row r="7">
          <cell r="AI7">
            <v>10000</v>
          </cell>
        </row>
      </sheetData>
      <sheetData sheetId="6238">
        <row r="7">
          <cell r="AI7">
            <v>10000</v>
          </cell>
        </row>
      </sheetData>
      <sheetData sheetId="6239">
        <row r="7">
          <cell r="AI7">
            <v>10000</v>
          </cell>
        </row>
      </sheetData>
      <sheetData sheetId="6240">
        <row r="7">
          <cell r="AI7">
            <v>10000</v>
          </cell>
        </row>
      </sheetData>
      <sheetData sheetId="6241">
        <row r="7">
          <cell r="AI7">
            <v>10000</v>
          </cell>
        </row>
      </sheetData>
      <sheetData sheetId="6242">
        <row r="7">
          <cell r="AI7">
            <v>10000</v>
          </cell>
        </row>
      </sheetData>
      <sheetData sheetId="6243">
        <row r="7">
          <cell r="AI7">
            <v>10000</v>
          </cell>
        </row>
      </sheetData>
      <sheetData sheetId="6244">
        <row r="7">
          <cell r="AI7">
            <v>10000</v>
          </cell>
        </row>
      </sheetData>
      <sheetData sheetId="6245">
        <row r="7">
          <cell r="AI7">
            <v>10000</v>
          </cell>
        </row>
      </sheetData>
      <sheetData sheetId="6246">
        <row r="7">
          <cell r="AI7">
            <v>10000</v>
          </cell>
        </row>
      </sheetData>
      <sheetData sheetId="6247">
        <row r="7">
          <cell r="AI7">
            <v>10000</v>
          </cell>
        </row>
      </sheetData>
      <sheetData sheetId="6248">
        <row r="7">
          <cell r="AI7">
            <v>10000</v>
          </cell>
        </row>
      </sheetData>
      <sheetData sheetId="6249">
        <row r="7">
          <cell r="AI7">
            <v>10000</v>
          </cell>
        </row>
      </sheetData>
      <sheetData sheetId="6250">
        <row r="7">
          <cell r="AI7">
            <v>10000</v>
          </cell>
        </row>
      </sheetData>
      <sheetData sheetId="6251">
        <row r="7">
          <cell r="AI7">
            <v>10000</v>
          </cell>
        </row>
      </sheetData>
      <sheetData sheetId="6252">
        <row r="7">
          <cell r="AI7">
            <v>10000</v>
          </cell>
        </row>
      </sheetData>
      <sheetData sheetId="6253">
        <row r="7">
          <cell r="AI7">
            <v>10000</v>
          </cell>
        </row>
      </sheetData>
      <sheetData sheetId="6254">
        <row r="7">
          <cell r="AI7">
            <v>10000</v>
          </cell>
        </row>
      </sheetData>
      <sheetData sheetId="6255">
        <row r="7">
          <cell r="AI7">
            <v>10000</v>
          </cell>
        </row>
      </sheetData>
      <sheetData sheetId="6256">
        <row r="7">
          <cell r="AI7">
            <v>10000</v>
          </cell>
        </row>
      </sheetData>
      <sheetData sheetId="6257">
        <row r="7">
          <cell r="AI7">
            <v>10000</v>
          </cell>
        </row>
      </sheetData>
      <sheetData sheetId="6258">
        <row r="7">
          <cell r="AI7">
            <v>10000</v>
          </cell>
        </row>
      </sheetData>
      <sheetData sheetId="6259">
        <row r="7">
          <cell r="AI7">
            <v>10000</v>
          </cell>
        </row>
      </sheetData>
      <sheetData sheetId="6260">
        <row r="7">
          <cell r="AI7">
            <v>10000</v>
          </cell>
        </row>
      </sheetData>
      <sheetData sheetId="6261">
        <row r="7">
          <cell r="AI7">
            <v>10000</v>
          </cell>
        </row>
      </sheetData>
      <sheetData sheetId="6262">
        <row r="7">
          <cell r="AI7">
            <v>10000</v>
          </cell>
        </row>
      </sheetData>
      <sheetData sheetId="6263">
        <row r="7">
          <cell r="AI7">
            <v>10000</v>
          </cell>
        </row>
      </sheetData>
      <sheetData sheetId="6264">
        <row r="7">
          <cell r="AI7">
            <v>10000</v>
          </cell>
        </row>
      </sheetData>
      <sheetData sheetId="6265">
        <row r="7">
          <cell r="AI7">
            <v>10000</v>
          </cell>
        </row>
      </sheetData>
      <sheetData sheetId="6266">
        <row r="7">
          <cell r="AI7">
            <v>10000</v>
          </cell>
        </row>
      </sheetData>
      <sheetData sheetId="6267">
        <row r="7">
          <cell r="AI7">
            <v>10000</v>
          </cell>
        </row>
      </sheetData>
      <sheetData sheetId="6268">
        <row r="7">
          <cell r="AI7">
            <v>10000</v>
          </cell>
        </row>
      </sheetData>
      <sheetData sheetId="6269">
        <row r="7">
          <cell r="AI7">
            <v>10000</v>
          </cell>
        </row>
      </sheetData>
      <sheetData sheetId="6270">
        <row r="7">
          <cell r="AI7">
            <v>10000</v>
          </cell>
        </row>
      </sheetData>
      <sheetData sheetId="6271">
        <row r="7">
          <cell r="AI7">
            <v>10000</v>
          </cell>
        </row>
      </sheetData>
      <sheetData sheetId="6272">
        <row r="7">
          <cell r="AI7">
            <v>10000</v>
          </cell>
        </row>
      </sheetData>
      <sheetData sheetId="6273">
        <row r="7">
          <cell r="AI7">
            <v>10000</v>
          </cell>
        </row>
      </sheetData>
      <sheetData sheetId="6274">
        <row r="7">
          <cell r="AI7">
            <v>10000</v>
          </cell>
        </row>
      </sheetData>
      <sheetData sheetId="6275">
        <row r="7">
          <cell r="AI7">
            <v>10000</v>
          </cell>
        </row>
      </sheetData>
      <sheetData sheetId="6276">
        <row r="7">
          <cell r="AI7">
            <v>10000</v>
          </cell>
        </row>
      </sheetData>
      <sheetData sheetId="6277">
        <row r="7">
          <cell r="AI7">
            <v>10000</v>
          </cell>
        </row>
      </sheetData>
      <sheetData sheetId="6278">
        <row r="7">
          <cell r="AI7">
            <v>10000</v>
          </cell>
        </row>
      </sheetData>
      <sheetData sheetId="6279">
        <row r="7">
          <cell r="AI7">
            <v>10000</v>
          </cell>
        </row>
      </sheetData>
      <sheetData sheetId="6280">
        <row r="7">
          <cell r="AI7">
            <v>10000</v>
          </cell>
        </row>
      </sheetData>
      <sheetData sheetId="6281">
        <row r="7">
          <cell r="AI7">
            <v>10000</v>
          </cell>
        </row>
      </sheetData>
      <sheetData sheetId="6282">
        <row r="7">
          <cell r="AI7">
            <v>10000</v>
          </cell>
        </row>
      </sheetData>
      <sheetData sheetId="6283">
        <row r="7">
          <cell r="AI7">
            <v>10000</v>
          </cell>
        </row>
      </sheetData>
      <sheetData sheetId="6284">
        <row r="7">
          <cell r="AI7">
            <v>10000</v>
          </cell>
        </row>
      </sheetData>
      <sheetData sheetId="6285">
        <row r="7">
          <cell r="AI7">
            <v>10000</v>
          </cell>
        </row>
      </sheetData>
      <sheetData sheetId="6286">
        <row r="7">
          <cell r="AI7">
            <v>10000</v>
          </cell>
        </row>
      </sheetData>
      <sheetData sheetId="6287">
        <row r="7">
          <cell r="AI7">
            <v>10000</v>
          </cell>
        </row>
      </sheetData>
      <sheetData sheetId="6288">
        <row r="7">
          <cell r="AI7">
            <v>10000</v>
          </cell>
        </row>
      </sheetData>
      <sheetData sheetId="6289">
        <row r="7">
          <cell r="AI7">
            <v>10000</v>
          </cell>
        </row>
      </sheetData>
      <sheetData sheetId="6290">
        <row r="7">
          <cell r="AI7">
            <v>10000</v>
          </cell>
        </row>
      </sheetData>
      <sheetData sheetId="6291">
        <row r="7">
          <cell r="AI7">
            <v>10000</v>
          </cell>
        </row>
      </sheetData>
      <sheetData sheetId="6292">
        <row r="7">
          <cell r="AI7">
            <v>10000</v>
          </cell>
        </row>
      </sheetData>
      <sheetData sheetId="6293">
        <row r="7">
          <cell r="AI7">
            <v>10000</v>
          </cell>
        </row>
      </sheetData>
      <sheetData sheetId="6294">
        <row r="7">
          <cell r="AI7">
            <v>10000</v>
          </cell>
        </row>
      </sheetData>
      <sheetData sheetId="6295">
        <row r="7">
          <cell r="AI7">
            <v>10000</v>
          </cell>
        </row>
      </sheetData>
      <sheetData sheetId="6296">
        <row r="7">
          <cell r="AI7">
            <v>10000</v>
          </cell>
        </row>
      </sheetData>
      <sheetData sheetId="6297">
        <row r="7">
          <cell r="AI7">
            <v>10000</v>
          </cell>
        </row>
      </sheetData>
      <sheetData sheetId="6298">
        <row r="7">
          <cell r="AI7">
            <v>10000</v>
          </cell>
        </row>
      </sheetData>
      <sheetData sheetId="6299">
        <row r="7">
          <cell r="AI7">
            <v>10000</v>
          </cell>
        </row>
      </sheetData>
      <sheetData sheetId="6300">
        <row r="7">
          <cell r="AI7">
            <v>10000</v>
          </cell>
        </row>
      </sheetData>
      <sheetData sheetId="6301">
        <row r="7">
          <cell r="AI7">
            <v>10000</v>
          </cell>
        </row>
      </sheetData>
      <sheetData sheetId="6302">
        <row r="7">
          <cell r="AI7">
            <v>10000</v>
          </cell>
        </row>
      </sheetData>
      <sheetData sheetId="6303">
        <row r="7">
          <cell r="AI7">
            <v>10000</v>
          </cell>
        </row>
      </sheetData>
      <sheetData sheetId="6304">
        <row r="7">
          <cell r="AI7">
            <v>10000</v>
          </cell>
        </row>
      </sheetData>
      <sheetData sheetId="6305">
        <row r="7">
          <cell r="AI7">
            <v>10000</v>
          </cell>
        </row>
      </sheetData>
      <sheetData sheetId="6306">
        <row r="7">
          <cell r="AI7">
            <v>10000</v>
          </cell>
        </row>
      </sheetData>
      <sheetData sheetId="6307">
        <row r="7">
          <cell r="AI7">
            <v>10000</v>
          </cell>
        </row>
      </sheetData>
      <sheetData sheetId="6308">
        <row r="7">
          <cell r="AI7">
            <v>10000</v>
          </cell>
        </row>
      </sheetData>
      <sheetData sheetId="6309">
        <row r="7">
          <cell r="AI7">
            <v>10000</v>
          </cell>
        </row>
      </sheetData>
      <sheetData sheetId="6310">
        <row r="7">
          <cell r="AI7">
            <v>10000</v>
          </cell>
        </row>
      </sheetData>
      <sheetData sheetId="6311">
        <row r="7">
          <cell r="AI7">
            <v>10000</v>
          </cell>
        </row>
      </sheetData>
      <sheetData sheetId="6312">
        <row r="7">
          <cell r="AI7">
            <v>10000</v>
          </cell>
        </row>
      </sheetData>
      <sheetData sheetId="6313">
        <row r="7">
          <cell r="AI7">
            <v>10000</v>
          </cell>
        </row>
      </sheetData>
      <sheetData sheetId="6314">
        <row r="7">
          <cell r="AI7">
            <v>10000</v>
          </cell>
        </row>
      </sheetData>
      <sheetData sheetId="6315">
        <row r="7">
          <cell r="AI7">
            <v>10000</v>
          </cell>
        </row>
      </sheetData>
      <sheetData sheetId="6316">
        <row r="7">
          <cell r="AI7">
            <v>10000</v>
          </cell>
        </row>
      </sheetData>
      <sheetData sheetId="6317">
        <row r="7">
          <cell r="AI7">
            <v>10000</v>
          </cell>
        </row>
      </sheetData>
      <sheetData sheetId="6318">
        <row r="7">
          <cell r="AI7">
            <v>10000</v>
          </cell>
        </row>
      </sheetData>
      <sheetData sheetId="6319">
        <row r="7">
          <cell r="AI7">
            <v>10000</v>
          </cell>
        </row>
      </sheetData>
      <sheetData sheetId="6320">
        <row r="7">
          <cell r="AI7">
            <v>10000</v>
          </cell>
        </row>
      </sheetData>
      <sheetData sheetId="6321">
        <row r="7">
          <cell r="AI7">
            <v>10000</v>
          </cell>
        </row>
      </sheetData>
      <sheetData sheetId="6322">
        <row r="7">
          <cell r="AI7">
            <v>10000</v>
          </cell>
        </row>
      </sheetData>
      <sheetData sheetId="6323">
        <row r="7">
          <cell r="AI7">
            <v>10000</v>
          </cell>
        </row>
      </sheetData>
      <sheetData sheetId="6324">
        <row r="7">
          <cell r="AI7">
            <v>10000</v>
          </cell>
        </row>
      </sheetData>
      <sheetData sheetId="6325">
        <row r="7">
          <cell r="AI7">
            <v>10000</v>
          </cell>
        </row>
      </sheetData>
      <sheetData sheetId="6326">
        <row r="7">
          <cell r="AI7">
            <v>10000</v>
          </cell>
        </row>
      </sheetData>
      <sheetData sheetId="6327">
        <row r="7">
          <cell r="AI7">
            <v>10000</v>
          </cell>
        </row>
      </sheetData>
      <sheetData sheetId="6328">
        <row r="7">
          <cell r="AI7">
            <v>10000</v>
          </cell>
        </row>
      </sheetData>
      <sheetData sheetId="6329">
        <row r="7">
          <cell r="AI7">
            <v>10000</v>
          </cell>
        </row>
      </sheetData>
      <sheetData sheetId="6330">
        <row r="7">
          <cell r="AI7">
            <v>10000</v>
          </cell>
        </row>
      </sheetData>
      <sheetData sheetId="6331">
        <row r="7">
          <cell r="AI7">
            <v>10000</v>
          </cell>
        </row>
      </sheetData>
      <sheetData sheetId="6332">
        <row r="7">
          <cell r="AI7">
            <v>10000</v>
          </cell>
        </row>
      </sheetData>
      <sheetData sheetId="6333">
        <row r="7">
          <cell r="AI7">
            <v>10000</v>
          </cell>
        </row>
      </sheetData>
      <sheetData sheetId="6334">
        <row r="7">
          <cell r="AI7">
            <v>10000</v>
          </cell>
        </row>
      </sheetData>
      <sheetData sheetId="6335">
        <row r="7">
          <cell r="AI7">
            <v>10000</v>
          </cell>
        </row>
      </sheetData>
      <sheetData sheetId="6336">
        <row r="7">
          <cell r="AI7">
            <v>10000</v>
          </cell>
        </row>
      </sheetData>
      <sheetData sheetId="6337">
        <row r="7">
          <cell r="AI7">
            <v>10000</v>
          </cell>
        </row>
      </sheetData>
      <sheetData sheetId="6338">
        <row r="7">
          <cell r="AI7">
            <v>10000</v>
          </cell>
        </row>
      </sheetData>
      <sheetData sheetId="6339">
        <row r="7">
          <cell r="AI7">
            <v>10000</v>
          </cell>
        </row>
      </sheetData>
      <sheetData sheetId="6340">
        <row r="7">
          <cell r="AI7">
            <v>10000</v>
          </cell>
        </row>
      </sheetData>
      <sheetData sheetId="6341">
        <row r="7">
          <cell r="AI7">
            <v>10000</v>
          </cell>
        </row>
      </sheetData>
      <sheetData sheetId="6342">
        <row r="7">
          <cell r="AI7">
            <v>10000</v>
          </cell>
        </row>
      </sheetData>
      <sheetData sheetId="6343">
        <row r="7">
          <cell r="AI7">
            <v>10000</v>
          </cell>
        </row>
      </sheetData>
      <sheetData sheetId="6344">
        <row r="7">
          <cell r="AI7">
            <v>10000</v>
          </cell>
        </row>
      </sheetData>
      <sheetData sheetId="6345">
        <row r="7">
          <cell r="AI7">
            <v>10000</v>
          </cell>
        </row>
      </sheetData>
      <sheetData sheetId="6346">
        <row r="7">
          <cell r="AI7">
            <v>10000</v>
          </cell>
        </row>
      </sheetData>
      <sheetData sheetId="6347">
        <row r="7">
          <cell r="AI7">
            <v>10000</v>
          </cell>
        </row>
      </sheetData>
      <sheetData sheetId="6348">
        <row r="7">
          <cell r="AI7">
            <v>10000</v>
          </cell>
        </row>
      </sheetData>
      <sheetData sheetId="6349">
        <row r="7">
          <cell r="AI7">
            <v>10000</v>
          </cell>
        </row>
      </sheetData>
      <sheetData sheetId="6350">
        <row r="7">
          <cell r="AI7">
            <v>10000</v>
          </cell>
        </row>
      </sheetData>
      <sheetData sheetId="6351">
        <row r="7">
          <cell r="AI7">
            <v>10000</v>
          </cell>
        </row>
      </sheetData>
      <sheetData sheetId="6352">
        <row r="7">
          <cell r="AI7">
            <v>10000</v>
          </cell>
        </row>
      </sheetData>
      <sheetData sheetId="6353">
        <row r="7">
          <cell r="AI7">
            <v>10000</v>
          </cell>
        </row>
      </sheetData>
      <sheetData sheetId="6354">
        <row r="7">
          <cell r="AI7">
            <v>10000</v>
          </cell>
        </row>
      </sheetData>
      <sheetData sheetId="6355">
        <row r="7">
          <cell r="AI7">
            <v>10000</v>
          </cell>
        </row>
      </sheetData>
      <sheetData sheetId="6356">
        <row r="7">
          <cell r="AI7">
            <v>10000</v>
          </cell>
        </row>
      </sheetData>
      <sheetData sheetId="6357">
        <row r="7">
          <cell r="AI7">
            <v>10000</v>
          </cell>
        </row>
      </sheetData>
      <sheetData sheetId="6358">
        <row r="7">
          <cell r="AI7">
            <v>10000</v>
          </cell>
        </row>
      </sheetData>
      <sheetData sheetId="6359">
        <row r="7">
          <cell r="AI7">
            <v>10000</v>
          </cell>
        </row>
      </sheetData>
      <sheetData sheetId="6360">
        <row r="7">
          <cell r="AI7">
            <v>10000</v>
          </cell>
        </row>
      </sheetData>
      <sheetData sheetId="6361">
        <row r="7">
          <cell r="AI7">
            <v>10000</v>
          </cell>
        </row>
      </sheetData>
      <sheetData sheetId="6362">
        <row r="7">
          <cell r="AI7">
            <v>10000</v>
          </cell>
        </row>
      </sheetData>
      <sheetData sheetId="6363">
        <row r="7">
          <cell r="AI7">
            <v>10000</v>
          </cell>
        </row>
      </sheetData>
      <sheetData sheetId="6364">
        <row r="7">
          <cell r="AI7">
            <v>10000</v>
          </cell>
        </row>
      </sheetData>
      <sheetData sheetId="6365">
        <row r="7">
          <cell r="AI7">
            <v>10000</v>
          </cell>
        </row>
      </sheetData>
      <sheetData sheetId="6366">
        <row r="7">
          <cell r="AI7">
            <v>10000</v>
          </cell>
        </row>
      </sheetData>
      <sheetData sheetId="6367">
        <row r="7">
          <cell r="AI7">
            <v>10000</v>
          </cell>
        </row>
      </sheetData>
      <sheetData sheetId="6368">
        <row r="7">
          <cell r="AI7">
            <v>10000</v>
          </cell>
        </row>
      </sheetData>
      <sheetData sheetId="6369">
        <row r="7">
          <cell r="AI7">
            <v>10000</v>
          </cell>
        </row>
      </sheetData>
      <sheetData sheetId="6370">
        <row r="7">
          <cell r="AI7">
            <v>10000</v>
          </cell>
        </row>
      </sheetData>
      <sheetData sheetId="6371">
        <row r="7">
          <cell r="AI7">
            <v>10000</v>
          </cell>
        </row>
      </sheetData>
      <sheetData sheetId="6372">
        <row r="7">
          <cell r="AI7">
            <v>10000</v>
          </cell>
        </row>
      </sheetData>
      <sheetData sheetId="6373">
        <row r="7">
          <cell r="AI7">
            <v>10000</v>
          </cell>
        </row>
      </sheetData>
      <sheetData sheetId="6374">
        <row r="7">
          <cell r="AI7">
            <v>10000</v>
          </cell>
        </row>
      </sheetData>
      <sheetData sheetId="6375">
        <row r="7">
          <cell r="AI7">
            <v>10000</v>
          </cell>
        </row>
      </sheetData>
      <sheetData sheetId="6376">
        <row r="7">
          <cell r="AI7">
            <v>10000</v>
          </cell>
        </row>
      </sheetData>
      <sheetData sheetId="6377">
        <row r="7">
          <cell r="AI7">
            <v>10000</v>
          </cell>
        </row>
      </sheetData>
      <sheetData sheetId="6378">
        <row r="7">
          <cell r="AI7">
            <v>10000</v>
          </cell>
        </row>
      </sheetData>
      <sheetData sheetId="6379">
        <row r="7">
          <cell r="AI7">
            <v>10000</v>
          </cell>
        </row>
      </sheetData>
      <sheetData sheetId="6380">
        <row r="7">
          <cell r="AI7">
            <v>10000</v>
          </cell>
        </row>
      </sheetData>
      <sheetData sheetId="6381">
        <row r="7">
          <cell r="AI7">
            <v>10000</v>
          </cell>
        </row>
      </sheetData>
      <sheetData sheetId="6382">
        <row r="7">
          <cell r="AI7">
            <v>10000</v>
          </cell>
        </row>
      </sheetData>
      <sheetData sheetId="6383">
        <row r="7">
          <cell r="AI7">
            <v>10000</v>
          </cell>
        </row>
      </sheetData>
      <sheetData sheetId="6384">
        <row r="7">
          <cell r="AI7">
            <v>10000</v>
          </cell>
        </row>
      </sheetData>
      <sheetData sheetId="6385">
        <row r="7">
          <cell r="AI7">
            <v>10000</v>
          </cell>
        </row>
      </sheetData>
      <sheetData sheetId="6386">
        <row r="7">
          <cell r="AI7">
            <v>10000</v>
          </cell>
        </row>
      </sheetData>
      <sheetData sheetId="6387">
        <row r="7">
          <cell r="AI7">
            <v>10000</v>
          </cell>
        </row>
      </sheetData>
      <sheetData sheetId="6388">
        <row r="7">
          <cell r="AI7">
            <v>10000</v>
          </cell>
        </row>
      </sheetData>
      <sheetData sheetId="6389">
        <row r="7">
          <cell r="AI7">
            <v>10000</v>
          </cell>
        </row>
      </sheetData>
      <sheetData sheetId="6390">
        <row r="7">
          <cell r="AI7">
            <v>10000</v>
          </cell>
        </row>
      </sheetData>
      <sheetData sheetId="6391">
        <row r="7">
          <cell r="AI7">
            <v>10000</v>
          </cell>
        </row>
      </sheetData>
      <sheetData sheetId="6392">
        <row r="7">
          <cell r="AI7">
            <v>10000</v>
          </cell>
        </row>
      </sheetData>
      <sheetData sheetId="6393">
        <row r="7">
          <cell r="AI7">
            <v>10000</v>
          </cell>
        </row>
      </sheetData>
      <sheetData sheetId="6394">
        <row r="7">
          <cell r="AI7">
            <v>10000</v>
          </cell>
        </row>
      </sheetData>
      <sheetData sheetId="6395">
        <row r="7">
          <cell r="AI7">
            <v>10000</v>
          </cell>
        </row>
      </sheetData>
      <sheetData sheetId="6396">
        <row r="7">
          <cell r="AI7">
            <v>10000</v>
          </cell>
        </row>
      </sheetData>
      <sheetData sheetId="6397">
        <row r="7">
          <cell r="AI7">
            <v>10000</v>
          </cell>
        </row>
      </sheetData>
      <sheetData sheetId="6398">
        <row r="7">
          <cell r="AI7">
            <v>10000</v>
          </cell>
        </row>
      </sheetData>
      <sheetData sheetId="6399">
        <row r="7">
          <cell r="AI7">
            <v>10000</v>
          </cell>
        </row>
      </sheetData>
      <sheetData sheetId="6400">
        <row r="7">
          <cell r="AI7">
            <v>10000</v>
          </cell>
        </row>
      </sheetData>
      <sheetData sheetId="6401">
        <row r="7">
          <cell r="AI7">
            <v>10000</v>
          </cell>
        </row>
      </sheetData>
      <sheetData sheetId="6402">
        <row r="7">
          <cell r="AI7">
            <v>10000</v>
          </cell>
        </row>
      </sheetData>
      <sheetData sheetId="6403">
        <row r="7">
          <cell r="AI7">
            <v>10000</v>
          </cell>
        </row>
      </sheetData>
      <sheetData sheetId="6404">
        <row r="7">
          <cell r="AI7">
            <v>10000</v>
          </cell>
        </row>
      </sheetData>
      <sheetData sheetId="6405">
        <row r="7">
          <cell r="AI7">
            <v>10000</v>
          </cell>
        </row>
      </sheetData>
      <sheetData sheetId="6406">
        <row r="7">
          <cell r="AI7">
            <v>10000</v>
          </cell>
        </row>
      </sheetData>
      <sheetData sheetId="6407">
        <row r="7">
          <cell r="AI7">
            <v>10000</v>
          </cell>
        </row>
      </sheetData>
      <sheetData sheetId="6408">
        <row r="7">
          <cell r="AI7">
            <v>10000</v>
          </cell>
        </row>
      </sheetData>
      <sheetData sheetId="6409">
        <row r="7">
          <cell r="AI7">
            <v>10000</v>
          </cell>
        </row>
      </sheetData>
      <sheetData sheetId="6410">
        <row r="7">
          <cell r="AI7">
            <v>10000</v>
          </cell>
        </row>
      </sheetData>
      <sheetData sheetId="6411">
        <row r="7">
          <cell r="AI7">
            <v>10000</v>
          </cell>
        </row>
      </sheetData>
      <sheetData sheetId="6412">
        <row r="7">
          <cell r="AI7">
            <v>10000</v>
          </cell>
        </row>
      </sheetData>
      <sheetData sheetId="6413">
        <row r="7">
          <cell r="AI7">
            <v>10000</v>
          </cell>
        </row>
      </sheetData>
      <sheetData sheetId="6414">
        <row r="7">
          <cell r="AI7">
            <v>10000</v>
          </cell>
        </row>
      </sheetData>
      <sheetData sheetId="6415">
        <row r="7">
          <cell r="AI7">
            <v>10000</v>
          </cell>
        </row>
      </sheetData>
      <sheetData sheetId="6416">
        <row r="7">
          <cell r="AI7">
            <v>10000</v>
          </cell>
        </row>
      </sheetData>
      <sheetData sheetId="6417">
        <row r="7">
          <cell r="AI7">
            <v>10000</v>
          </cell>
        </row>
      </sheetData>
      <sheetData sheetId="6418">
        <row r="7">
          <cell r="AI7">
            <v>10000</v>
          </cell>
        </row>
      </sheetData>
      <sheetData sheetId="6419">
        <row r="7">
          <cell r="AI7">
            <v>10000</v>
          </cell>
        </row>
      </sheetData>
      <sheetData sheetId="6420">
        <row r="7">
          <cell r="AI7">
            <v>10000</v>
          </cell>
        </row>
      </sheetData>
      <sheetData sheetId="6421">
        <row r="7">
          <cell r="AI7">
            <v>10000</v>
          </cell>
        </row>
      </sheetData>
      <sheetData sheetId="6422">
        <row r="7">
          <cell r="AI7">
            <v>10000</v>
          </cell>
        </row>
      </sheetData>
      <sheetData sheetId="6423">
        <row r="7">
          <cell r="AI7">
            <v>10000</v>
          </cell>
        </row>
      </sheetData>
      <sheetData sheetId="6424">
        <row r="7">
          <cell r="AI7">
            <v>10000</v>
          </cell>
        </row>
      </sheetData>
      <sheetData sheetId="6425">
        <row r="7">
          <cell r="AI7">
            <v>10000</v>
          </cell>
        </row>
      </sheetData>
      <sheetData sheetId="6426">
        <row r="7">
          <cell r="AI7">
            <v>10000</v>
          </cell>
        </row>
      </sheetData>
      <sheetData sheetId="6427">
        <row r="7">
          <cell r="AI7">
            <v>10000</v>
          </cell>
        </row>
      </sheetData>
      <sheetData sheetId="6428">
        <row r="7">
          <cell r="AI7">
            <v>10000</v>
          </cell>
        </row>
      </sheetData>
      <sheetData sheetId="6429">
        <row r="7">
          <cell r="AI7">
            <v>10000</v>
          </cell>
        </row>
      </sheetData>
      <sheetData sheetId="6430">
        <row r="7">
          <cell r="AI7">
            <v>10000</v>
          </cell>
        </row>
      </sheetData>
      <sheetData sheetId="6431">
        <row r="7">
          <cell r="AI7">
            <v>10000</v>
          </cell>
        </row>
      </sheetData>
      <sheetData sheetId="6432">
        <row r="7">
          <cell r="AI7">
            <v>10000</v>
          </cell>
        </row>
      </sheetData>
      <sheetData sheetId="6433">
        <row r="7">
          <cell r="AI7">
            <v>10000</v>
          </cell>
        </row>
      </sheetData>
      <sheetData sheetId="6434">
        <row r="7">
          <cell r="AI7">
            <v>10000</v>
          </cell>
        </row>
      </sheetData>
      <sheetData sheetId="6435">
        <row r="7">
          <cell r="AI7">
            <v>10000</v>
          </cell>
        </row>
      </sheetData>
      <sheetData sheetId="6436">
        <row r="7">
          <cell r="AI7">
            <v>10000</v>
          </cell>
        </row>
      </sheetData>
      <sheetData sheetId="6437">
        <row r="7">
          <cell r="AI7">
            <v>10000</v>
          </cell>
        </row>
      </sheetData>
      <sheetData sheetId="6438">
        <row r="7">
          <cell r="AI7">
            <v>10000</v>
          </cell>
        </row>
      </sheetData>
      <sheetData sheetId="6439">
        <row r="7">
          <cell r="AI7">
            <v>10000</v>
          </cell>
        </row>
      </sheetData>
      <sheetData sheetId="6440">
        <row r="7">
          <cell r="AI7">
            <v>10000</v>
          </cell>
        </row>
      </sheetData>
      <sheetData sheetId="6441">
        <row r="7">
          <cell r="AI7">
            <v>10000</v>
          </cell>
        </row>
      </sheetData>
      <sheetData sheetId="6442">
        <row r="7">
          <cell r="AI7">
            <v>10000</v>
          </cell>
        </row>
      </sheetData>
      <sheetData sheetId="6443">
        <row r="7">
          <cell r="AI7">
            <v>10000</v>
          </cell>
        </row>
      </sheetData>
      <sheetData sheetId="6444">
        <row r="7">
          <cell r="AI7">
            <v>10000</v>
          </cell>
        </row>
      </sheetData>
      <sheetData sheetId="6445">
        <row r="7">
          <cell r="AI7">
            <v>10000</v>
          </cell>
        </row>
      </sheetData>
      <sheetData sheetId="6446">
        <row r="7">
          <cell r="AI7">
            <v>10000</v>
          </cell>
        </row>
      </sheetData>
      <sheetData sheetId="6447">
        <row r="7">
          <cell r="AI7">
            <v>10000</v>
          </cell>
        </row>
      </sheetData>
      <sheetData sheetId="6448">
        <row r="7">
          <cell r="AI7">
            <v>10000</v>
          </cell>
        </row>
      </sheetData>
      <sheetData sheetId="6449">
        <row r="7">
          <cell r="AI7">
            <v>10000</v>
          </cell>
        </row>
      </sheetData>
      <sheetData sheetId="6450">
        <row r="7">
          <cell r="AI7">
            <v>10000</v>
          </cell>
        </row>
      </sheetData>
      <sheetData sheetId="6451">
        <row r="7">
          <cell r="AI7">
            <v>10000</v>
          </cell>
        </row>
      </sheetData>
      <sheetData sheetId="6452">
        <row r="7">
          <cell r="AI7">
            <v>10000</v>
          </cell>
        </row>
      </sheetData>
      <sheetData sheetId="6453">
        <row r="7">
          <cell r="AI7">
            <v>10000</v>
          </cell>
        </row>
      </sheetData>
      <sheetData sheetId="6454">
        <row r="7">
          <cell r="AI7">
            <v>10000</v>
          </cell>
        </row>
      </sheetData>
      <sheetData sheetId="6455">
        <row r="7">
          <cell r="AI7">
            <v>10000</v>
          </cell>
        </row>
      </sheetData>
      <sheetData sheetId="6456">
        <row r="7">
          <cell r="AI7">
            <v>10000</v>
          </cell>
        </row>
      </sheetData>
      <sheetData sheetId="6457">
        <row r="7">
          <cell r="AI7">
            <v>10000</v>
          </cell>
        </row>
      </sheetData>
      <sheetData sheetId="6458">
        <row r="7">
          <cell r="AI7">
            <v>10000</v>
          </cell>
        </row>
      </sheetData>
      <sheetData sheetId="6459">
        <row r="7">
          <cell r="AI7">
            <v>10000</v>
          </cell>
        </row>
      </sheetData>
      <sheetData sheetId="6460">
        <row r="7">
          <cell r="AI7">
            <v>10000</v>
          </cell>
        </row>
      </sheetData>
      <sheetData sheetId="6461">
        <row r="7">
          <cell r="AI7">
            <v>10000</v>
          </cell>
        </row>
      </sheetData>
      <sheetData sheetId="6462">
        <row r="7">
          <cell r="AI7">
            <v>10000</v>
          </cell>
        </row>
      </sheetData>
      <sheetData sheetId="6463">
        <row r="7">
          <cell r="AI7">
            <v>10000</v>
          </cell>
        </row>
      </sheetData>
      <sheetData sheetId="6464">
        <row r="7">
          <cell r="AI7">
            <v>10000</v>
          </cell>
        </row>
      </sheetData>
      <sheetData sheetId="6465">
        <row r="7">
          <cell r="AI7">
            <v>10000</v>
          </cell>
        </row>
      </sheetData>
      <sheetData sheetId="6466">
        <row r="7">
          <cell r="AI7">
            <v>10000</v>
          </cell>
        </row>
      </sheetData>
      <sheetData sheetId="6467">
        <row r="7">
          <cell r="AI7">
            <v>10000</v>
          </cell>
        </row>
      </sheetData>
      <sheetData sheetId="6468">
        <row r="7">
          <cell r="AI7">
            <v>10000</v>
          </cell>
        </row>
      </sheetData>
      <sheetData sheetId="6469">
        <row r="7">
          <cell r="AI7">
            <v>10000</v>
          </cell>
        </row>
      </sheetData>
      <sheetData sheetId="6470">
        <row r="7">
          <cell r="AI7">
            <v>10000</v>
          </cell>
        </row>
      </sheetData>
      <sheetData sheetId="6471">
        <row r="7">
          <cell r="AI7">
            <v>10000</v>
          </cell>
        </row>
      </sheetData>
      <sheetData sheetId="6472">
        <row r="7">
          <cell r="AI7">
            <v>10000</v>
          </cell>
        </row>
      </sheetData>
      <sheetData sheetId="6473">
        <row r="7">
          <cell r="AI7">
            <v>10000</v>
          </cell>
        </row>
      </sheetData>
      <sheetData sheetId="6474">
        <row r="7">
          <cell r="AI7">
            <v>10000</v>
          </cell>
        </row>
      </sheetData>
      <sheetData sheetId="6475">
        <row r="7">
          <cell r="AI7">
            <v>10000</v>
          </cell>
        </row>
      </sheetData>
      <sheetData sheetId="6476">
        <row r="7">
          <cell r="AI7">
            <v>10000</v>
          </cell>
        </row>
      </sheetData>
      <sheetData sheetId="6477">
        <row r="7">
          <cell r="AI7">
            <v>10000</v>
          </cell>
        </row>
      </sheetData>
      <sheetData sheetId="6478">
        <row r="7">
          <cell r="AI7">
            <v>10000</v>
          </cell>
        </row>
      </sheetData>
      <sheetData sheetId="6479">
        <row r="7">
          <cell r="AI7">
            <v>10000</v>
          </cell>
        </row>
      </sheetData>
      <sheetData sheetId="6480">
        <row r="7">
          <cell r="AI7">
            <v>10000</v>
          </cell>
        </row>
      </sheetData>
      <sheetData sheetId="6481">
        <row r="7">
          <cell r="AI7">
            <v>10000</v>
          </cell>
        </row>
      </sheetData>
      <sheetData sheetId="6482">
        <row r="7">
          <cell r="AI7">
            <v>10000</v>
          </cell>
        </row>
      </sheetData>
      <sheetData sheetId="6483">
        <row r="7">
          <cell r="AI7">
            <v>10000</v>
          </cell>
        </row>
      </sheetData>
      <sheetData sheetId="6484">
        <row r="7">
          <cell r="AI7">
            <v>10000</v>
          </cell>
        </row>
      </sheetData>
      <sheetData sheetId="6485">
        <row r="7">
          <cell r="AI7">
            <v>10000</v>
          </cell>
        </row>
      </sheetData>
      <sheetData sheetId="6486">
        <row r="7">
          <cell r="AI7">
            <v>10000</v>
          </cell>
        </row>
      </sheetData>
      <sheetData sheetId="6487">
        <row r="7">
          <cell r="AI7">
            <v>10000</v>
          </cell>
        </row>
      </sheetData>
      <sheetData sheetId="6488">
        <row r="7">
          <cell r="AI7">
            <v>10000</v>
          </cell>
        </row>
      </sheetData>
      <sheetData sheetId="6489">
        <row r="7">
          <cell r="AI7">
            <v>10000</v>
          </cell>
        </row>
      </sheetData>
      <sheetData sheetId="6490">
        <row r="7">
          <cell r="AI7">
            <v>10000</v>
          </cell>
        </row>
      </sheetData>
      <sheetData sheetId="6491">
        <row r="7">
          <cell r="AI7">
            <v>10000</v>
          </cell>
        </row>
      </sheetData>
      <sheetData sheetId="6492">
        <row r="7">
          <cell r="AI7">
            <v>10000</v>
          </cell>
        </row>
      </sheetData>
      <sheetData sheetId="6493">
        <row r="7">
          <cell r="AI7">
            <v>10000</v>
          </cell>
        </row>
      </sheetData>
      <sheetData sheetId="6494">
        <row r="7">
          <cell r="AI7">
            <v>10000</v>
          </cell>
        </row>
      </sheetData>
      <sheetData sheetId="6495">
        <row r="7">
          <cell r="AI7">
            <v>10000</v>
          </cell>
        </row>
      </sheetData>
      <sheetData sheetId="6496">
        <row r="7">
          <cell r="AI7">
            <v>10000</v>
          </cell>
        </row>
      </sheetData>
      <sheetData sheetId="6497">
        <row r="7">
          <cell r="AI7">
            <v>10000</v>
          </cell>
        </row>
      </sheetData>
      <sheetData sheetId="6498">
        <row r="7">
          <cell r="AI7">
            <v>10000</v>
          </cell>
        </row>
      </sheetData>
      <sheetData sheetId="6499">
        <row r="7">
          <cell r="AI7">
            <v>10000</v>
          </cell>
        </row>
      </sheetData>
      <sheetData sheetId="6500">
        <row r="7">
          <cell r="AI7">
            <v>10000</v>
          </cell>
        </row>
      </sheetData>
      <sheetData sheetId="6501">
        <row r="7">
          <cell r="AI7">
            <v>10000</v>
          </cell>
        </row>
      </sheetData>
      <sheetData sheetId="6502">
        <row r="7">
          <cell r="AI7">
            <v>10000</v>
          </cell>
        </row>
      </sheetData>
      <sheetData sheetId="6503">
        <row r="7">
          <cell r="AI7">
            <v>10000</v>
          </cell>
        </row>
      </sheetData>
      <sheetData sheetId="6504">
        <row r="7">
          <cell r="AI7">
            <v>10000</v>
          </cell>
        </row>
      </sheetData>
      <sheetData sheetId="6505">
        <row r="7">
          <cell r="AI7">
            <v>10000</v>
          </cell>
        </row>
      </sheetData>
      <sheetData sheetId="6506">
        <row r="7">
          <cell r="AI7">
            <v>10000</v>
          </cell>
        </row>
      </sheetData>
      <sheetData sheetId="6507">
        <row r="7">
          <cell r="AI7">
            <v>10000</v>
          </cell>
        </row>
      </sheetData>
      <sheetData sheetId="6508">
        <row r="7">
          <cell r="AI7">
            <v>10000</v>
          </cell>
        </row>
      </sheetData>
      <sheetData sheetId="6509">
        <row r="7">
          <cell r="AI7">
            <v>10000</v>
          </cell>
        </row>
      </sheetData>
      <sheetData sheetId="6510">
        <row r="7">
          <cell r="AI7">
            <v>10000</v>
          </cell>
        </row>
      </sheetData>
      <sheetData sheetId="6511">
        <row r="7">
          <cell r="AI7">
            <v>10000</v>
          </cell>
        </row>
      </sheetData>
      <sheetData sheetId="6512">
        <row r="7">
          <cell r="AI7">
            <v>10000</v>
          </cell>
        </row>
      </sheetData>
      <sheetData sheetId="6513">
        <row r="7">
          <cell r="AI7">
            <v>10000</v>
          </cell>
        </row>
      </sheetData>
      <sheetData sheetId="6514">
        <row r="7">
          <cell r="AI7">
            <v>10000</v>
          </cell>
        </row>
      </sheetData>
      <sheetData sheetId="6515">
        <row r="7">
          <cell r="AI7">
            <v>10000</v>
          </cell>
        </row>
      </sheetData>
      <sheetData sheetId="6516">
        <row r="7">
          <cell r="AI7">
            <v>10000</v>
          </cell>
        </row>
      </sheetData>
      <sheetData sheetId="6517">
        <row r="7">
          <cell r="AI7">
            <v>10000</v>
          </cell>
        </row>
      </sheetData>
      <sheetData sheetId="6518">
        <row r="7">
          <cell r="AI7">
            <v>10000</v>
          </cell>
        </row>
      </sheetData>
      <sheetData sheetId="6519">
        <row r="7">
          <cell r="AI7">
            <v>10000</v>
          </cell>
        </row>
      </sheetData>
      <sheetData sheetId="6520">
        <row r="7">
          <cell r="AI7">
            <v>10000</v>
          </cell>
        </row>
      </sheetData>
      <sheetData sheetId="6521">
        <row r="7">
          <cell r="AI7">
            <v>10000</v>
          </cell>
        </row>
      </sheetData>
      <sheetData sheetId="6522">
        <row r="7">
          <cell r="AI7">
            <v>10000</v>
          </cell>
        </row>
      </sheetData>
      <sheetData sheetId="6523">
        <row r="7">
          <cell r="AI7">
            <v>10000</v>
          </cell>
        </row>
      </sheetData>
      <sheetData sheetId="6524">
        <row r="7">
          <cell r="AI7">
            <v>10000</v>
          </cell>
        </row>
      </sheetData>
      <sheetData sheetId="6525">
        <row r="7">
          <cell r="AI7">
            <v>10000</v>
          </cell>
        </row>
      </sheetData>
      <sheetData sheetId="6526">
        <row r="7">
          <cell r="AI7">
            <v>10000</v>
          </cell>
        </row>
      </sheetData>
      <sheetData sheetId="6527">
        <row r="7">
          <cell r="AI7">
            <v>10000</v>
          </cell>
        </row>
      </sheetData>
      <sheetData sheetId="6528">
        <row r="7">
          <cell r="AI7">
            <v>10000</v>
          </cell>
        </row>
      </sheetData>
      <sheetData sheetId="6529">
        <row r="7">
          <cell r="AI7">
            <v>10000</v>
          </cell>
        </row>
      </sheetData>
      <sheetData sheetId="6530">
        <row r="7">
          <cell r="AI7">
            <v>10000</v>
          </cell>
        </row>
      </sheetData>
      <sheetData sheetId="6531">
        <row r="7">
          <cell r="AI7">
            <v>10000</v>
          </cell>
        </row>
      </sheetData>
      <sheetData sheetId="6532">
        <row r="7">
          <cell r="AI7">
            <v>10000</v>
          </cell>
        </row>
      </sheetData>
      <sheetData sheetId="6533">
        <row r="7">
          <cell r="AI7">
            <v>10000</v>
          </cell>
        </row>
      </sheetData>
      <sheetData sheetId="6534">
        <row r="7">
          <cell r="AI7">
            <v>10000</v>
          </cell>
        </row>
      </sheetData>
      <sheetData sheetId="6535">
        <row r="7">
          <cell r="AI7">
            <v>10000</v>
          </cell>
        </row>
      </sheetData>
      <sheetData sheetId="6536">
        <row r="7">
          <cell r="AI7">
            <v>10000</v>
          </cell>
        </row>
      </sheetData>
      <sheetData sheetId="6537">
        <row r="7">
          <cell r="AI7">
            <v>10000</v>
          </cell>
        </row>
      </sheetData>
      <sheetData sheetId="6538">
        <row r="7">
          <cell r="AI7">
            <v>10000</v>
          </cell>
        </row>
      </sheetData>
      <sheetData sheetId="6539">
        <row r="7">
          <cell r="AI7">
            <v>10000</v>
          </cell>
        </row>
      </sheetData>
      <sheetData sheetId="6540">
        <row r="7">
          <cell r="AI7">
            <v>10000</v>
          </cell>
        </row>
      </sheetData>
      <sheetData sheetId="6541">
        <row r="7">
          <cell r="AI7">
            <v>10000</v>
          </cell>
        </row>
      </sheetData>
      <sheetData sheetId="6542">
        <row r="7">
          <cell r="AI7">
            <v>10000</v>
          </cell>
        </row>
      </sheetData>
      <sheetData sheetId="6543">
        <row r="7">
          <cell r="AI7">
            <v>10000</v>
          </cell>
        </row>
      </sheetData>
      <sheetData sheetId="6544">
        <row r="7">
          <cell r="AI7">
            <v>10000</v>
          </cell>
        </row>
      </sheetData>
      <sheetData sheetId="6545">
        <row r="7">
          <cell r="AI7">
            <v>10000</v>
          </cell>
        </row>
      </sheetData>
      <sheetData sheetId="6546">
        <row r="7">
          <cell r="AI7">
            <v>10000</v>
          </cell>
        </row>
      </sheetData>
      <sheetData sheetId="6547">
        <row r="7">
          <cell r="AI7">
            <v>10000</v>
          </cell>
        </row>
      </sheetData>
      <sheetData sheetId="6548">
        <row r="7">
          <cell r="AI7">
            <v>10000</v>
          </cell>
        </row>
      </sheetData>
      <sheetData sheetId="6549">
        <row r="7">
          <cell r="AI7">
            <v>10000</v>
          </cell>
        </row>
      </sheetData>
      <sheetData sheetId="6550">
        <row r="7">
          <cell r="AI7">
            <v>10000</v>
          </cell>
        </row>
      </sheetData>
      <sheetData sheetId="6551">
        <row r="7">
          <cell r="AI7">
            <v>10000</v>
          </cell>
        </row>
      </sheetData>
      <sheetData sheetId="6552">
        <row r="7">
          <cell r="AI7">
            <v>10000</v>
          </cell>
        </row>
      </sheetData>
      <sheetData sheetId="6553">
        <row r="7">
          <cell r="AI7">
            <v>10000</v>
          </cell>
        </row>
      </sheetData>
      <sheetData sheetId="6554">
        <row r="7">
          <cell r="AI7">
            <v>10000</v>
          </cell>
        </row>
      </sheetData>
      <sheetData sheetId="6555">
        <row r="7">
          <cell r="AI7">
            <v>10000</v>
          </cell>
        </row>
      </sheetData>
      <sheetData sheetId="6556">
        <row r="7">
          <cell r="AI7">
            <v>10000</v>
          </cell>
        </row>
      </sheetData>
      <sheetData sheetId="6557">
        <row r="7">
          <cell r="AI7">
            <v>10000</v>
          </cell>
        </row>
      </sheetData>
      <sheetData sheetId="6558">
        <row r="7">
          <cell r="AI7">
            <v>10000</v>
          </cell>
        </row>
      </sheetData>
      <sheetData sheetId="6559">
        <row r="7">
          <cell r="AI7">
            <v>10000</v>
          </cell>
        </row>
      </sheetData>
      <sheetData sheetId="6560">
        <row r="7">
          <cell r="AI7">
            <v>10000</v>
          </cell>
        </row>
      </sheetData>
      <sheetData sheetId="6561">
        <row r="7">
          <cell r="AI7">
            <v>10000</v>
          </cell>
        </row>
      </sheetData>
      <sheetData sheetId="6562">
        <row r="7">
          <cell r="AI7">
            <v>10000</v>
          </cell>
        </row>
      </sheetData>
      <sheetData sheetId="6563">
        <row r="7">
          <cell r="AI7">
            <v>10000</v>
          </cell>
        </row>
      </sheetData>
      <sheetData sheetId="6564">
        <row r="7">
          <cell r="AI7">
            <v>10000</v>
          </cell>
        </row>
      </sheetData>
      <sheetData sheetId="6565">
        <row r="7">
          <cell r="AI7">
            <v>10000</v>
          </cell>
        </row>
      </sheetData>
      <sheetData sheetId="6566">
        <row r="7">
          <cell r="AI7">
            <v>10000</v>
          </cell>
        </row>
      </sheetData>
      <sheetData sheetId="6567">
        <row r="7">
          <cell r="AI7">
            <v>10000</v>
          </cell>
        </row>
      </sheetData>
      <sheetData sheetId="6568">
        <row r="7">
          <cell r="AI7">
            <v>10000</v>
          </cell>
        </row>
      </sheetData>
      <sheetData sheetId="6569">
        <row r="7">
          <cell r="AI7">
            <v>10000</v>
          </cell>
        </row>
      </sheetData>
      <sheetData sheetId="6570">
        <row r="7">
          <cell r="AI7">
            <v>10000</v>
          </cell>
        </row>
      </sheetData>
      <sheetData sheetId="6571">
        <row r="7">
          <cell r="AI7">
            <v>10000</v>
          </cell>
        </row>
      </sheetData>
      <sheetData sheetId="6572">
        <row r="7">
          <cell r="AI7">
            <v>10000</v>
          </cell>
        </row>
      </sheetData>
      <sheetData sheetId="6573">
        <row r="7">
          <cell r="AI7">
            <v>10000</v>
          </cell>
        </row>
      </sheetData>
      <sheetData sheetId="6574">
        <row r="7">
          <cell r="AI7">
            <v>10000</v>
          </cell>
        </row>
      </sheetData>
      <sheetData sheetId="6575">
        <row r="7">
          <cell r="AI7">
            <v>10000</v>
          </cell>
        </row>
      </sheetData>
      <sheetData sheetId="6576">
        <row r="7">
          <cell r="AI7">
            <v>10000</v>
          </cell>
        </row>
      </sheetData>
      <sheetData sheetId="6577">
        <row r="7">
          <cell r="AI7">
            <v>10000</v>
          </cell>
        </row>
      </sheetData>
      <sheetData sheetId="6578">
        <row r="7">
          <cell r="AI7">
            <v>10000</v>
          </cell>
        </row>
      </sheetData>
      <sheetData sheetId="6579">
        <row r="7">
          <cell r="AI7">
            <v>10000</v>
          </cell>
        </row>
      </sheetData>
      <sheetData sheetId="6580">
        <row r="7">
          <cell r="AI7">
            <v>10000</v>
          </cell>
        </row>
      </sheetData>
      <sheetData sheetId="6581">
        <row r="7">
          <cell r="AI7">
            <v>10000</v>
          </cell>
        </row>
      </sheetData>
      <sheetData sheetId="6582">
        <row r="7">
          <cell r="AI7">
            <v>10000</v>
          </cell>
        </row>
      </sheetData>
      <sheetData sheetId="6583">
        <row r="7">
          <cell r="AI7">
            <v>10000</v>
          </cell>
        </row>
      </sheetData>
      <sheetData sheetId="6584">
        <row r="7">
          <cell r="AI7">
            <v>10000</v>
          </cell>
        </row>
      </sheetData>
      <sheetData sheetId="6585">
        <row r="7">
          <cell r="AI7">
            <v>10000</v>
          </cell>
        </row>
      </sheetData>
      <sheetData sheetId="6586">
        <row r="7">
          <cell r="AI7">
            <v>10000</v>
          </cell>
        </row>
      </sheetData>
      <sheetData sheetId="6587">
        <row r="7">
          <cell r="AI7">
            <v>10000</v>
          </cell>
        </row>
      </sheetData>
      <sheetData sheetId="6588">
        <row r="7">
          <cell r="AI7">
            <v>10000</v>
          </cell>
        </row>
      </sheetData>
      <sheetData sheetId="6589">
        <row r="7">
          <cell r="AI7">
            <v>10000</v>
          </cell>
        </row>
      </sheetData>
      <sheetData sheetId="6590">
        <row r="7">
          <cell r="AI7">
            <v>10000</v>
          </cell>
        </row>
      </sheetData>
      <sheetData sheetId="6591">
        <row r="7">
          <cell r="AI7">
            <v>10000</v>
          </cell>
        </row>
      </sheetData>
      <sheetData sheetId="6592">
        <row r="7">
          <cell r="AI7">
            <v>10000</v>
          </cell>
        </row>
      </sheetData>
      <sheetData sheetId="6593">
        <row r="7">
          <cell r="AI7">
            <v>10000</v>
          </cell>
        </row>
      </sheetData>
      <sheetData sheetId="6594">
        <row r="7">
          <cell r="AI7">
            <v>10000</v>
          </cell>
        </row>
      </sheetData>
      <sheetData sheetId="6595">
        <row r="7">
          <cell r="AI7">
            <v>10000</v>
          </cell>
        </row>
      </sheetData>
      <sheetData sheetId="6596">
        <row r="7">
          <cell r="AI7">
            <v>10000</v>
          </cell>
        </row>
      </sheetData>
      <sheetData sheetId="6597">
        <row r="7">
          <cell r="AI7">
            <v>10000</v>
          </cell>
        </row>
      </sheetData>
      <sheetData sheetId="6598">
        <row r="7">
          <cell r="AI7">
            <v>10000</v>
          </cell>
        </row>
      </sheetData>
      <sheetData sheetId="6599">
        <row r="7">
          <cell r="AI7">
            <v>10000</v>
          </cell>
        </row>
      </sheetData>
      <sheetData sheetId="6600">
        <row r="7">
          <cell r="AI7">
            <v>10000</v>
          </cell>
        </row>
      </sheetData>
      <sheetData sheetId="6601">
        <row r="7">
          <cell r="AI7">
            <v>10000</v>
          </cell>
        </row>
      </sheetData>
      <sheetData sheetId="6602">
        <row r="7">
          <cell r="AI7">
            <v>10000</v>
          </cell>
        </row>
      </sheetData>
      <sheetData sheetId="6603">
        <row r="7">
          <cell r="AI7">
            <v>10000</v>
          </cell>
        </row>
      </sheetData>
      <sheetData sheetId="6604">
        <row r="7">
          <cell r="AI7">
            <v>10000</v>
          </cell>
        </row>
      </sheetData>
      <sheetData sheetId="6605">
        <row r="7">
          <cell r="AI7">
            <v>10000</v>
          </cell>
        </row>
      </sheetData>
      <sheetData sheetId="6606">
        <row r="7">
          <cell r="AI7">
            <v>10000</v>
          </cell>
        </row>
      </sheetData>
      <sheetData sheetId="6607">
        <row r="7">
          <cell r="AI7">
            <v>10000</v>
          </cell>
        </row>
      </sheetData>
      <sheetData sheetId="6608">
        <row r="7">
          <cell r="AI7">
            <v>10000</v>
          </cell>
        </row>
      </sheetData>
      <sheetData sheetId="6609">
        <row r="7">
          <cell r="AI7">
            <v>10000</v>
          </cell>
        </row>
      </sheetData>
      <sheetData sheetId="6610">
        <row r="7">
          <cell r="AI7">
            <v>10000</v>
          </cell>
        </row>
      </sheetData>
      <sheetData sheetId="6611">
        <row r="7">
          <cell r="AI7">
            <v>10000</v>
          </cell>
        </row>
      </sheetData>
      <sheetData sheetId="6612">
        <row r="7">
          <cell r="AI7">
            <v>10000</v>
          </cell>
        </row>
      </sheetData>
      <sheetData sheetId="6613">
        <row r="7">
          <cell r="AI7">
            <v>10000</v>
          </cell>
        </row>
      </sheetData>
      <sheetData sheetId="6614">
        <row r="7">
          <cell r="AI7">
            <v>10000</v>
          </cell>
        </row>
      </sheetData>
      <sheetData sheetId="6615">
        <row r="7">
          <cell r="AI7">
            <v>10000</v>
          </cell>
        </row>
      </sheetData>
      <sheetData sheetId="6616">
        <row r="7">
          <cell r="AI7">
            <v>10000</v>
          </cell>
        </row>
      </sheetData>
      <sheetData sheetId="6617">
        <row r="7">
          <cell r="AI7">
            <v>10000</v>
          </cell>
        </row>
      </sheetData>
      <sheetData sheetId="6618">
        <row r="7">
          <cell r="AI7">
            <v>10000</v>
          </cell>
        </row>
      </sheetData>
      <sheetData sheetId="6619">
        <row r="7">
          <cell r="AI7">
            <v>10000</v>
          </cell>
        </row>
      </sheetData>
      <sheetData sheetId="6620">
        <row r="7">
          <cell r="AI7">
            <v>10000</v>
          </cell>
        </row>
      </sheetData>
      <sheetData sheetId="6621">
        <row r="7">
          <cell r="AI7">
            <v>10000</v>
          </cell>
        </row>
      </sheetData>
      <sheetData sheetId="6622">
        <row r="7">
          <cell r="AI7">
            <v>10000</v>
          </cell>
        </row>
      </sheetData>
      <sheetData sheetId="6623">
        <row r="7">
          <cell r="AI7">
            <v>10000</v>
          </cell>
        </row>
      </sheetData>
      <sheetData sheetId="6624">
        <row r="7">
          <cell r="AI7">
            <v>10000</v>
          </cell>
        </row>
      </sheetData>
      <sheetData sheetId="6625">
        <row r="7">
          <cell r="AI7">
            <v>10000</v>
          </cell>
        </row>
      </sheetData>
      <sheetData sheetId="6626">
        <row r="7">
          <cell r="AI7">
            <v>10000</v>
          </cell>
        </row>
      </sheetData>
      <sheetData sheetId="6627">
        <row r="7">
          <cell r="AI7">
            <v>10000</v>
          </cell>
        </row>
      </sheetData>
      <sheetData sheetId="6628">
        <row r="7">
          <cell r="AI7">
            <v>10000</v>
          </cell>
        </row>
      </sheetData>
      <sheetData sheetId="6629">
        <row r="7">
          <cell r="AI7">
            <v>10000</v>
          </cell>
        </row>
      </sheetData>
      <sheetData sheetId="6630">
        <row r="7">
          <cell r="AI7">
            <v>10000</v>
          </cell>
        </row>
      </sheetData>
      <sheetData sheetId="6631">
        <row r="7">
          <cell r="AI7">
            <v>10000</v>
          </cell>
        </row>
      </sheetData>
      <sheetData sheetId="6632">
        <row r="7">
          <cell r="AI7">
            <v>10000</v>
          </cell>
        </row>
      </sheetData>
      <sheetData sheetId="6633">
        <row r="7">
          <cell r="AI7">
            <v>10000</v>
          </cell>
        </row>
      </sheetData>
      <sheetData sheetId="6634">
        <row r="7">
          <cell r="AI7">
            <v>10000</v>
          </cell>
        </row>
      </sheetData>
      <sheetData sheetId="6635">
        <row r="7">
          <cell r="AI7">
            <v>10000</v>
          </cell>
        </row>
      </sheetData>
      <sheetData sheetId="6636">
        <row r="7">
          <cell r="AI7">
            <v>10000</v>
          </cell>
        </row>
      </sheetData>
      <sheetData sheetId="6637">
        <row r="7">
          <cell r="AI7">
            <v>10000</v>
          </cell>
        </row>
      </sheetData>
      <sheetData sheetId="6638">
        <row r="7">
          <cell r="AI7">
            <v>10000</v>
          </cell>
        </row>
      </sheetData>
      <sheetData sheetId="6639">
        <row r="7">
          <cell r="AI7">
            <v>10000</v>
          </cell>
        </row>
      </sheetData>
      <sheetData sheetId="6640">
        <row r="7">
          <cell r="AI7">
            <v>10000</v>
          </cell>
        </row>
      </sheetData>
      <sheetData sheetId="6641">
        <row r="7">
          <cell r="AI7">
            <v>10000</v>
          </cell>
        </row>
      </sheetData>
      <sheetData sheetId="6642">
        <row r="7">
          <cell r="AI7">
            <v>10000</v>
          </cell>
        </row>
      </sheetData>
      <sheetData sheetId="6643">
        <row r="7">
          <cell r="AI7">
            <v>10000</v>
          </cell>
        </row>
      </sheetData>
      <sheetData sheetId="6644">
        <row r="7">
          <cell r="AI7">
            <v>10000</v>
          </cell>
        </row>
      </sheetData>
      <sheetData sheetId="6645">
        <row r="7">
          <cell r="AI7">
            <v>10000</v>
          </cell>
        </row>
      </sheetData>
      <sheetData sheetId="6646">
        <row r="7">
          <cell r="AI7">
            <v>10000</v>
          </cell>
        </row>
      </sheetData>
      <sheetData sheetId="6647">
        <row r="7">
          <cell r="AI7">
            <v>10000</v>
          </cell>
        </row>
      </sheetData>
      <sheetData sheetId="6648">
        <row r="7">
          <cell r="AI7">
            <v>10000</v>
          </cell>
        </row>
      </sheetData>
      <sheetData sheetId="6649">
        <row r="7">
          <cell r="AI7">
            <v>10000</v>
          </cell>
        </row>
      </sheetData>
      <sheetData sheetId="6650">
        <row r="7">
          <cell r="AI7">
            <v>10000</v>
          </cell>
        </row>
      </sheetData>
      <sheetData sheetId="6651">
        <row r="7">
          <cell r="AI7">
            <v>10000</v>
          </cell>
        </row>
      </sheetData>
      <sheetData sheetId="6652">
        <row r="7">
          <cell r="AI7">
            <v>10000</v>
          </cell>
        </row>
      </sheetData>
      <sheetData sheetId="6653">
        <row r="7">
          <cell r="AI7">
            <v>10000</v>
          </cell>
        </row>
      </sheetData>
      <sheetData sheetId="6654">
        <row r="7">
          <cell r="AI7">
            <v>10000</v>
          </cell>
        </row>
      </sheetData>
      <sheetData sheetId="6655">
        <row r="7">
          <cell r="AI7">
            <v>10000</v>
          </cell>
        </row>
      </sheetData>
      <sheetData sheetId="6656">
        <row r="7">
          <cell r="AI7">
            <v>10000</v>
          </cell>
        </row>
      </sheetData>
      <sheetData sheetId="6657">
        <row r="7">
          <cell r="AI7">
            <v>10000</v>
          </cell>
        </row>
      </sheetData>
      <sheetData sheetId="6658">
        <row r="7">
          <cell r="AI7">
            <v>10000</v>
          </cell>
        </row>
      </sheetData>
      <sheetData sheetId="6659">
        <row r="7">
          <cell r="AI7">
            <v>10000</v>
          </cell>
        </row>
      </sheetData>
      <sheetData sheetId="6660">
        <row r="7">
          <cell r="AI7">
            <v>10000</v>
          </cell>
        </row>
      </sheetData>
      <sheetData sheetId="6661">
        <row r="7">
          <cell r="AI7">
            <v>10000</v>
          </cell>
        </row>
      </sheetData>
      <sheetData sheetId="6662">
        <row r="7">
          <cell r="AI7">
            <v>10000</v>
          </cell>
        </row>
      </sheetData>
      <sheetData sheetId="6663">
        <row r="7">
          <cell r="AI7">
            <v>10000</v>
          </cell>
        </row>
      </sheetData>
      <sheetData sheetId="6664">
        <row r="7">
          <cell r="AI7">
            <v>10000</v>
          </cell>
        </row>
      </sheetData>
      <sheetData sheetId="6665">
        <row r="7">
          <cell r="AI7">
            <v>10000</v>
          </cell>
        </row>
      </sheetData>
      <sheetData sheetId="6666">
        <row r="7">
          <cell r="AI7">
            <v>10000</v>
          </cell>
        </row>
      </sheetData>
      <sheetData sheetId="6667">
        <row r="7">
          <cell r="AI7">
            <v>10000</v>
          </cell>
        </row>
      </sheetData>
      <sheetData sheetId="6668">
        <row r="7">
          <cell r="AI7">
            <v>10000</v>
          </cell>
        </row>
      </sheetData>
      <sheetData sheetId="6669">
        <row r="7">
          <cell r="AI7">
            <v>10000</v>
          </cell>
        </row>
      </sheetData>
      <sheetData sheetId="6670">
        <row r="7">
          <cell r="AI7">
            <v>10000</v>
          </cell>
        </row>
      </sheetData>
      <sheetData sheetId="6671">
        <row r="7">
          <cell r="AI7">
            <v>10000</v>
          </cell>
        </row>
      </sheetData>
      <sheetData sheetId="6672">
        <row r="7">
          <cell r="AI7">
            <v>10000</v>
          </cell>
        </row>
      </sheetData>
      <sheetData sheetId="6673">
        <row r="7">
          <cell r="AI7">
            <v>10000</v>
          </cell>
        </row>
      </sheetData>
      <sheetData sheetId="6674">
        <row r="7">
          <cell r="AI7">
            <v>10000</v>
          </cell>
        </row>
      </sheetData>
      <sheetData sheetId="6675">
        <row r="7">
          <cell r="AI7">
            <v>10000</v>
          </cell>
        </row>
      </sheetData>
      <sheetData sheetId="6676">
        <row r="7">
          <cell r="AI7">
            <v>10000</v>
          </cell>
        </row>
      </sheetData>
      <sheetData sheetId="6677">
        <row r="7">
          <cell r="AI7">
            <v>10000</v>
          </cell>
        </row>
      </sheetData>
      <sheetData sheetId="6678">
        <row r="7">
          <cell r="AI7">
            <v>10000</v>
          </cell>
        </row>
      </sheetData>
      <sheetData sheetId="6679">
        <row r="7">
          <cell r="AI7">
            <v>10000</v>
          </cell>
        </row>
      </sheetData>
      <sheetData sheetId="6680">
        <row r="7">
          <cell r="AI7">
            <v>10000</v>
          </cell>
        </row>
      </sheetData>
      <sheetData sheetId="6681">
        <row r="7">
          <cell r="AI7">
            <v>10000</v>
          </cell>
        </row>
      </sheetData>
      <sheetData sheetId="6682">
        <row r="7">
          <cell r="AI7">
            <v>10000</v>
          </cell>
        </row>
      </sheetData>
      <sheetData sheetId="6683">
        <row r="7">
          <cell r="AI7">
            <v>10000</v>
          </cell>
        </row>
      </sheetData>
      <sheetData sheetId="6684">
        <row r="7">
          <cell r="AI7">
            <v>10000</v>
          </cell>
        </row>
      </sheetData>
      <sheetData sheetId="6685">
        <row r="7">
          <cell r="AI7">
            <v>10000</v>
          </cell>
        </row>
      </sheetData>
      <sheetData sheetId="6686">
        <row r="7">
          <cell r="AI7">
            <v>10000</v>
          </cell>
        </row>
      </sheetData>
      <sheetData sheetId="6687">
        <row r="7">
          <cell r="AI7">
            <v>10000</v>
          </cell>
        </row>
      </sheetData>
      <sheetData sheetId="6688">
        <row r="7">
          <cell r="AI7">
            <v>10000</v>
          </cell>
        </row>
      </sheetData>
      <sheetData sheetId="6689">
        <row r="7">
          <cell r="AI7">
            <v>10000</v>
          </cell>
        </row>
      </sheetData>
      <sheetData sheetId="6690">
        <row r="7">
          <cell r="AI7">
            <v>10000</v>
          </cell>
        </row>
      </sheetData>
      <sheetData sheetId="6691">
        <row r="7">
          <cell r="AI7">
            <v>10000</v>
          </cell>
        </row>
      </sheetData>
      <sheetData sheetId="6692">
        <row r="7">
          <cell r="AI7">
            <v>10000</v>
          </cell>
        </row>
      </sheetData>
      <sheetData sheetId="6693">
        <row r="7">
          <cell r="AI7">
            <v>10000</v>
          </cell>
        </row>
      </sheetData>
      <sheetData sheetId="6694">
        <row r="7">
          <cell r="AI7">
            <v>10000</v>
          </cell>
        </row>
      </sheetData>
      <sheetData sheetId="6695">
        <row r="7">
          <cell r="AI7">
            <v>10000</v>
          </cell>
        </row>
      </sheetData>
      <sheetData sheetId="6696">
        <row r="7">
          <cell r="AI7">
            <v>10000</v>
          </cell>
        </row>
      </sheetData>
      <sheetData sheetId="6697">
        <row r="7">
          <cell r="AI7">
            <v>10000</v>
          </cell>
        </row>
      </sheetData>
      <sheetData sheetId="6698">
        <row r="7">
          <cell r="AI7">
            <v>10000</v>
          </cell>
        </row>
      </sheetData>
      <sheetData sheetId="6699">
        <row r="7">
          <cell r="AI7">
            <v>10000</v>
          </cell>
        </row>
      </sheetData>
      <sheetData sheetId="6700">
        <row r="7">
          <cell r="AI7">
            <v>10000</v>
          </cell>
        </row>
      </sheetData>
      <sheetData sheetId="6701">
        <row r="7">
          <cell r="AI7">
            <v>10000</v>
          </cell>
        </row>
      </sheetData>
      <sheetData sheetId="6702">
        <row r="7">
          <cell r="AI7">
            <v>10000</v>
          </cell>
        </row>
      </sheetData>
      <sheetData sheetId="6703">
        <row r="7">
          <cell r="AI7">
            <v>10000</v>
          </cell>
        </row>
      </sheetData>
      <sheetData sheetId="6704">
        <row r="7">
          <cell r="AI7">
            <v>10000</v>
          </cell>
        </row>
      </sheetData>
      <sheetData sheetId="6705">
        <row r="7">
          <cell r="AI7">
            <v>10000</v>
          </cell>
        </row>
      </sheetData>
      <sheetData sheetId="6706">
        <row r="7">
          <cell r="AI7">
            <v>10000</v>
          </cell>
        </row>
      </sheetData>
      <sheetData sheetId="6707">
        <row r="7">
          <cell r="AI7">
            <v>10000</v>
          </cell>
        </row>
      </sheetData>
      <sheetData sheetId="6708">
        <row r="7">
          <cell r="AI7">
            <v>10000</v>
          </cell>
        </row>
      </sheetData>
      <sheetData sheetId="6709">
        <row r="7">
          <cell r="AI7">
            <v>10000</v>
          </cell>
        </row>
      </sheetData>
      <sheetData sheetId="6710">
        <row r="7">
          <cell r="AI7">
            <v>10000</v>
          </cell>
        </row>
      </sheetData>
      <sheetData sheetId="6711">
        <row r="7">
          <cell r="AI7">
            <v>10000</v>
          </cell>
        </row>
      </sheetData>
      <sheetData sheetId="6712">
        <row r="7">
          <cell r="AI7">
            <v>10000</v>
          </cell>
        </row>
      </sheetData>
      <sheetData sheetId="6713">
        <row r="7">
          <cell r="AI7">
            <v>10000</v>
          </cell>
        </row>
      </sheetData>
      <sheetData sheetId="6714">
        <row r="7">
          <cell r="AI7">
            <v>10000</v>
          </cell>
        </row>
      </sheetData>
      <sheetData sheetId="6715">
        <row r="7">
          <cell r="AI7">
            <v>10000</v>
          </cell>
        </row>
      </sheetData>
      <sheetData sheetId="6716">
        <row r="7">
          <cell r="AI7">
            <v>10000</v>
          </cell>
        </row>
      </sheetData>
      <sheetData sheetId="6717">
        <row r="7">
          <cell r="AI7">
            <v>10000</v>
          </cell>
        </row>
      </sheetData>
      <sheetData sheetId="6718">
        <row r="7">
          <cell r="AI7">
            <v>10000</v>
          </cell>
        </row>
      </sheetData>
      <sheetData sheetId="6719">
        <row r="7">
          <cell r="AI7">
            <v>10000</v>
          </cell>
        </row>
      </sheetData>
      <sheetData sheetId="6720">
        <row r="7">
          <cell r="AI7">
            <v>10000</v>
          </cell>
        </row>
      </sheetData>
      <sheetData sheetId="6721">
        <row r="7">
          <cell r="AI7">
            <v>10000</v>
          </cell>
        </row>
      </sheetData>
      <sheetData sheetId="6722">
        <row r="7">
          <cell r="AI7">
            <v>10000</v>
          </cell>
        </row>
      </sheetData>
      <sheetData sheetId="6723">
        <row r="7">
          <cell r="AI7">
            <v>10000</v>
          </cell>
        </row>
      </sheetData>
      <sheetData sheetId="6724">
        <row r="7">
          <cell r="AI7">
            <v>10000</v>
          </cell>
        </row>
      </sheetData>
      <sheetData sheetId="6725">
        <row r="7">
          <cell r="AI7">
            <v>10000</v>
          </cell>
        </row>
      </sheetData>
      <sheetData sheetId="6726">
        <row r="7">
          <cell r="AI7">
            <v>10000</v>
          </cell>
        </row>
      </sheetData>
      <sheetData sheetId="6727">
        <row r="7">
          <cell r="AI7">
            <v>10000</v>
          </cell>
        </row>
      </sheetData>
      <sheetData sheetId="6728">
        <row r="7">
          <cell r="AI7">
            <v>10000</v>
          </cell>
        </row>
      </sheetData>
      <sheetData sheetId="6729">
        <row r="7">
          <cell r="AI7">
            <v>10000</v>
          </cell>
        </row>
      </sheetData>
      <sheetData sheetId="6730">
        <row r="7">
          <cell r="AI7">
            <v>10000</v>
          </cell>
        </row>
      </sheetData>
      <sheetData sheetId="6731">
        <row r="7">
          <cell r="AI7">
            <v>10000</v>
          </cell>
        </row>
      </sheetData>
      <sheetData sheetId="6732">
        <row r="7">
          <cell r="AI7">
            <v>10000</v>
          </cell>
        </row>
      </sheetData>
      <sheetData sheetId="6733">
        <row r="7">
          <cell r="AI7">
            <v>10000</v>
          </cell>
        </row>
      </sheetData>
      <sheetData sheetId="6734">
        <row r="7">
          <cell r="AI7">
            <v>10000</v>
          </cell>
        </row>
      </sheetData>
      <sheetData sheetId="6735">
        <row r="7">
          <cell r="AI7">
            <v>10000</v>
          </cell>
        </row>
      </sheetData>
      <sheetData sheetId="6736">
        <row r="7">
          <cell r="AI7">
            <v>10000</v>
          </cell>
        </row>
      </sheetData>
      <sheetData sheetId="6737">
        <row r="7">
          <cell r="AI7">
            <v>10000</v>
          </cell>
        </row>
      </sheetData>
      <sheetData sheetId="6738">
        <row r="7">
          <cell r="AI7">
            <v>10000</v>
          </cell>
        </row>
      </sheetData>
      <sheetData sheetId="6739">
        <row r="7">
          <cell r="AI7">
            <v>10000</v>
          </cell>
        </row>
      </sheetData>
      <sheetData sheetId="6740">
        <row r="7">
          <cell r="AI7">
            <v>10000</v>
          </cell>
        </row>
      </sheetData>
      <sheetData sheetId="6741">
        <row r="7">
          <cell r="AI7">
            <v>10000</v>
          </cell>
        </row>
      </sheetData>
      <sheetData sheetId="6742">
        <row r="7">
          <cell r="AI7">
            <v>10000</v>
          </cell>
        </row>
      </sheetData>
      <sheetData sheetId="6743">
        <row r="7">
          <cell r="AI7">
            <v>10000</v>
          </cell>
        </row>
      </sheetData>
      <sheetData sheetId="6744">
        <row r="7">
          <cell r="AI7">
            <v>10000</v>
          </cell>
        </row>
      </sheetData>
      <sheetData sheetId="6745">
        <row r="7">
          <cell r="AI7">
            <v>10000</v>
          </cell>
        </row>
      </sheetData>
      <sheetData sheetId="6746">
        <row r="7">
          <cell r="AI7">
            <v>10000</v>
          </cell>
        </row>
      </sheetData>
      <sheetData sheetId="6747">
        <row r="7">
          <cell r="AI7">
            <v>10000</v>
          </cell>
        </row>
      </sheetData>
      <sheetData sheetId="6748">
        <row r="7">
          <cell r="AI7">
            <v>10000</v>
          </cell>
        </row>
      </sheetData>
      <sheetData sheetId="6749">
        <row r="7">
          <cell r="AI7">
            <v>10000</v>
          </cell>
        </row>
      </sheetData>
      <sheetData sheetId="6750">
        <row r="7">
          <cell r="AI7">
            <v>10000</v>
          </cell>
        </row>
      </sheetData>
      <sheetData sheetId="6751">
        <row r="7">
          <cell r="AI7">
            <v>10000</v>
          </cell>
        </row>
      </sheetData>
      <sheetData sheetId="6752">
        <row r="7">
          <cell r="AI7">
            <v>10000</v>
          </cell>
        </row>
      </sheetData>
      <sheetData sheetId="6753">
        <row r="7">
          <cell r="AI7">
            <v>10000</v>
          </cell>
        </row>
      </sheetData>
      <sheetData sheetId="6754">
        <row r="7">
          <cell r="AI7">
            <v>10000</v>
          </cell>
        </row>
      </sheetData>
      <sheetData sheetId="6755">
        <row r="7">
          <cell r="AI7">
            <v>10000</v>
          </cell>
        </row>
      </sheetData>
      <sheetData sheetId="6756">
        <row r="7">
          <cell r="AI7">
            <v>10000</v>
          </cell>
        </row>
      </sheetData>
      <sheetData sheetId="6757">
        <row r="7">
          <cell r="AI7">
            <v>10000</v>
          </cell>
        </row>
      </sheetData>
      <sheetData sheetId="6758">
        <row r="7">
          <cell r="AI7">
            <v>10000</v>
          </cell>
        </row>
      </sheetData>
      <sheetData sheetId="6759">
        <row r="7">
          <cell r="AI7">
            <v>10000</v>
          </cell>
        </row>
      </sheetData>
      <sheetData sheetId="6760">
        <row r="7">
          <cell r="AI7">
            <v>10000</v>
          </cell>
        </row>
      </sheetData>
      <sheetData sheetId="6761">
        <row r="7">
          <cell r="AI7">
            <v>10000</v>
          </cell>
        </row>
      </sheetData>
      <sheetData sheetId="6762">
        <row r="7">
          <cell r="AI7">
            <v>10000</v>
          </cell>
        </row>
      </sheetData>
      <sheetData sheetId="6763">
        <row r="7">
          <cell r="AI7">
            <v>10000</v>
          </cell>
        </row>
      </sheetData>
      <sheetData sheetId="6764">
        <row r="7">
          <cell r="AI7">
            <v>10000</v>
          </cell>
        </row>
      </sheetData>
      <sheetData sheetId="6765">
        <row r="7">
          <cell r="AI7">
            <v>10000</v>
          </cell>
        </row>
      </sheetData>
      <sheetData sheetId="6766">
        <row r="7">
          <cell r="AI7">
            <v>10000</v>
          </cell>
        </row>
      </sheetData>
      <sheetData sheetId="6767">
        <row r="7">
          <cell r="AI7">
            <v>10000</v>
          </cell>
        </row>
      </sheetData>
      <sheetData sheetId="6768">
        <row r="7">
          <cell r="AI7">
            <v>10000</v>
          </cell>
        </row>
      </sheetData>
      <sheetData sheetId="6769">
        <row r="7">
          <cell r="AI7">
            <v>10000</v>
          </cell>
        </row>
      </sheetData>
      <sheetData sheetId="6770">
        <row r="7">
          <cell r="AI7">
            <v>10000</v>
          </cell>
        </row>
      </sheetData>
      <sheetData sheetId="6771">
        <row r="7">
          <cell r="AI7">
            <v>10000</v>
          </cell>
        </row>
      </sheetData>
      <sheetData sheetId="6772">
        <row r="7">
          <cell r="AI7">
            <v>10000</v>
          </cell>
        </row>
      </sheetData>
      <sheetData sheetId="6773">
        <row r="7">
          <cell r="AI7">
            <v>10000</v>
          </cell>
        </row>
      </sheetData>
      <sheetData sheetId="6774">
        <row r="7">
          <cell r="AI7">
            <v>10000</v>
          </cell>
        </row>
      </sheetData>
      <sheetData sheetId="6775">
        <row r="7">
          <cell r="AI7">
            <v>10000</v>
          </cell>
        </row>
      </sheetData>
      <sheetData sheetId="6776">
        <row r="7">
          <cell r="AI7">
            <v>10000</v>
          </cell>
        </row>
      </sheetData>
      <sheetData sheetId="6777">
        <row r="7">
          <cell r="AI7">
            <v>10000</v>
          </cell>
        </row>
      </sheetData>
      <sheetData sheetId="6778">
        <row r="7">
          <cell r="AI7">
            <v>10000</v>
          </cell>
        </row>
      </sheetData>
      <sheetData sheetId="6779">
        <row r="7">
          <cell r="AI7">
            <v>10000</v>
          </cell>
        </row>
      </sheetData>
      <sheetData sheetId="6780">
        <row r="7">
          <cell r="AI7">
            <v>10000</v>
          </cell>
        </row>
      </sheetData>
      <sheetData sheetId="6781">
        <row r="7">
          <cell r="AI7">
            <v>10000</v>
          </cell>
        </row>
      </sheetData>
      <sheetData sheetId="6782">
        <row r="7">
          <cell r="AI7">
            <v>10000</v>
          </cell>
        </row>
      </sheetData>
      <sheetData sheetId="6783">
        <row r="7">
          <cell r="AI7">
            <v>10000</v>
          </cell>
        </row>
      </sheetData>
      <sheetData sheetId="6784">
        <row r="7">
          <cell r="AI7">
            <v>10000</v>
          </cell>
        </row>
      </sheetData>
      <sheetData sheetId="6785">
        <row r="7">
          <cell r="AI7">
            <v>10000</v>
          </cell>
        </row>
      </sheetData>
      <sheetData sheetId="6786">
        <row r="7">
          <cell r="AI7">
            <v>10000</v>
          </cell>
        </row>
      </sheetData>
      <sheetData sheetId="6787">
        <row r="7">
          <cell r="AI7">
            <v>10000</v>
          </cell>
        </row>
      </sheetData>
      <sheetData sheetId="6788">
        <row r="7">
          <cell r="AI7">
            <v>10000</v>
          </cell>
        </row>
      </sheetData>
      <sheetData sheetId="6789">
        <row r="7">
          <cell r="AI7">
            <v>10000</v>
          </cell>
        </row>
      </sheetData>
      <sheetData sheetId="6790">
        <row r="7">
          <cell r="AI7">
            <v>10000</v>
          </cell>
        </row>
      </sheetData>
      <sheetData sheetId="6791">
        <row r="7">
          <cell r="AI7">
            <v>10000</v>
          </cell>
        </row>
      </sheetData>
      <sheetData sheetId="6792">
        <row r="7">
          <cell r="AI7">
            <v>10000</v>
          </cell>
        </row>
      </sheetData>
      <sheetData sheetId="6793">
        <row r="7">
          <cell r="AI7">
            <v>10000</v>
          </cell>
        </row>
      </sheetData>
      <sheetData sheetId="6794">
        <row r="7">
          <cell r="AI7">
            <v>10000</v>
          </cell>
        </row>
      </sheetData>
      <sheetData sheetId="6795">
        <row r="7">
          <cell r="AI7">
            <v>10000</v>
          </cell>
        </row>
      </sheetData>
      <sheetData sheetId="6796">
        <row r="7">
          <cell r="AI7">
            <v>10000</v>
          </cell>
        </row>
      </sheetData>
      <sheetData sheetId="6797">
        <row r="7">
          <cell r="AI7">
            <v>10000</v>
          </cell>
        </row>
      </sheetData>
      <sheetData sheetId="6798">
        <row r="7">
          <cell r="AI7">
            <v>10000</v>
          </cell>
        </row>
      </sheetData>
      <sheetData sheetId="6799">
        <row r="7">
          <cell r="AI7">
            <v>10000</v>
          </cell>
        </row>
      </sheetData>
      <sheetData sheetId="6800">
        <row r="7">
          <cell r="AI7">
            <v>10000</v>
          </cell>
        </row>
      </sheetData>
      <sheetData sheetId="6801">
        <row r="7">
          <cell r="AI7">
            <v>10000</v>
          </cell>
        </row>
      </sheetData>
      <sheetData sheetId="6802">
        <row r="7">
          <cell r="AI7">
            <v>10000</v>
          </cell>
        </row>
      </sheetData>
      <sheetData sheetId="6803">
        <row r="7">
          <cell r="AI7">
            <v>10000</v>
          </cell>
        </row>
      </sheetData>
      <sheetData sheetId="6804">
        <row r="7">
          <cell r="AI7">
            <v>10000</v>
          </cell>
        </row>
      </sheetData>
      <sheetData sheetId="6805">
        <row r="7">
          <cell r="AI7">
            <v>10000</v>
          </cell>
        </row>
      </sheetData>
      <sheetData sheetId="6806">
        <row r="7">
          <cell r="AI7">
            <v>10000</v>
          </cell>
        </row>
      </sheetData>
      <sheetData sheetId="6807">
        <row r="7">
          <cell r="AI7">
            <v>10000</v>
          </cell>
        </row>
      </sheetData>
      <sheetData sheetId="6808">
        <row r="7">
          <cell r="AI7">
            <v>10000</v>
          </cell>
        </row>
      </sheetData>
      <sheetData sheetId="6809">
        <row r="7">
          <cell r="AI7">
            <v>10000</v>
          </cell>
        </row>
      </sheetData>
      <sheetData sheetId="6810">
        <row r="7">
          <cell r="AI7">
            <v>10000</v>
          </cell>
        </row>
      </sheetData>
      <sheetData sheetId="6811">
        <row r="7">
          <cell r="AI7">
            <v>10000</v>
          </cell>
        </row>
      </sheetData>
      <sheetData sheetId="6812">
        <row r="7">
          <cell r="AI7">
            <v>10000</v>
          </cell>
        </row>
      </sheetData>
      <sheetData sheetId="6813">
        <row r="7">
          <cell r="AI7">
            <v>10000</v>
          </cell>
        </row>
      </sheetData>
      <sheetData sheetId="6814">
        <row r="7">
          <cell r="AI7">
            <v>10000</v>
          </cell>
        </row>
      </sheetData>
      <sheetData sheetId="6815">
        <row r="7">
          <cell r="AI7">
            <v>10000</v>
          </cell>
        </row>
      </sheetData>
      <sheetData sheetId="6816">
        <row r="7">
          <cell r="AI7">
            <v>10000</v>
          </cell>
        </row>
      </sheetData>
      <sheetData sheetId="6817">
        <row r="7">
          <cell r="AI7">
            <v>10000</v>
          </cell>
        </row>
      </sheetData>
      <sheetData sheetId="6818">
        <row r="7">
          <cell r="AI7">
            <v>10000</v>
          </cell>
        </row>
      </sheetData>
      <sheetData sheetId="6819">
        <row r="7">
          <cell r="AI7">
            <v>10000</v>
          </cell>
        </row>
      </sheetData>
      <sheetData sheetId="6820">
        <row r="7">
          <cell r="AI7">
            <v>10000</v>
          </cell>
        </row>
      </sheetData>
      <sheetData sheetId="6821">
        <row r="7">
          <cell r="AI7">
            <v>10000</v>
          </cell>
        </row>
      </sheetData>
      <sheetData sheetId="6822">
        <row r="7">
          <cell r="AI7">
            <v>10000</v>
          </cell>
        </row>
      </sheetData>
      <sheetData sheetId="6823">
        <row r="7">
          <cell r="AI7">
            <v>10000</v>
          </cell>
        </row>
      </sheetData>
      <sheetData sheetId="6824">
        <row r="7">
          <cell r="AI7">
            <v>10000</v>
          </cell>
        </row>
      </sheetData>
      <sheetData sheetId="6825">
        <row r="7">
          <cell r="AI7">
            <v>10000</v>
          </cell>
        </row>
      </sheetData>
      <sheetData sheetId="6826">
        <row r="7">
          <cell r="AI7">
            <v>10000</v>
          </cell>
        </row>
      </sheetData>
      <sheetData sheetId="6827">
        <row r="7">
          <cell r="AI7">
            <v>10000</v>
          </cell>
        </row>
      </sheetData>
      <sheetData sheetId="6828">
        <row r="7">
          <cell r="AI7">
            <v>10000</v>
          </cell>
        </row>
      </sheetData>
      <sheetData sheetId="6829">
        <row r="7">
          <cell r="AI7">
            <v>10000</v>
          </cell>
        </row>
      </sheetData>
      <sheetData sheetId="6830">
        <row r="7">
          <cell r="AI7">
            <v>10000</v>
          </cell>
        </row>
      </sheetData>
      <sheetData sheetId="6831">
        <row r="7">
          <cell r="AI7">
            <v>10000</v>
          </cell>
        </row>
      </sheetData>
      <sheetData sheetId="6832">
        <row r="7">
          <cell r="AI7">
            <v>10000</v>
          </cell>
        </row>
      </sheetData>
      <sheetData sheetId="6833">
        <row r="7">
          <cell r="AI7">
            <v>10000</v>
          </cell>
        </row>
      </sheetData>
      <sheetData sheetId="6834">
        <row r="7">
          <cell r="AI7">
            <v>10000</v>
          </cell>
        </row>
      </sheetData>
      <sheetData sheetId="6835">
        <row r="7">
          <cell r="AI7">
            <v>10000</v>
          </cell>
        </row>
      </sheetData>
      <sheetData sheetId="6836">
        <row r="7">
          <cell r="AI7">
            <v>10000</v>
          </cell>
        </row>
      </sheetData>
      <sheetData sheetId="6837">
        <row r="7">
          <cell r="AI7">
            <v>10000</v>
          </cell>
        </row>
      </sheetData>
      <sheetData sheetId="6838">
        <row r="7">
          <cell r="AI7">
            <v>10000</v>
          </cell>
        </row>
      </sheetData>
      <sheetData sheetId="6839">
        <row r="7">
          <cell r="AI7">
            <v>10000</v>
          </cell>
        </row>
      </sheetData>
      <sheetData sheetId="6840">
        <row r="7">
          <cell r="AI7">
            <v>10000</v>
          </cell>
        </row>
      </sheetData>
      <sheetData sheetId="6841">
        <row r="7">
          <cell r="AI7">
            <v>10000</v>
          </cell>
        </row>
      </sheetData>
      <sheetData sheetId="6842">
        <row r="7">
          <cell r="AI7">
            <v>10000</v>
          </cell>
        </row>
      </sheetData>
      <sheetData sheetId="6843">
        <row r="7">
          <cell r="AI7">
            <v>10000</v>
          </cell>
        </row>
      </sheetData>
      <sheetData sheetId="6844">
        <row r="7">
          <cell r="AI7">
            <v>10000</v>
          </cell>
        </row>
      </sheetData>
      <sheetData sheetId="6845">
        <row r="7">
          <cell r="AI7">
            <v>10000</v>
          </cell>
        </row>
      </sheetData>
      <sheetData sheetId="6846">
        <row r="7">
          <cell r="AI7">
            <v>10000</v>
          </cell>
        </row>
      </sheetData>
      <sheetData sheetId="6847">
        <row r="7">
          <cell r="AI7">
            <v>10000</v>
          </cell>
        </row>
      </sheetData>
      <sheetData sheetId="6848">
        <row r="7">
          <cell r="AI7">
            <v>10000</v>
          </cell>
        </row>
      </sheetData>
      <sheetData sheetId="6849">
        <row r="7">
          <cell r="AI7">
            <v>10000</v>
          </cell>
        </row>
      </sheetData>
      <sheetData sheetId="6850">
        <row r="7">
          <cell r="AI7">
            <v>10000</v>
          </cell>
        </row>
      </sheetData>
      <sheetData sheetId="6851">
        <row r="7">
          <cell r="AI7">
            <v>10000</v>
          </cell>
        </row>
      </sheetData>
      <sheetData sheetId="6852">
        <row r="7">
          <cell r="AI7">
            <v>10000</v>
          </cell>
        </row>
      </sheetData>
      <sheetData sheetId="6853">
        <row r="7">
          <cell r="AI7">
            <v>10000</v>
          </cell>
        </row>
      </sheetData>
      <sheetData sheetId="6854">
        <row r="7">
          <cell r="AI7">
            <v>10000</v>
          </cell>
        </row>
      </sheetData>
      <sheetData sheetId="6855">
        <row r="7">
          <cell r="AI7">
            <v>10000</v>
          </cell>
        </row>
      </sheetData>
      <sheetData sheetId="6856">
        <row r="7">
          <cell r="AI7">
            <v>10000</v>
          </cell>
        </row>
      </sheetData>
      <sheetData sheetId="6857">
        <row r="7">
          <cell r="AI7">
            <v>10000</v>
          </cell>
        </row>
      </sheetData>
      <sheetData sheetId="6858">
        <row r="7">
          <cell r="AI7">
            <v>10000</v>
          </cell>
        </row>
      </sheetData>
      <sheetData sheetId="6859">
        <row r="7">
          <cell r="AI7">
            <v>10000</v>
          </cell>
        </row>
      </sheetData>
      <sheetData sheetId="6860">
        <row r="7">
          <cell r="AI7">
            <v>10000</v>
          </cell>
        </row>
      </sheetData>
      <sheetData sheetId="6861">
        <row r="7">
          <cell r="AI7">
            <v>10000</v>
          </cell>
        </row>
      </sheetData>
      <sheetData sheetId="6862">
        <row r="7">
          <cell r="AI7">
            <v>10000</v>
          </cell>
        </row>
      </sheetData>
      <sheetData sheetId="6863">
        <row r="7">
          <cell r="AI7">
            <v>10000</v>
          </cell>
        </row>
      </sheetData>
      <sheetData sheetId="6864">
        <row r="7">
          <cell r="AI7">
            <v>10000</v>
          </cell>
        </row>
      </sheetData>
      <sheetData sheetId="6865">
        <row r="7">
          <cell r="AI7">
            <v>10000</v>
          </cell>
        </row>
      </sheetData>
      <sheetData sheetId="6866">
        <row r="7">
          <cell r="AI7">
            <v>10000</v>
          </cell>
        </row>
      </sheetData>
      <sheetData sheetId="6867">
        <row r="7">
          <cell r="AI7">
            <v>10000</v>
          </cell>
        </row>
      </sheetData>
      <sheetData sheetId="6868">
        <row r="7">
          <cell r="AI7">
            <v>10000</v>
          </cell>
        </row>
      </sheetData>
      <sheetData sheetId="6869">
        <row r="7">
          <cell r="AI7">
            <v>10000</v>
          </cell>
        </row>
      </sheetData>
      <sheetData sheetId="6870">
        <row r="7">
          <cell r="AI7">
            <v>10000</v>
          </cell>
        </row>
      </sheetData>
      <sheetData sheetId="6871">
        <row r="7">
          <cell r="AI7">
            <v>10000</v>
          </cell>
        </row>
      </sheetData>
      <sheetData sheetId="6872">
        <row r="7">
          <cell r="AI7">
            <v>10000</v>
          </cell>
        </row>
      </sheetData>
      <sheetData sheetId="6873">
        <row r="7">
          <cell r="AI7">
            <v>10000</v>
          </cell>
        </row>
      </sheetData>
      <sheetData sheetId="6874">
        <row r="7">
          <cell r="AI7">
            <v>10000</v>
          </cell>
        </row>
      </sheetData>
      <sheetData sheetId="6875">
        <row r="7">
          <cell r="AI7">
            <v>10000</v>
          </cell>
        </row>
      </sheetData>
      <sheetData sheetId="6876">
        <row r="7">
          <cell r="AI7">
            <v>10000</v>
          </cell>
        </row>
      </sheetData>
      <sheetData sheetId="6877">
        <row r="7">
          <cell r="AI7">
            <v>10000</v>
          </cell>
        </row>
      </sheetData>
      <sheetData sheetId="6878">
        <row r="7">
          <cell r="AI7">
            <v>10000</v>
          </cell>
        </row>
      </sheetData>
      <sheetData sheetId="6879">
        <row r="7">
          <cell r="AI7">
            <v>10000</v>
          </cell>
        </row>
      </sheetData>
      <sheetData sheetId="6880">
        <row r="7">
          <cell r="AI7">
            <v>10000</v>
          </cell>
        </row>
      </sheetData>
      <sheetData sheetId="6881">
        <row r="7">
          <cell r="AI7">
            <v>10000</v>
          </cell>
        </row>
      </sheetData>
      <sheetData sheetId="6882">
        <row r="7">
          <cell r="AI7">
            <v>10000</v>
          </cell>
        </row>
      </sheetData>
      <sheetData sheetId="6883">
        <row r="7">
          <cell r="AI7">
            <v>10000</v>
          </cell>
        </row>
      </sheetData>
      <sheetData sheetId="6884">
        <row r="7">
          <cell r="AI7">
            <v>10000</v>
          </cell>
        </row>
      </sheetData>
      <sheetData sheetId="6885">
        <row r="7">
          <cell r="AI7">
            <v>10000</v>
          </cell>
        </row>
      </sheetData>
      <sheetData sheetId="6886">
        <row r="7">
          <cell r="AI7">
            <v>10000</v>
          </cell>
        </row>
      </sheetData>
      <sheetData sheetId="6887">
        <row r="7">
          <cell r="AI7">
            <v>10000</v>
          </cell>
        </row>
      </sheetData>
      <sheetData sheetId="6888">
        <row r="7">
          <cell r="AI7">
            <v>10000</v>
          </cell>
        </row>
      </sheetData>
      <sheetData sheetId="6889">
        <row r="7">
          <cell r="AI7">
            <v>10000</v>
          </cell>
        </row>
      </sheetData>
      <sheetData sheetId="6890">
        <row r="7">
          <cell r="AI7">
            <v>10000</v>
          </cell>
        </row>
      </sheetData>
      <sheetData sheetId="6891">
        <row r="7">
          <cell r="AI7">
            <v>10000</v>
          </cell>
        </row>
      </sheetData>
      <sheetData sheetId="6892">
        <row r="7">
          <cell r="AI7">
            <v>10000</v>
          </cell>
        </row>
      </sheetData>
      <sheetData sheetId="6893">
        <row r="7">
          <cell r="AI7">
            <v>10000</v>
          </cell>
        </row>
      </sheetData>
      <sheetData sheetId="6894">
        <row r="7">
          <cell r="AI7">
            <v>10000</v>
          </cell>
        </row>
      </sheetData>
      <sheetData sheetId="6895">
        <row r="7">
          <cell r="AI7">
            <v>10000</v>
          </cell>
        </row>
      </sheetData>
      <sheetData sheetId="6896">
        <row r="7">
          <cell r="AI7">
            <v>10000</v>
          </cell>
        </row>
      </sheetData>
      <sheetData sheetId="6897">
        <row r="7">
          <cell r="AI7">
            <v>10000</v>
          </cell>
        </row>
      </sheetData>
      <sheetData sheetId="6898">
        <row r="7">
          <cell r="AI7">
            <v>10000</v>
          </cell>
        </row>
      </sheetData>
      <sheetData sheetId="6899">
        <row r="7">
          <cell r="AI7">
            <v>10000</v>
          </cell>
        </row>
      </sheetData>
      <sheetData sheetId="6900">
        <row r="7">
          <cell r="AI7">
            <v>10000</v>
          </cell>
        </row>
      </sheetData>
      <sheetData sheetId="6901">
        <row r="7">
          <cell r="AI7">
            <v>10000</v>
          </cell>
        </row>
      </sheetData>
      <sheetData sheetId="6902">
        <row r="7">
          <cell r="AI7">
            <v>10000</v>
          </cell>
        </row>
      </sheetData>
      <sheetData sheetId="6903">
        <row r="7">
          <cell r="AI7">
            <v>10000</v>
          </cell>
        </row>
      </sheetData>
      <sheetData sheetId="6904">
        <row r="7">
          <cell r="AI7">
            <v>10000</v>
          </cell>
        </row>
      </sheetData>
      <sheetData sheetId="6905">
        <row r="7">
          <cell r="AI7">
            <v>10000</v>
          </cell>
        </row>
      </sheetData>
      <sheetData sheetId="6906">
        <row r="7">
          <cell r="AI7">
            <v>10000</v>
          </cell>
        </row>
      </sheetData>
      <sheetData sheetId="6907">
        <row r="7">
          <cell r="AI7">
            <v>10000</v>
          </cell>
        </row>
      </sheetData>
      <sheetData sheetId="6908">
        <row r="7">
          <cell r="AI7">
            <v>10000</v>
          </cell>
        </row>
      </sheetData>
      <sheetData sheetId="6909">
        <row r="7">
          <cell r="AI7">
            <v>10000</v>
          </cell>
        </row>
      </sheetData>
      <sheetData sheetId="6910">
        <row r="7">
          <cell r="AI7">
            <v>10000</v>
          </cell>
        </row>
      </sheetData>
      <sheetData sheetId="6911">
        <row r="7">
          <cell r="AI7">
            <v>10000</v>
          </cell>
        </row>
      </sheetData>
      <sheetData sheetId="6912">
        <row r="7">
          <cell r="AI7">
            <v>10000</v>
          </cell>
        </row>
      </sheetData>
      <sheetData sheetId="6913">
        <row r="7">
          <cell r="AI7">
            <v>10000</v>
          </cell>
        </row>
      </sheetData>
      <sheetData sheetId="6914">
        <row r="7">
          <cell r="AI7">
            <v>10000</v>
          </cell>
        </row>
      </sheetData>
      <sheetData sheetId="6915">
        <row r="7">
          <cell r="AI7">
            <v>10000</v>
          </cell>
        </row>
      </sheetData>
      <sheetData sheetId="6916">
        <row r="7">
          <cell r="AI7">
            <v>10000</v>
          </cell>
        </row>
      </sheetData>
      <sheetData sheetId="6917">
        <row r="7">
          <cell r="AI7">
            <v>10000</v>
          </cell>
        </row>
      </sheetData>
      <sheetData sheetId="6918">
        <row r="7">
          <cell r="AI7">
            <v>10000</v>
          </cell>
        </row>
      </sheetData>
      <sheetData sheetId="6919">
        <row r="7">
          <cell r="AI7">
            <v>10000</v>
          </cell>
        </row>
      </sheetData>
      <sheetData sheetId="6920">
        <row r="7">
          <cell r="AI7">
            <v>10000</v>
          </cell>
        </row>
      </sheetData>
      <sheetData sheetId="6921">
        <row r="7">
          <cell r="AI7">
            <v>10000</v>
          </cell>
        </row>
      </sheetData>
      <sheetData sheetId="6922">
        <row r="7">
          <cell r="AI7">
            <v>10000</v>
          </cell>
        </row>
      </sheetData>
      <sheetData sheetId="6923">
        <row r="7">
          <cell r="AI7">
            <v>10000</v>
          </cell>
        </row>
      </sheetData>
      <sheetData sheetId="6924">
        <row r="7">
          <cell r="AI7">
            <v>10000</v>
          </cell>
        </row>
      </sheetData>
      <sheetData sheetId="6925">
        <row r="7">
          <cell r="AI7">
            <v>10000</v>
          </cell>
        </row>
      </sheetData>
      <sheetData sheetId="6926">
        <row r="7">
          <cell r="AI7">
            <v>10000</v>
          </cell>
        </row>
      </sheetData>
      <sheetData sheetId="6927">
        <row r="7">
          <cell r="AI7">
            <v>10000</v>
          </cell>
        </row>
      </sheetData>
      <sheetData sheetId="6928">
        <row r="7">
          <cell r="AI7">
            <v>10000</v>
          </cell>
        </row>
      </sheetData>
      <sheetData sheetId="6929">
        <row r="7">
          <cell r="AI7">
            <v>10000</v>
          </cell>
        </row>
      </sheetData>
      <sheetData sheetId="6930">
        <row r="7">
          <cell r="AI7">
            <v>10000</v>
          </cell>
        </row>
      </sheetData>
      <sheetData sheetId="6931">
        <row r="7">
          <cell r="AI7">
            <v>10000</v>
          </cell>
        </row>
      </sheetData>
      <sheetData sheetId="6932">
        <row r="7">
          <cell r="AI7">
            <v>10000</v>
          </cell>
        </row>
      </sheetData>
      <sheetData sheetId="6933">
        <row r="7">
          <cell r="AI7">
            <v>10000</v>
          </cell>
        </row>
      </sheetData>
      <sheetData sheetId="6934">
        <row r="7">
          <cell r="AI7">
            <v>10000</v>
          </cell>
        </row>
      </sheetData>
      <sheetData sheetId="6935">
        <row r="7">
          <cell r="AI7">
            <v>10000</v>
          </cell>
        </row>
      </sheetData>
      <sheetData sheetId="6936">
        <row r="7">
          <cell r="AI7">
            <v>10000</v>
          </cell>
        </row>
      </sheetData>
      <sheetData sheetId="6937">
        <row r="7">
          <cell r="AI7">
            <v>10000</v>
          </cell>
        </row>
      </sheetData>
      <sheetData sheetId="6938">
        <row r="7">
          <cell r="AI7">
            <v>10000</v>
          </cell>
        </row>
      </sheetData>
      <sheetData sheetId="6939">
        <row r="7">
          <cell r="AI7">
            <v>10000</v>
          </cell>
        </row>
      </sheetData>
      <sheetData sheetId="6940">
        <row r="7">
          <cell r="AI7">
            <v>10000</v>
          </cell>
        </row>
      </sheetData>
      <sheetData sheetId="6941">
        <row r="7">
          <cell r="AI7">
            <v>10000</v>
          </cell>
        </row>
      </sheetData>
      <sheetData sheetId="6942">
        <row r="7">
          <cell r="AI7">
            <v>10000</v>
          </cell>
        </row>
      </sheetData>
      <sheetData sheetId="6943">
        <row r="7">
          <cell r="AI7">
            <v>10000</v>
          </cell>
        </row>
      </sheetData>
      <sheetData sheetId="6944">
        <row r="7">
          <cell r="AI7">
            <v>10000</v>
          </cell>
        </row>
      </sheetData>
      <sheetData sheetId="6945">
        <row r="7">
          <cell r="AI7">
            <v>10000</v>
          </cell>
        </row>
      </sheetData>
      <sheetData sheetId="6946">
        <row r="7">
          <cell r="AI7">
            <v>10000</v>
          </cell>
        </row>
      </sheetData>
      <sheetData sheetId="6947">
        <row r="7">
          <cell r="AI7">
            <v>10000</v>
          </cell>
        </row>
      </sheetData>
      <sheetData sheetId="6948">
        <row r="7">
          <cell r="AI7">
            <v>10000</v>
          </cell>
        </row>
      </sheetData>
      <sheetData sheetId="6949">
        <row r="7">
          <cell r="AI7">
            <v>10000</v>
          </cell>
        </row>
      </sheetData>
      <sheetData sheetId="6950">
        <row r="7">
          <cell r="AI7">
            <v>10000</v>
          </cell>
        </row>
      </sheetData>
      <sheetData sheetId="6951">
        <row r="7">
          <cell r="AI7">
            <v>10000</v>
          </cell>
        </row>
      </sheetData>
      <sheetData sheetId="6952">
        <row r="7">
          <cell r="AI7">
            <v>10000</v>
          </cell>
        </row>
      </sheetData>
      <sheetData sheetId="6953">
        <row r="7">
          <cell r="AI7">
            <v>10000</v>
          </cell>
        </row>
      </sheetData>
      <sheetData sheetId="6954">
        <row r="7">
          <cell r="AI7">
            <v>10000</v>
          </cell>
        </row>
      </sheetData>
      <sheetData sheetId="6955">
        <row r="7">
          <cell r="AI7">
            <v>10000</v>
          </cell>
        </row>
      </sheetData>
      <sheetData sheetId="6956">
        <row r="7">
          <cell r="AI7">
            <v>10000</v>
          </cell>
        </row>
      </sheetData>
      <sheetData sheetId="6957">
        <row r="7">
          <cell r="AI7">
            <v>10000</v>
          </cell>
        </row>
      </sheetData>
      <sheetData sheetId="6958">
        <row r="7">
          <cell r="AI7">
            <v>10000</v>
          </cell>
        </row>
      </sheetData>
      <sheetData sheetId="6959">
        <row r="7">
          <cell r="AI7">
            <v>10000</v>
          </cell>
        </row>
      </sheetData>
      <sheetData sheetId="6960">
        <row r="7">
          <cell r="AI7">
            <v>10000</v>
          </cell>
        </row>
      </sheetData>
      <sheetData sheetId="6961">
        <row r="7">
          <cell r="AI7">
            <v>10000</v>
          </cell>
        </row>
      </sheetData>
      <sheetData sheetId="6962">
        <row r="7">
          <cell r="AI7">
            <v>10000</v>
          </cell>
        </row>
      </sheetData>
      <sheetData sheetId="6963">
        <row r="7">
          <cell r="AI7">
            <v>10000</v>
          </cell>
        </row>
      </sheetData>
      <sheetData sheetId="6964">
        <row r="7">
          <cell r="AI7">
            <v>10000</v>
          </cell>
        </row>
      </sheetData>
      <sheetData sheetId="6965">
        <row r="7">
          <cell r="AI7">
            <v>10000</v>
          </cell>
        </row>
      </sheetData>
      <sheetData sheetId="6966">
        <row r="7">
          <cell r="AI7">
            <v>10000</v>
          </cell>
        </row>
      </sheetData>
      <sheetData sheetId="6967">
        <row r="7">
          <cell r="AI7">
            <v>10000</v>
          </cell>
        </row>
      </sheetData>
      <sheetData sheetId="6968">
        <row r="7">
          <cell r="AI7">
            <v>10000</v>
          </cell>
        </row>
      </sheetData>
      <sheetData sheetId="6969">
        <row r="7">
          <cell r="AI7">
            <v>10000</v>
          </cell>
        </row>
      </sheetData>
      <sheetData sheetId="6970">
        <row r="7">
          <cell r="AI7">
            <v>10000</v>
          </cell>
        </row>
      </sheetData>
      <sheetData sheetId="6971">
        <row r="7">
          <cell r="AI7">
            <v>10000</v>
          </cell>
        </row>
      </sheetData>
      <sheetData sheetId="6972">
        <row r="7">
          <cell r="AI7">
            <v>10000</v>
          </cell>
        </row>
      </sheetData>
      <sheetData sheetId="6973">
        <row r="7">
          <cell r="AI7">
            <v>10000</v>
          </cell>
        </row>
      </sheetData>
      <sheetData sheetId="6974">
        <row r="7">
          <cell r="AI7">
            <v>10000</v>
          </cell>
        </row>
      </sheetData>
      <sheetData sheetId="6975">
        <row r="7">
          <cell r="AI7">
            <v>10000</v>
          </cell>
        </row>
      </sheetData>
      <sheetData sheetId="6976">
        <row r="7">
          <cell r="AI7">
            <v>10000</v>
          </cell>
        </row>
      </sheetData>
      <sheetData sheetId="6977">
        <row r="7">
          <cell r="AI7">
            <v>10000</v>
          </cell>
        </row>
      </sheetData>
      <sheetData sheetId="6978">
        <row r="7">
          <cell r="AI7">
            <v>10000</v>
          </cell>
        </row>
      </sheetData>
      <sheetData sheetId="6979">
        <row r="7">
          <cell r="AI7">
            <v>10000</v>
          </cell>
        </row>
      </sheetData>
      <sheetData sheetId="6980">
        <row r="7">
          <cell r="AI7">
            <v>10000</v>
          </cell>
        </row>
      </sheetData>
      <sheetData sheetId="6981">
        <row r="7">
          <cell r="AI7">
            <v>10000</v>
          </cell>
        </row>
      </sheetData>
      <sheetData sheetId="6982">
        <row r="7">
          <cell r="AI7">
            <v>10000</v>
          </cell>
        </row>
      </sheetData>
      <sheetData sheetId="6983">
        <row r="7">
          <cell r="AI7">
            <v>10000</v>
          </cell>
        </row>
      </sheetData>
      <sheetData sheetId="6984">
        <row r="7">
          <cell r="AI7">
            <v>10000</v>
          </cell>
        </row>
      </sheetData>
      <sheetData sheetId="6985">
        <row r="7">
          <cell r="AI7">
            <v>10000</v>
          </cell>
        </row>
      </sheetData>
      <sheetData sheetId="6986">
        <row r="7">
          <cell r="AI7">
            <v>10000</v>
          </cell>
        </row>
      </sheetData>
      <sheetData sheetId="6987">
        <row r="7">
          <cell r="AI7">
            <v>10000</v>
          </cell>
        </row>
      </sheetData>
      <sheetData sheetId="6988">
        <row r="7">
          <cell r="AI7">
            <v>10000</v>
          </cell>
        </row>
      </sheetData>
      <sheetData sheetId="6989">
        <row r="7">
          <cell r="AI7">
            <v>10000</v>
          </cell>
        </row>
      </sheetData>
      <sheetData sheetId="6990">
        <row r="7">
          <cell r="AI7">
            <v>10000</v>
          </cell>
        </row>
      </sheetData>
      <sheetData sheetId="6991">
        <row r="7">
          <cell r="AI7">
            <v>10000</v>
          </cell>
        </row>
      </sheetData>
      <sheetData sheetId="6992">
        <row r="7">
          <cell r="AI7">
            <v>10000</v>
          </cell>
        </row>
      </sheetData>
      <sheetData sheetId="6993">
        <row r="7">
          <cell r="AI7">
            <v>10000</v>
          </cell>
        </row>
      </sheetData>
      <sheetData sheetId="6994">
        <row r="7">
          <cell r="AI7">
            <v>10000</v>
          </cell>
        </row>
      </sheetData>
      <sheetData sheetId="6995">
        <row r="7">
          <cell r="AI7">
            <v>10000</v>
          </cell>
        </row>
      </sheetData>
      <sheetData sheetId="6996">
        <row r="7">
          <cell r="AI7">
            <v>10000</v>
          </cell>
        </row>
      </sheetData>
      <sheetData sheetId="6997">
        <row r="7">
          <cell r="AI7">
            <v>10000</v>
          </cell>
        </row>
      </sheetData>
      <sheetData sheetId="6998">
        <row r="7">
          <cell r="AI7">
            <v>10000</v>
          </cell>
        </row>
      </sheetData>
      <sheetData sheetId="6999">
        <row r="7">
          <cell r="AI7">
            <v>10000</v>
          </cell>
        </row>
      </sheetData>
      <sheetData sheetId="7000">
        <row r="7">
          <cell r="AI7">
            <v>10000</v>
          </cell>
        </row>
      </sheetData>
      <sheetData sheetId="7001">
        <row r="7">
          <cell r="AI7">
            <v>10000</v>
          </cell>
        </row>
      </sheetData>
      <sheetData sheetId="7002">
        <row r="7">
          <cell r="AI7">
            <v>10000</v>
          </cell>
        </row>
      </sheetData>
      <sheetData sheetId="7003">
        <row r="7">
          <cell r="AI7">
            <v>10000</v>
          </cell>
        </row>
      </sheetData>
      <sheetData sheetId="7004">
        <row r="7">
          <cell r="AI7">
            <v>10000</v>
          </cell>
        </row>
      </sheetData>
      <sheetData sheetId="7005">
        <row r="7">
          <cell r="AI7">
            <v>10000</v>
          </cell>
        </row>
      </sheetData>
      <sheetData sheetId="7006">
        <row r="7">
          <cell r="AI7">
            <v>10000</v>
          </cell>
        </row>
      </sheetData>
      <sheetData sheetId="7007">
        <row r="7">
          <cell r="AI7">
            <v>10000</v>
          </cell>
        </row>
      </sheetData>
      <sheetData sheetId="7008">
        <row r="7">
          <cell r="AI7">
            <v>10000</v>
          </cell>
        </row>
      </sheetData>
      <sheetData sheetId="7009">
        <row r="7">
          <cell r="AI7">
            <v>10000</v>
          </cell>
        </row>
      </sheetData>
      <sheetData sheetId="7010">
        <row r="7">
          <cell r="AI7">
            <v>10000</v>
          </cell>
        </row>
      </sheetData>
      <sheetData sheetId="7011">
        <row r="7">
          <cell r="AI7">
            <v>10000</v>
          </cell>
        </row>
      </sheetData>
      <sheetData sheetId="7012">
        <row r="7">
          <cell r="AI7">
            <v>10000</v>
          </cell>
        </row>
      </sheetData>
      <sheetData sheetId="7013">
        <row r="7">
          <cell r="AI7">
            <v>10000</v>
          </cell>
        </row>
      </sheetData>
      <sheetData sheetId="7014">
        <row r="7">
          <cell r="AI7">
            <v>10000</v>
          </cell>
        </row>
      </sheetData>
      <sheetData sheetId="7015">
        <row r="7">
          <cell r="AI7">
            <v>10000</v>
          </cell>
        </row>
      </sheetData>
      <sheetData sheetId="7016">
        <row r="7">
          <cell r="AI7">
            <v>10000</v>
          </cell>
        </row>
      </sheetData>
      <sheetData sheetId="7017">
        <row r="7">
          <cell r="AI7">
            <v>10000</v>
          </cell>
        </row>
      </sheetData>
      <sheetData sheetId="7018">
        <row r="7">
          <cell r="AI7">
            <v>10000</v>
          </cell>
        </row>
      </sheetData>
      <sheetData sheetId="7019">
        <row r="7">
          <cell r="AI7">
            <v>10000</v>
          </cell>
        </row>
      </sheetData>
      <sheetData sheetId="7020">
        <row r="7">
          <cell r="AI7">
            <v>10000</v>
          </cell>
        </row>
      </sheetData>
      <sheetData sheetId="7021">
        <row r="7">
          <cell r="AI7">
            <v>10000</v>
          </cell>
        </row>
      </sheetData>
      <sheetData sheetId="7022">
        <row r="7">
          <cell r="AI7">
            <v>10000</v>
          </cell>
        </row>
      </sheetData>
      <sheetData sheetId="7023">
        <row r="7">
          <cell r="AI7">
            <v>10000</v>
          </cell>
        </row>
      </sheetData>
      <sheetData sheetId="7024">
        <row r="7">
          <cell r="AI7">
            <v>10000</v>
          </cell>
        </row>
      </sheetData>
      <sheetData sheetId="7025">
        <row r="7">
          <cell r="AI7">
            <v>10000</v>
          </cell>
        </row>
      </sheetData>
      <sheetData sheetId="7026">
        <row r="7">
          <cell r="AI7">
            <v>10000</v>
          </cell>
        </row>
      </sheetData>
      <sheetData sheetId="7027">
        <row r="7">
          <cell r="AI7">
            <v>10000</v>
          </cell>
        </row>
      </sheetData>
      <sheetData sheetId="7028">
        <row r="7">
          <cell r="AI7">
            <v>10000</v>
          </cell>
        </row>
      </sheetData>
      <sheetData sheetId="7029">
        <row r="7">
          <cell r="AI7">
            <v>10000</v>
          </cell>
        </row>
      </sheetData>
      <sheetData sheetId="7030">
        <row r="7">
          <cell r="AI7">
            <v>10000</v>
          </cell>
        </row>
      </sheetData>
      <sheetData sheetId="7031">
        <row r="7">
          <cell r="AI7">
            <v>10000</v>
          </cell>
        </row>
      </sheetData>
      <sheetData sheetId="7032">
        <row r="7">
          <cell r="AI7">
            <v>10000</v>
          </cell>
        </row>
      </sheetData>
      <sheetData sheetId="7033">
        <row r="7">
          <cell r="AI7">
            <v>10000</v>
          </cell>
        </row>
      </sheetData>
      <sheetData sheetId="7034">
        <row r="7">
          <cell r="AI7">
            <v>10000</v>
          </cell>
        </row>
      </sheetData>
      <sheetData sheetId="7035">
        <row r="7">
          <cell r="AI7">
            <v>10000</v>
          </cell>
        </row>
      </sheetData>
      <sheetData sheetId="7036">
        <row r="7">
          <cell r="AI7">
            <v>10000</v>
          </cell>
        </row>
      </sheetData>
      <sheetData sheetId="7037">
        <row r="7">
          <cell r="AI7">
            <v>10000</v>
          </cell>
        </row>
      </sheetData>
      <sheetData sheetId="7038">
        <row r="7">
          <cell r="AI7">
            <v>10000</v>
          </cell>
        </row>
      </sheetData>
      <sheetData sheetId="7039">
        <row r="7">
          <cell r="AI7">
            <v>10000</v>
          </cell>
        </row>
      </sheetData>
      <sheetData sheetId="7040">
        <row r="7">
          <cell r="AI7">
            <v>10000</v>
          </cell>
        </row>
      </sheetData>
      <sheetData sheetId="7041">
        <row r="7">
          <cell r="AI7">
            <v>10000</v>
          </cell>
        </row>
      </sheetData>
      <sheetData sheetId="7042">
        <row r="7">
          <cell r="AI7">
            <v>10000</v>
          </cell>
        </row>
      </sheetData>
      <sheetData sheetId="7043">
        <row r="7">
          <cell r="AI7">
            <v>10000</v>
          </cell>
        </row>
      </sheetData>
      <sheetData sheetId="7044">
        <row r="7">
          <cell r="AI7">
            <v>10000</v>
          </cell>
        </row>
      </sheetData>
      <sheetData sheetId="7045">
        <row r="7">
          <cell r="AI7">
            <v>10000</v>
          </cell>
        </row>
      </sheetData>
      <sheetData sheetId="7046">
        <row r="7">
          <cell r="AI7">
            <v>10000</v>
          </cell>
        </row>
      </sheetData>
      <sheetData sheetId="7047">
        <row r="7">
          <cell r="AI7">
            <v>10000</v>
          </cell>
        </row>
      </sheetData>
      <sheetData sheetId="7048">
        <row r="7">
          <cell r="AI7">
            <v>10000</v>
          </cell>
        </row>
      </sheetData>
      <sheetData sheetId="7049">
        <row r="7">
          <cell r="AI7">
            <v>10000</v>
          </cell>
        </row>
      </sheetData>
      <sheetData sheetId="7050">
        <row r="7">
          <cell r="AI7">
            <v>10000</v>
          </cell>
        </row>
      </sheetData>
      <sheetData sheetId="7051">
        <row r="7">
          <cell r="AI7">
            <v>10000</v>
          </cell>
        </row>
      </sheetData>
      <sheetData sheetId="7052">
        <row r="7">
          <cell r="AI7">
            <v>10000</v>
          </cell>
        </row>
      </sheetData>
      <sheetData sheetId="7053">
        <row r="7">
          <cell r="AI7">
            <v>10000</v>
          </cell>
        </row>
      </sheetData>
      <sheetData sheetId="7054">
        <row r="7">
          <cell r="AI7">
            <v>10000</v>
          </cell>
        </row>
      </sheetData>
      <sheetData sheetId="7055">
        <row r="7">
          <cell r="AI7">
            <v>10000</v>
          </cell>
        </row>
      </sheetData>
      <sheetData sheetId="7056">
        <row r="7">
          <cell r="AI7">
            <v>10000</v>
          </cell>
        </row>
      </sheetData>
      <sheetData sheetId="7057">
        <row r="7">
          <cell r="AI7">
            <v>10000</v>
          </cell>
        </row>
      </sheetData>
      <sheetData sheetId="7058">
        <row r="7">
          <cell r="AI7">
            <v>10000</v>
          </cell>
        </row>
      </sheetData>
      <sheetData sheetId="7059">
        <row r="7">
          <cell r="AI7">
            <v>10000</v>
          </cell>
        </row>
      </sheetData>
      <sheetData sheetId="7060">
        <row r="7">
          <cell r="AI7">
            <v>10000</v>
          </cell>
        </row>
      </sheetData>
      <sheetData sheetId="7061">
        <row r="7">
          <cell r="AI7">
            <v>10000</v>
          </cell>
        </row>
      </sheetData>
      <sheetData sheetId="7062">
        <row r="7">
          <cell r="AI7">
            <v>10000</v>
          </cell>
        </row>
      </sheetData>
      <sheetData sheetId="7063">
        <row r="7">
          <cell r="AI7">
            <v>10000</v>
          </cell>
        </row>
      </sheetData>
      <sheetData sheetId="7064">
        <row r="7">
          <cell r="AI7">
            <v>10000</v>
          </cell>
        </row>
      </sheetData>
      <sheetData sheetId="7065">
        <row r="7">
          <cell r="AI7">
            <v>10000</v>
          </cell>
        </row>
      </sheetData>
      <sheetData sheetId="7066">
        <row r="7">
          <cell r="AI7">
            <v>10000</v>
          </cell>
        </row>
      </sheetData>
      <sheetData sheetId="7067">
        <row r="7">
          <cell r="AI7">
            <v>10000</v>
          </cell>
        </row>
      </sheetData>
      <sheetData sheetId="7068">
        <row r="7">
          <cell r="AI7">
            <v>10000</v>
          </cell>
        </row>
      </sheetData>
      <sheetData sheetId="7069">
        <row r="7">
          <cell r="AI7">
            <v>10000</v>
          </cell>
        </row>
      </sheetData>
      <sheetData sheetId="7070">
        <row r="7">
          <cell r="AI7">
            <v>10000</v>
          </cell>
        </row>
      </sheetData>
      <sheetData sheetId="7071">
        <row r="7">
          <cell r="AI7">
            <v>10000</v>
          </cell>
        </row>
      </sheetData>
      <sheetData sheetId="7072">
        <row r="7">
          <cell r="AI7">
            <v>10000</v>
          </cell>
        </row>
      </sheetData>
      <sheetData sheetId="7073">
        <row r="7">
          <cell r="AI7">
            <v>10000</v>
          </cell>
        </row>
      </sheetData>
      <sheetData sheetId="7074">
        <row r="7">
          <cell r="AI7">
            <v>10000</v>
          </cell>
        </row>
      </sheetData>
      <sheetData sheetId="7075">
        <row r="7">
          <cell r="AI7">
            <v>10000</v>
          </cell>
        </row>
      </sheetData>
      <sheetData sheetId="7076">
        <row r="7">
          <cell r="AI7">
            <v>10000</v>
          </cell>
        </row>
      </sheetData>
      <sheetData sheetId="7077">
        <row r="7">
          <cell r="AI7">
            <v>10000</v>
          </cell>
        </row>
      </sheetData>
      <sheetData sheetId="7078">
        <row r="7">
          <cell r="AI7">
            <v>10000</v>
          </cell>
        </row>
      </sheetData>
      <sheetData sheetId="7079">
        <row r="7">
          <cell r="AI7">
            <v>10000</v>
          </cell>
        </row>
      </sheetData>
      <sheetData sheetId="7080">
        <row r="7">
          <cell r="AI7">
            <v>10000</v>
          </cell>
        </row>
      </sheetData>
      <sheetData sheetId="7081">
        <row r="7">
          <cell r="AI7">
            <v>10000</v>
          </cell>
        </row>
      </sheetData>
      <sheetData sheetId="7082">
        <row r="7">
          <cell r="AI7">
            <v>10000</v>
          </cell>
        </row>
      </sheetData>
      <sheetData sheetId="7083">
        <row r="7">
          <cell r="AI7">
            <v>10000</v>
          </cell>
        </row>
      </sheetData>
      <sheetData sheetId="7084">
        <row r="7">
          <cell r="AI7">
            <v>10000</v>
          </cell>
        </row>
      </sheetData>
      <sheetData sheetId="7085">
        <row r="7">
          <cell r="AI7">
            <v>10000</v>
          </cell>
        </row>
      </sheetData>
      <sheetData sheetId="7086">
        <row r="7">
          <cell r="AI7">
            <v>10000</v>
          </cell>
        </row>
      </sheetData>
      <sheetData sheetId="7087">
        <row r="7">
          <cell r="AI7">
            <v>10000</v>
          </cell>
        </row>
      </sheetData>
      <sheetData sheetId="7088">
        <row r="7">
          <cell r="AI7">
            <v>10000</v>
          </cell>
        </row>
      </sheetData>
      <sheetData sheetId="7089">
        <row r="7">
          <cell r="AI7">
            <v>10000</v>
          </cell>
        </row>
      </sheetData>
      <sheetData sheetId="7090">
        <row r="7">
          <cell r="AI7">
            <v>10000</v>
          </cell>
        </row>
      </sheetData>
      <sheetData sheetId="7091">
        <row r="7">
          <cell r="AI7">
            <v>10000</v>
          </cell>
        </row>
      </sheetData>
      <sheetData sheetId="7092">
        <row r="7">
          <cell r="AI7">
            <v>10000</v>
          </cell>
        </row>
      </sheetData>
      <sheetData sheetId="7093">
        <row r="7">
          <cell r="AI7">
            <v>10000</v>
          </cell>
        </row>
      </sheetData>
      <sheetData sheetId="7094">
        <row r="7">
          <cell r="AI7">
            <v>10000</v>
          </cell>
        </row>
      </sheetData>
      <sheetData sheetId="7095">
        <row r="7">
          <cell r="AI7">
            <v>10000</v>
          </cell>
        </row>
      </sheetData>
      <sheetData sheetId="7096">
        <row r="7">
          <cell r="AI7">
            <v>10000</v>
          </cell>
        </row>
      </sheetData>
      <sheetData sheetId="7097">
        <row r="7">
          <cell r="AI7">
            <v>10000</v>
          </cell>
        </row>
      </sheetData>
      <sheetData sheetId="7098">
        <row r="7">
          <cell r="AI7">
            <v>10000</v>
          </cell>
        </row>
      </sheetData>
      <sheetData sheetId="7099">
        <row r="7">
          <cell r="AI7">
            <v>10000</v>
          </cell>
        </row>
      </sheetData>
      <sheetData sheetId="7100">
        <row r="7">
          <cell r="AI7">
            <v>10000</v>
          </cell>
        </row>
      </sheetData>
      <sheetData sheetId="7101">
        <row r="7">
          <cell r="AI7">
            <v>10000</v>
          </cell>
        </row>
      </sheetData>
      <sheetData sheetId="7102">
        <row r="7">
          <cell r="AI7">
            <v>10000</v>
          </cell>
        </row>
      </sheetData>
      <sheetData sheetId="7103">
        <row r="7">
          <cell r="AI7">
            <v>10000</v>
          </cell>
        </row>
      </sheetData>
      <sheetData sheetId="7104">
        <row r="7">
          <cell r="AI7">
            <v>10000</v>
          </cell>
        </row>
      </sheetData>
      <sheetData sheetId="7105">
        <row r="7">
          <cell r="AI7">
            <v>10000</v>
          </cell>
        </row>
      </sheetData>
      <sheetData sheetId="7106">
        <row r="7">
          <cell r="AI7">
            <v>10000</v>
          </cell>
        </row>
      </sheetData>
      <sheetData sheetId="7107">
        <row r="7">
          <cell r="AI7">
            <v>10000</v>
          </cell>
        </row>
      </sheetData>
      <sheetData sheetId="7108">
        <row r="7">
          <cell r="AI7">
            <v>10000</v>
          </cell>
        </row>
      </sheetData>
      <sheetData sheetId="7109">
        <row r="7">
          <cell r="AI7">
            <v>10000</v>
          </cell>
        </row>
      </sheetData>
      <sheetData sheetId="7110">
        <row r="7">
          <cell r="AI7">
            <v>10000</v>
          </cell>
        </row>
      </sheetData>
      <sheetData sheetId="7111">
        <row r="7">
          <cell r="AI7">
            <v>10000</v>
          </cell>
        </row>
      </sheetData>
      <sheetData sheetId="7112">
        <row r="7">
          <cell r="AI7">
            <v>10000</v>
          </cell>
        </row>
      </sheetData>
      <sheetData sheetId="7113">
        <row r="7">
          <cell r="AI7">
            <v>10000</v>
          </cell>
        </row>
      </sheetData>
      <sheetData sheetId="7114">
        <row r="7">
          <cell r="AI7">
            <v>10000</v>
          </cell>
        </row>
      </sheetData>
      <sheetData sheetId="7115">
        <row r="7">
          <cell r="AI7">
            <v>10000</v>
          </cell>
        </row>
      </sheetData>
      <sheetData sheetId="7116">
        <row r="7">
          <cell r="AI7">
            <v>10000</v>
          </cell>
        </row>
      </sheetData>
      <sheetData sheetId="7117">
        <row r="7">
          <cell r="AI7">
            <v>10000</v>
          </cell>
        </row>
      </sheetData>
      <sheetData sheetId="7118">
        <row r="7">
          <cell r="AI7">
            <v>10000</v>
          </cell>
        </row>
      </sheetData>
      <sheetData sheetId="7119">
        <row r="7">
          <cell r="AI7">
            <v>10000</v>
          </cell>
        </row>
      </sheetData>
      <sheetData sheetId="7120">
        <row r="7">
          <cell r="AI7">
            <v>10000</v>
          </cell>
        </row>
      </sheetData>
      <sheetData sheetId="7121">
        <row r="7">
          <cell r="AI7">
            <v>10000</v>
          </cell>
        </row>
      </sheetData>
      <sheetData sheetId="7122">
        <row r="7">
          <cell r="AI7">
            <v>10000</v>
          </cell>
        </row>
      </sheetData>
      <sheetData sheetId="7123">
        <row r="7">
          <cell r="AI7">
            <v>10000</v>
          </cell>
        </row>
      </sheetData>
      <sheetData sheetId="7124">
        <row r="7">
          <cell r="AI7">
            <v>10000</v>
          </cell>
        </row>
      </sheetData>
      <sheetData sheetId="7125">
        <row r="7">
          <cell r="AI7">
            <v>10000</v>
          </cell>
        </row>
      </sheetData>
      <sheetData sheetId="7126">
        <row r="7">
          <cell r="AI7">
            <v>10000</v>
          </cell>
        </row>
      </sheetData>
      <sheetData sheetId="7127">
        <row r="7">
          <cell r="AI7">
            <v>10000</v>
          </cell>
        </row>
      </sheetData>
      <sheetData sheetId="7128">
        <row r="7">
          <cell r="AI7">
            <v>10000</v>
          </cell>
        </row>
      </sheetData>
      <sheetData sheetId="7129">
        <row r="7">
          <cell r="AI7">
            <v>10000</v>
          </cell>
        </row>
      </sheetData>
      <sheetData sheetId="7130">
        <row r="7">
          <cell r="AI7">
            <v>10000</v>
          </cell>
        </row>
      </sheetData>
      <sheetData sheetId="7131">
        <row r="7">
          <cell r="AI7">
            <v>10000</v>
          </cell>
        </row>
      </sheetData>
      <sheetData sheetId="7132">
        <row r="7">
          <cell r="AI7">
            <v>10000</v>
          </cell>
        </row>
      </sheetData>
      <sheetData sheetId="7133">
        <row r="7">
          <cell r="AI7">
            <v>10000</v>
          </cell>
        </row>
      </sheetData>
      <sheetData sheetId="7134">
        <row r="7">
          <cell r="AI7">
            <v>10000</v>
          </cell>
        </row>
      </sheetData>
      <sheetData sheetId="7135">
        <row r="7">
          <cell r="AI7">
            <v>10000</v>
          </cell>
        </row>
      </sheetData>
      <sheetData sheetId="7136">
        <row r="7">
          <cell r="AI7">
            <v>10000</v>
          </cell>
        </row>
      </sheetData>
      <sheetData sheetId="7137">
        <row r="7">
          <cell r="AI7">
            <v>10000</v>
          </cell>
        </row>
      </sheetData>
      <sheetData sheetId="7138">
        <row r="7">
          <cell r="AI7">
            <v>10000</v>
          </cell>
        </row>
      </sheetData>
      <sheetData sheetId="7139">
        <row r="7">
          <cell r="AI7">
            <v>10000</v>
          </cell>
        </row>
      </sheetData>
      <sheetData sheetId="7140">
        <row r="7">
          <cell r="AI7">
            <v>10000</v>
          </cell>
        </row>
      </sheetData>
      <sheetData sheetId="7141">
        <row r="7">
          <cell r="AI7">
            <v>10000</v>
          </cell>
        </row>
      </sheetData>
      <sheetData sheetId="7142">
        <row r="7">
          <cell r="AI7">
            <v>10000</v>
          </cell>
        </row>
      </sheetData>
      <sheetData sheetId="7143">
        <row r="7">
          <cell r="AI7">
            <v>10000</v>
          </cell>
        </row>
      </sheetData>
      <sheetData sheetId="7144">
        <row r="7">
          <cell r="AI7">
            <v>10000</v>
          </cell>
        </row>
      </sheetData>
      <sheetData sheetId="7145">
        <row r="7">
          <cell r="AI7">
            <v>10000</v>
          </cell>
        </row>
      </sheetData>
      <sheetData sheetId="7146">
        <row r="7">
          <cell r="AI7">
            <v>10000</v>
          </cell>
        </row>
      </sheetData>
      <sheetData sheetId="7147">
        <row r="7">
          <cell r="AI7">
            <v>10000</v>
          </cell>
        </row>
      </sheetData>
      <sheetData sheetId="7148">
        <row r="7">
          <cell r="AI7">
            <v>10000</v>
          </cell>
        </row>
      </sheetData>
      <sheetData sheetId="7149">
        <row r="7">
          <cell r="AI7">
            <v>10000</v>
          </cell>
        </row>
      </sheetData>
      <sheetData sheetId="7150">
        <row r="7">
          <cell r="AI7">
            <v>10000</v>
          </cell>
        </row>
      </sheetData>
      <sheetData sheetId="7151">
        <row r="7">
          <cell r="AI7">
            <v>10000</v>
          </cell>
        </row>
      </sheetData>
      <sheetData sheetId="7152">
        <row r="7">
          <cell r="AI7">
            <v>10000</v>
          </cell>
        </row>
      </sheetData>
      <sheetData sheetId="7153">
        <row r="7">
          <cell r="AI7">
            <v>10000</v>
          </cell>
        </row>
      </sheetData>
      <sheetData sheetId="7154">
        <row r="7">
          <cell r="AI7">
            <v>10000</v>
          </cell>
        </row>
      </sheetData>
      <sheetData sheetId="7155">
        <row r="7">
          <cell r="AI7">
            <v>10000</v>
          </cell>
        </row>
      </sheetData>
      <sheetData sheetId="7156">
        <row r="7">
          <cell r="AI7">
            <v>10000</v>
          </cell>
        </row>
      </sheetData>
      <sheetData sheetId="7157">
        <row r="7">
          <cell r="AI7">
            <v>10000</v>
          </cell>
        </row>
      </sheetData>
      <sheetData sheetId="7158">
        <row r="7">
          <cell r="AI7">
            <v>10000</v>
          </cell>
        </row>
      </sheetData>
      <sheetData sheetId="7159">
        <row r="7">
          <cell r="AI7">
            <v>10000</v>
          </cell>
        </row>
      </sheetData>
      <sheetData sheetId="7160">
        <row r="7">
          <cell r="AI7">
            <v>10000</v>
          </cell>
        </row>
      </sheetData>
      <sheetData sheetId="7161">
        <row r="7">
          <cell r="AI7">
            <v>10000</v>
          </cell>
        </row>
      </sheetData>
      <sheetData sheetId="7162">
        <row r="7">
          <cell r="AI7">
            <v>10000</v>
          </cell>
        </row>
      </sheetData>
      <sheetData sheetId="7163">
        <row r="7">
          <cell r="AI7">
            <v>10000</v>
          </cell>
        </row>
      </sheetData>
      <sheetData sheetId="7164">
        <row r="7">
          <cell r="AI7">
            <v>10000</v>
          </cell>
        </row>
      </sheetData>
      <sheetData sheetId="7165">
        <row r="7">
          <cell r="AI7">
            <v>10000</v>
          </cell>
        </row>
      </sheetData>
      <sheetData sheetId="7166">
        <row r="7">
          <cell r="AI7">
            <v>10000</v>
          </cell>
        </row>
      </sheetData>
      <sheetData sheetId="7167">
        <row r="7">
          <cell r="AI7">
            <v>10000</v>
          </cell>
        </row>
      </sheetData>
      <sheetData sheetId="7168">
        <row r="7">
          <cell r="AI7">
            <v>10000</v>
          </cell>
        </row>
      </sheetData>
      <sheetData sheetId="7169">
        <row r="7">
          <cell r="AI7">
            <v>10000</v>
          </cell>
        </row>
      </sheetData>
      <sheetData sheetId="7170">
        <row r="7">
          <cell r="AI7">
            <v>10000</v>
          </cell>
        </row>
      </sheetData>
      <sheetData sheetId="7171">
        <row r="7">
          <cell r="AI7">
            <v>10000</v>
          </cell>
        </row>
      </sheetData>
      <sheetData sheetId="7172">
        <row r="7">
          <cell r="AI7">
            <v>10000</v>
          </cell>
        </row>
      </sheetData>
      <sheetData sheetId="7173">
        <row r="7">
          <cell r="AI7">
            <v>10000</v>
          </cell>
        </row>
      </sheetData>
      <sheetData sheetId="7174">
        <row r="7">
          <cell r="AI7">
            <v>10000</v>
          </cell>
        </row>
      </sheetData>
      <sheetData sheetId="7175">
        <row r="7">
          <cell r="AI7">
            <v>10000</v>
          </cell>
        </row>
      </sheetData>
      <sheetData sheetId="7176">
        <row r="7">
          <cell r="AI7">
            <v>10000</v>
          </cell>
        </row>
      </sheetData>
      <sheetData sheetId="7177">
        <row r="7">
          <cell r="AI7">
            <v>10000</v>
          </cell>
        </row>
      </sheetData>
      <sheetData sheetId="7178">
        <row r="7">
          <cell r="AI7">
            <v>10000</v>
          </cell>
        </row>
      </sheetData>
      <sheetData sheetId="7179">
        <row r="7">
          <cell r="AI7">
            <v>10000</v>
          </cell>
        </row>
      </sheetData>
      <sheetData sheetId="7180">
        <row r="7">
          <cell r="AI7">
            <v>10000</v>
          </cell>
        </row>
      </sheetData>
      <sheetData sheetId="7181">
        <row r="7">
          <cell r="AI7">
            <v>10000</v>
          </cell>
        </row>
      </sheetData>
      <sheetData sheetId="7182">
        <row r="7">
          <cell r="AI7">
            <v>10000</v>
          </cell>
        </row>
      </sheetData>
      <sheetData sheetId="7183">
        <row r="7">
          <cell r="AI7">
            <v>10000</v>
          </cell>
        </row>
      </sheetData>
      <sheetData sheetId="7184">
        <row r="7">
          <cell r="AI7">
            <v>10000</v>
          </cell>
        </row>
      </sheetData>
      <sheetData sheetId="7185">
        <row r="7">
          <cell r="AI7">
            <v>10000</v>
          </cell>
        </row>
      </sheetData>
      <sheetData sheetId="7186">
        <row r="7">
          <cell r="AI7">
            <v>10000</v>
          </cell>
        </row>
      </sheetData>
      <sheetData sheetId="7187">
        <row r="7">
          <cell r="AI7">
            <v>10000</v>
          </cell>
        </row>
      </sheetData>
      <sheetData sheetId="7188">
        <row r="7">
          <cell r="AI7">
            <v>10000</v>
          </cell>
        </row>
      </sheetData>
      <sheetData sheetId="7189">
        <row r="7">
          <cell r="AI7">
            <v>10000</v>
          </cell>
        </row>
      </sheetData>
      <sheetData sheetId="7190">
        <row r="7">
          <cell r="AI7">
            <v>10000</v>
          </cell>
        </row>
      </sheetData>
      <sheetData sheetId="7191">
        <row r="7">
          <cell r="AI7">
            <v>10000</v>
          </cell>
        </row>
      </sheetData>
      <sheetData sheetId="7192">
        <row r="7">
          <cell r="AI7">
            <v>10000</v>
          </cell>
        </row>
      </sheetData>
      <sheetData sheetId="7193">
        <row r="7">
          <cell r="AI7">
            <v>10000</v>
          </cell>
        </row>
      </sheetData>
      <sheetData sheetId="7194">
        <row r="7">
          <cell r="AI7">
            <v>10000</v>
          </cell>
        </row>
      </sheetData>
      <sheetData sheetId="7195">
        <row r="7">
          <cell r="AI7">
            <v>10000</v>
          </cell>
        </row>
      </sheetData>
      <sheetData sheetId="7196">
        <row r="7">
          <cell r="AI7">
            <v>10000</v>
          </cell>
        </row>
      </sheetData>
      <sheetData sheetId="7197">
        <row r="7">
          <cell r="AI7">
            <v>10000</v>
          </cell>
        </row>
      </sheetData>
      <sheetData sheetId="7198">
        <row r="7">
          <cell r="AI7">
            <v>10000</v>
          </cell>
        </row>
      </sheetData>
      <sheetData sheetId="7199">
        <row r="7">
          <cell r="AI7">
            <v>10000</v>
          </cell>
        </row>
      </sheetData>
      <sheetData sheetId="7200">
        <row r="7">
          <cell r="AI7">
            <v>10000</v>
          </cell>
        </row>
      </sheetData>
      <sheetData sheetId="7201">
        <row r="7">
          <cell r="AI7">
            <v>10000</v>
          </cell>
        </row>
      </sheetData>
      <sheetData sheetId="7202">
        <row r="7">
          <cell r="AI7">
            <v>10000</v>
          </cell>
        </row>
      </sheetData>
      <sheetData sheetId="7203">
        <row r="7">
          <cell r="AI7">
            <v>10000</v>
          </cell>
        </row>
      </sheetData>
      <sheetData sheetId="7204">
        <row r="7">
          <cell r="AI7">
            <v>10000</v>
          </cell>
        </row>
      </sheetData>
      <sheetData sheetId="7205">
        <row r="7">
          <cell r="AI7">
            <v>10000</v>
          </cell>
        </row>
      </sheetData>
      <sheetData sheetId="7206">
        <row r="7">
          <cell r="AI7">
            <v>10000</v>
          </cell>
        </row>
      </sheetData>
      <sheetData sheetId="7207">
        <row r="7">
          <cell r="AI7">
            <v>10000</v>
          </cell>
        </row>
      </sheetData>
      <sheetData sheetId="7208">
        <row r="7">
          <cell r="AI7">
            <v>10000</v>
          </cell>
        </row>
      </sheetData>
      <sheetData sheetId="7209">
        <row r="7">
          <cell r="AI7">
            <v>10000</v>
          </cell>
        </row>
      </sheetData>
      <sheetData sheetId="7210">
        <row r="7">
          <cell r="AI7">
            <v>10000</v>
          </cell>
        </row>
      </sheetData>
      <sheetData sheetId="7211">
        <row r="7">
          <cell r="AI7">
            <v>10000</v>
          </cell>
        </row>
      </sheetData>
      <sheetData sheetId="7212">
        <row r="7">
          <cell r="AI7">
            <v>10000</v>
          </cell>
        </row>
      </sheetData>
      <sheetData sheetId="7213">
        <row r="7">
          <cell r="AI7">
            <v>10000</v>
          </cell>
        </row>
      </sheetData>
      <sheetData sheetId="7214">
        <row r="7">
          <cell r="AI7">
            <v>10000</v>
          </cell>
        </row>
      </sheetData>
      <sheetData sheetId="7215">
        <row r="7">
          <cell r="AI7">
            <v>10000</v>
          </cell>
        </row>
      </sheetData>
      <sheetData sheetId="7216">
        <row r="7">
          <cell r="AI7">
            <v>10000</v>
          </cell>
        </row>
      </sheetData>
      <sheetData sheetId="7217">
        <row r="7">
          <cell r="AI7">
            <v>10000</v>
          </cell>
        </row>
      </sheetData>
      <sheetData sheetId="7218">
        <row r="7">
          <cell r="AI7">
            <v>10000</v>
          </cell>
        </row>
      </sheetData>
      <sheetData sheetId="7219">
        <row r="7">
          <cell r="AI7">
            <v>10000</v>
          </cell>
        </row>
      </sheetData>
      <sheetData sheetId="7220">
        <row r="7">
          <cell r="AI7">
            <v>10000</v>
          </cell>
        </row>
      </sheetData>
      <sheetData sheetId="7221">
        <row r="7">
          <cell r="AI7">
            <v>10000</v>
          </cell>
        </row>
      </sheetData>
      <sheetData sheetId="7222">
        <row r="7">
          <cell r="AI7">
            <v>10000</v>
          </cell>
        </row>
      </sheetData>
      <sheetData sheetId="7223">
        <row r="7">
          <cell r="AI7">
            <v>10000</v>
          </cell>
        </row>
      </sheetData>
      <sheetData sheetId="7224">
        <row r="7">
          <cell r="AI7">
            <v>10000</v>
          </cell>
        </row>
      </sheetData>
      <sheetData sheetId="7225">
        <row r="7">
          <cell r="AI7">
            <v>10000</v>
          </cell>
        </row>
      </sheetData>
      <sheetData sheetId="7226">
        <row r="7">
          <cell r="AI7">
            <v>10000</v>
          </cell>
        </row>
      </sheetData>
      <sheetData sheetId="7227">
        <row r="7">
          <cell r="AI7">
            <v>10000</v>
          </cell>
        </row>
      </sheetData>
      <sheetData sheetId="7228">
        <row r="7">
          <cell r="AI7">
            <v>10000</v>
          </cell>
        </row>
      </sheetData>
      <sheetData sheetId="7229">
        <row r="7">
          <cell r="AI7">
            <v>10000</v>
          </cell>
        </row>
      </sheetData>
      <sheetData sheetId="7230">
        <row r="7">
          <cell r="AI7">
            <v>10000</v>
          </cell>
        </row>
      </sheetData>
      <sheetData sheetId="7231">
        <row r="7">
          <cell r="AI7">
            <v>10000</v>
          </cell>
        </row>
      </sheetData>
      <sheetData sheetId="7232">
        <row r="7">
          <cell r="AI7">
            <v>10000</v>
          </cell>
        </row>
      </sheetData>
      <sheetData sheetId="7233">
        <row r="7">
          <cell r="AI7">
            <v>10000</v>
          </cell>
        </row>
      </sheetData>
      <sheetData sheetId="7234">
        <row r="7">
          <cell r="AI7">
            <v>10000</v>
          </cell>
        </row>
      </sheetData>
      <sheetData sheetId="7235">
        <row r="7">
          <cell r="AI7">
            <v>10000</v>
          </cell>
        </row>
      </sheetData>
      <sheetData sheetId="7236">
        <row r="7">
          <cell r="AI7">
            <v>10000</v>
          </cell>
        </row>
      </sheetData>
      <sheetData sheetId="7237">
        <row r="7">
          <cell r="AI7">
            <v>10000</v>
          </cell>
        </row>
      </sheetData>
      <sheetData sheetId="7238">
        <row r="7">
          <cell r="AI7">
            <v>10000</v>
          </cell>
        </row>
      </sheetData>
      <sheetData sheetId="7239">
        <row r="7">
          <cell r="AI7">
            <v>10000</v>
          </cell>
        </row>
      </sheetData>
      <sheetData sheetId="7240">
        <row r="7">
          <cell r="AI7">
            <v>10000</v>
          </cell>
        </row>
      </sheetData>
      <sheetData sheetId="7241">
        <row r="7">
          <cell r="AI7">
            <v>10000</v>
          </cell>
        </row>
      </sheetData>
      <sheetData sheetId="7242">
        <row r="7">
          <cell r="AI7">
            <v>10000</v>
          </cell>
        </row>
      </sheetData>
      <sheetData sheetId="7243">
        <row r="7">
          <cell r="AI7">
            <v>10000</v>
          </cell>
        </row>
      </sheetData>
      <sheetData sheetId="7244">
        <row r="7">
          <cell r="AI7">
            <v>10000</v>
          </cell>
        </row>
      </sheetData>
      <sheetData sheetId="7245">
        <row r="7">
          <cell r="AI7">
            <v>10000</v>
          </cell>
        </row>
      </sheetData>
      <sheetData sheetId="7246">
        <row r="7">
          <cell r="AI7">
            <v>10000</v>
          </cell>
        </row>
      </sheetData>
      <sheetData sheetId="7247">
        <row r="7">
          <cell r="AI7">
            <v>10000</v>
          </cell>
        </row>
      </sheetData>
      <sheetData sheetId="7248">
        <row r="7">
          <cell r="AI7">
            <v>10000</v>
          </cell>
        </row>
      </sheetData>
      <sheetData sheetId="7249">
        <row r="7">
          <cell r="AI7">
            <v>10000</v>
          </cell>
        </row>
      </sheetData>
      <sheetData sheetId="7250">
        <row r="7">
          <cell r="AI7">
            <v>10000</v>
          </cell>
        </row>
      </sheetData>
      <sheetData sheetId="7251">
        <row r="7">
          <cell r="AI7">
            <v>10000</v>
          </cell>
        </row>
      </sheetData>
      <sheetData sheetId="7252">
        <row r="7">
          <cell r="AI7">
            <v>10000</v>
          </cell>
        </row>
      </sheetData>
      <sheetData sheetId="7253">
        <row r="7">
          <cell r="AI7">
            <v>10000</v>
          </cell>
        </row>
      </sheetData>
      <sheetData sheetId="7254">
        <row r="7">
          <cell r="AI7">
            <v>10000</v>
          </cell>
        </row>
      </sheetData>
      <sheetData sheetId="7255">
        <row r="7">
          <cell r="AI7">
            <v>10000</v>
          </cell>
        </row>
      </sheetData>
      <sheetData sheetId="7256">
        <row r="7">
          <cell r="AI7">
            <v>10000</v>
          </cell>
        </row>
      </sheetData>
      <sheetData sheetId="7257">
        <row r="7">
          <cell r="AI7">
            <v>10000</v>
          </cell>
        </row>
      </sheetData>
      <sheetData sheetId="7258">
        <row r="7">
          <cell r="AI7">
            <v>10000</v>
          </cell>
        </row>
      </sheetData>
      <sheetData sheetId="7259">
        <row r="7">
          <cell r="AI7">
            <v>10000</v>
          </cell>
        </row>
      </sheetData>
      <sheetData sheetId="7260">
        <row r="7">
          <cell r="AI7">
            <v>10000</v>
          </cell>
        </row>
      </sheetData>
      <sheetData sheetId="7261">
        <row r="7">
          <cell r="AI7">
            <v>10000</v>
          </cell>
        </row>
      </sheetData>
      <sheetData sheetId="7262">
        <row r="7">
          <cell r="AI7">
            <v>10000</v>
          </cell>
        </row>
      </sheetData>
      <sheetData sheetId="7263">
        <row r="7">
          <cell r="AI7">
            <v>10000</v>
          </cell>
        </row>
      </sheetData>
      <sheetData sheetId="7264">
        <row r="7">
          <cell r="AI7">
            <v>10000</v>
          </cell>
        </row>
      </sheetData>
      <sheetData sheetId="7265">
        <row r="7">
          <cell r="AI7">
            <v>10000</v>
          </cell>
        </row>
      </sheetData>
      <sheetData sheetId="7266">
        <row r="7">
          <cell r="AI7">
            <v>10000</v>
          </cell>
        </row>
      </sheetData>
      <sheetData sheetId="7267">
        <row r="7">
          <cell r="AI7">
            <v>10000</v>
          </cell>
        </row>
      </sheetData>
      <sheetData sheetId="7268">
        <row r="7">
          <cell r="AI7">
            <v>10000</v>
          </cell>
        </row>
      </sheetData>
      <sheetData sheetId="7269">
        <row r="7">
          <cell r="AI7">
            <v>10000</v>
          </cell>
        </row>
      </sheetData>
      <sheetData sheetId="7270">
        <row r="7">
          <cell r="AI7">
            <v>10000</v>
          </cell>
        </row>
      </sheetData>
      <sheetData sheetId="7271">
        <row r="7">
          <cell r="AI7">
            <v>10000</v>
          </cell>
        </row>
      </sheetData>
      <sheetData sheetId="7272">
        <row r="7">
          <cell r="AI7">
            <v>10000</v>
          </cell>
        </row>
      </sheetData>
      <sheetData sheetId="7273">
        <row r="7">
          <cell r="AI7">
            <v>10000</v>
          </cell>
        </row>
      </sheetData>
      <sheetData sheetId="7274">
        <row r="7">
          <cell r="AI7">
            <v>10000</v>
          </cell>
        </row>
      </sheetData>
      <sheetData sheetId="7275">
        <row r="7">
          <cell r="AI7">
            <v>10000</v>
          </cell>
        </row>
      </sheetData>
      <sheetData sheetId="7276">
        <row r="7">
          <cell r="AI7">
            <v>10000</v>
          </cell>
        </row>
      </sheetData>
      <sheetData sheetId="7277">
        <row r="7">
          <cell r="AI7">
            <v>10000</v>
          </cell>
        </row>
      </sheetData>
      <sheetData sheetId="7278">
        <row r="7">
          <cell r="AI7">
            <v>10000</v>
          </cell>
        </row>
      </sheetData>
      <sheetData sheetId="7279">
        <row r="7">
          <cell r="AI7">
            <v>10000</v>
          </cell>
        </row>
      </sheetData>
      <sheetData sheetId="7280">
        <row r="7">
          <cell r="AI7">
            <v>10000</v>
          </cell>
        </row>
      </sheetData>
      <sheetData sheetId="7281">
        <row r="7">
          <cell r="AI7">
            <v>10000</v>
          </cell>
        </row>
      </sheetData>
      <sheetData sheetId="7282">
        <row r="7">
          <cell r="AI7">
            <v>10000</v>
          </cell>
        </row>
      </sheetData>
      <sheetData sheetId="7283">
        <row r="7">
          <cell r="AI7">
            <v>10000</v>
          </cell>
        </row>
      </sheetData>
      <sheetData sheetId="7284">
        <row r="7">
          <cell r="AI7">
            <v>10000</v>
          </cell>
        </row>
      </sheetData>
      <sheetData sheetId="7285">
        <row r="7">
          <cell r="AI7">
            <v>10000</v>
          </cell>
        </row>
      </sheetData>
      <sheetData sheetId="7286">
        <row r="7">
          <cell r="AI7">
            <v>10000</v>
          </cell>
        </row>
      </sheetData>
      <sheetData sheetId="7287">
        <row r="7">
          <cell r="AI7">
            <v>10000</v>
          </cell>
        </row>
      </sheetData>
      <sheetData sheetId="7288">
        <row r="7">
          <cell r="AI7">
            <v>10000</v>
          </cell>
        </row>
      </sheetData>
      <sheetData sheetId="7289">
        <row r="7">
          <cell r="AI7">
            <v>10000</v>
          </cell>
        </row>
      </sheetData>
      <sheetData sheetId="7290">
        <row r="7">
          <cell r="AI7">
            <v>10000</v>
          </cell>
        </row>
      </sheetData>
      <sheetData sheetId="7291">
        <row r="7">
          <cell r="AI7">
            <v>10000</v>
          </cell>
        </row>
      </sheetData>
      <sheetData sheetId="7292">
        <row r="7">
          <cell r="AI7">
            <v>10000</v>
          </cell>
        </row>
      </sheetData>
      <sheetData sheetId="7293">
        <row r="7">
          <cell r="AI7">
            <v>10000</v>
          </cell>
        </row>
      </sheetData>
      <sheetData sheetId="7294">
        <row r="7">
          <cell r="AI7">
            <v>10000</v>
          </cell>
        </row>
      </sheetData>
      <sheetData sheetId="7295">
        <row r="7">
          <cell r="AI7">
            <v>10000</v>
          </cell>
        </row>
      </sheetData>
      <sheetData sheetId="7296">
        <row r="7">
          <cell r="AI7">
            <v>10000</v>
          </cell>
        </row>
      </sheetData>
      <sheetData sheetId="7297">
        <row r="7">
          <cell r="AI7">
            <v>10000</v>
          </cell>
        </row>
      </sheetData>
      <sheetData sheetId="7298">
        <row r="7">
          <cell r="AI7">
            <v>10000</v>
          </cell>
        </row>
      </sheetData>
      <sheetData sheetId="7299">
        <row r="7">
          <cell r="AI7">
            <v>10000</v>
          </cell>
        </row>
      </sheetData>
      <sheetData sheetId="7300">
        <row r="7">
          <cell r="AI7">
            <v>10000</v>
          </cell>
        </row>
      </sheetData>
      <sheetData sheetId="7301">
        <row r="7">
          <cell r="AI7">
            <v>10000</v>
          </cell>
        </row>
      </sheetData>
      <sheetData sheetId="7302">
        <row r="7">
          <cell r="AI7">
            <v>10000</v>
          </cell>
        </row>
      </sheetData>
      <sheetData sheetId="7303">
        <row r="7">
          <cell r="AI7">
            <v>10000</v>
          </cell>
        </row>
      </sheetData>
      <sheetData sheetId="7304">
        <row r="7">
          <cell r="AI7">
            <v>10000</v>
          </cell>
        </row>
      </sheetData>
      <sheetData sheetId="7305">
        <row r="7">
          <cell r="AI7">
            <v>10000</v>
          </cell>
        </row>
      </sheetData>
      <sheetData sheetId="7306">
        <row r="7">
          <cell r="AI7">
            <v>10000</v>
          </cell>
        </row>
      </sheetData>
      <sheetData sheetId="7307">
        <row r="7">
          <cell r="AI7">
            <v>10000</v>
          </cell>
        </row>
      </sheetData>
      <sheetData sheetId="7308">
        <row r="7">
          <cell r="AI7">
            <v>10000</v>
          </cell>
        </row>
      </sheetData>
      <sheetData sheetId="7309">
        <row r="7">
          <cell r="AI7">
            <v>10000</v>
          </cell>
        </row>
      </sheetData>
      <sheetData sheetId="7310">
        <row r="7">
          <cell r="AI7">
            <v>10000</v>
          </cell>
        </row>
      </sheetData>
      <sheetData sheetId="7311">
        <row r="7">
          <cell r="AI7">
            <v>10000</v>
          </cell>
        </row>
      </sheetData>
      <sheetData sheetId="7312">
        <row r="7">
          <cell r="AI7">
            <v>10000</v>
          </cell>
        </row>
      </sheetData>
      <sheetData sheetId="7313">
        <row r="7">
          <cell r="AI7">
            <v>10000</v>
          </cell>
        </row>
      </sheetData>
      <sheetData sheetId="7314">
        <row r="7">
          <cell r="AI7">
            <v>10000</v>
          </cell>
        </row>
      </sheetData>
      <sheetData sheetId="7315">
        <row r="7">
          <cell r="AI7">
            <v>10000</v>
          </cell>
        </row>
      </sheetData>
      <sheetData sheetId="7316">
        <row r="7">
          <cell r="AI7">
            <v>10000</v>
          </cell>
        </row>
      </sheetData>
      <sheetData sheetId="7317">
        <row r="7">
          <cell r="AI7">
            <v>10000</v>
          </cell>
        </row>
      </sheetData>
      <sheetData sheetId="7318">
        <row r="7">
          <cell r="AI7">
            <v>10000</v>
          </cell>
        </row>
      </sheetData>
      <sheetData sheetId="7319">
        <row r="7">
          <cell r="AI7">
            <v>10000</v>
          </cell>
        </row>
      </sheetData>
      <sheetData sheetId="7320">
        <row r="7">
          <cell r="AI7">
            <v>10000</v>
          </cell>
        </row>
      </sheetData>
      <sheetData sheetId="7321">
        <row r="7">
          <cell r="AI7">
            <v>10000</v>
          </cell>
        </row>
      </sheetData>
      <sheetData sheetId="7322">
        <row r="7">
          <cell r="AI7">
            <v>10000</v>
          </cell>
        </row>
      </sheetData>
      <sheetData sheetId="7323">
        <row r="7">
          <cell r="AI7">
            <v>10000</v>
          </cell>
        </row>
      </sheetData>
      <sheetData sheetId="7324">
        <row r="7">
          <cell r="AI7">
            <v>10000</v>
          </cell>
        </row>
      </sheetData>
      <sheetData sheetId="7325">
        <row r="7">
          <cell r="AI7">
            <v>10000</v>
          </cell>
        </row>
      </sheetData>
      <sheetData sheetId="7326">
        <row r="7">
          <cell r="AI7">
            <v>10000</v>
          </cell>
        </row>
      </sheetData>
      <sheetData sheetId="7327">
        <row r="7">
          <cell r="AI7">
            <v>10000</v>
          </cell>
        </row>
      </sheetData>
      <sheetData sheetId="7328">
        <row r="7">
          <cell r="AI7">
            <v>10000</v>
          </cell>
        </row>
      </sheetData>
      <sheetData sheetId="7329">
        <row r="7">
          <cell r="AI7">
            <v>10000</v>
          </cell>
        </row>
      </sheetData>
      <sheetData sheetId="7330">
        <row r="7">
          <cell r="AI7">
            <v>10000</v>
          </cell>
        </row>
      </sheetData>
      <sheetData sheetId="7331">
        <row r="7">
          <cell r="AI7">
            <v>10000</v>
          </cell>
        </row>
      </sheetData>
      <sheetData sheetId="7332">
        <row r="7">
          <cell r="AI7">
            <v>10000</v>
          </cell>
        </row>
      </sheetData>
      <sheetData sheetId="7333">
        <row r="7">
          <cell r="AI7">
            <v>10000</v>
          </cell>
        </row>
      </sheetData>
      <sheetData sheetId="7334">
        <row r="7">
          <cell r="AI7">
            <v>10000</v>
          </cell>
        </row>
      </sheetData>
      <sheetData sheetId="7335">
        <row r="7">
          <cell r="AI7">
            <v>10000</v>
          </cell>
        </row>
      </sheetData>
      <sheetData sheetId="7336">
        <row r="7">
          <cell r="AI7">
            <v>10000</v>
          </cell>
        </row>
      </sheetData>
      <sheetData sheetId="7337">
        <row r="7">
          <cell r="AI7">
            <v>10000</v>
          </cell>
        </row>
      </sheetData>
      <sheetData sheetId="7338">
        <row r="7">
          <cell r="AI7">
            <v>10000</v>
          </cell>
        </row>
      </sheetData>
      <sheetData sheetId="7339">
        <row r="7">
          <cell r="AI7">
            <v>10000</v>
          </cell>
        </row>
      </sheetData>
      <sheetData sheetId="7340">
        <row r="7">
          <cell r="AI7">
            <v>10000</v>
          </cell>
        </row>
      </sheetData>
      <sheetData sheetId="7341">
        <row r="7">
          <cell r="AI7">
            <v>10000</v>
          </cell>
        </row>
      </sheetData>
      <sheetData sheetId="7342">
        <row r="7">
          <cell r="AI7">
            <v>10000</v>
          </cell>
        </row>
      </sheetData>
      <sheetData sheetId="7343">
        <row r="7">
          <cell r="AI7">
            <v>10000</v>
          </cell>
        </row>
      </sheetData>
      <sheetData sheetId="7344">
        <row r="7">
          <cell r="AI7">
            <v>10000</v>
          </cell>
        </row>
      </sheetData>
      <sheetData sheetId="7345">
        <row r="7">
          <cell r="AI7">
            <v>10000</v>
          </cell>
        </row>
      </sheetData>
      <sheetData sheetId="7346">
        <row r="7">
          <cell r="AI7">
            <v>10000</v>
          </cell>
        </row>
      </sheetData>
      <sheetData sheetId="7347">
        <row r="7">
          <cell r="AI7">
            <v>10000</v>
          </cell>
        </row>
      </sheetData>
      <sheetData sheetId="7348">
        <row r="7">
          <cell r="AI7">
            <v>10000</v>
          </cell>
        </row>
      </sheetData>
      <sheetData sheetId="7349">
        <row r="7">
          <cell r="AI7">
            <v>10000</v>
          </cell>
        </row>
      </sheetData>
      <sheetData sheetId="7350">
        <row r="7">
          <cell r="AI7">
            <v>10000</v>
          </cell>
        </row>
      </sheetData>
      <sheetData sheetId="7351">
        <row r="7">
          <cell r="AI7">
            <v>10000</v>
          </cell>
        </row>
      </sheetData>
      <sheetData sheetId="7352">
        <row r="7">
          <cell r="AI7">
            <v>10000</v>
          </cell>
        </row>
      </sheetData>
      <sheetData sheetId="7353">
        <row r="7">
          <cell r="AI7">
            <v>10000</v>
          </cell>
        </row>
      </sheetData>
      <sheetData sheetId="7354">
        <row r="7">
          <cell r="AI7">
            <v>10000</v>
          </cell>
        </row>
      </sheetData>
      <sheetData sheetId="7355">
        <row r="7">
          <cell r="AI7">
            <v>10000</v>
          </cell>
        </row>
      </sheetData>
      <sheetData sheetId="7356">
        <row r="7">
          <cell r="AI7">
            <v>10000</v>
          </cell>
        </row>
      </sheetData>
      <sheetData sheetId="7357">
        <row r="7">
          <cell r="AI7">
            <v>10000</v>
          </cell>
        </row>
      </sheetData>
      <sheetData sheetId="7358">
        <row r="7">
          <cell r="AI7">
            <v>10000</v>
          </cell>
        </row>
      </sheetData>
      <sheetData sheetId="7359">
        <row r="7">
          <cell r="AI7">
            <v>10000</v>
          </cell>
        </row>
      </sheetData>
      <sheetData sheetId="7360">
        <row r="7">
          <cell r="AI7">
            <v>10000</v>
          </cell>
        </row>
      </sheetData>
      <sheetData sheetId="7361">
        <row r="7">
          <cell r="AI7">
            <v>10000</v>
          </cell>
        </row>
      </sheetData>
      <sheetData sheetId="7362">
        <row r="7">
          <cell r="AI7">
            <v>10000</v>
          </cell>
        </row>
      </sheetData>
      <sheetData sheetId="7363">
        <row r="7">
          <cell r="AI7">
            <v>10000</v>
          </cell>
        </row>
      </sheetData>
      <sheetData sheetId="7364">
        <row r="7">
          <cell r="AI7">
            <v>10000</v>
          </cell>
        </row>
      </sheetData>
      <sheetData sheetId="7365">
        <row r="7">
          <cell r="AI7">
            <v>10000</v>
          </cell>
        </row>
      </sheetData>
      <sheetData sheetId="7366">
        <row r="7">
          <cell r="AI7">
            <v>10000</v>
          </cell>
        </row>
      </sheetData>
      <sheetData sheetId="7367">
        <row r="7">
          <cell r="AI7">
            <v>10000</v>
          </cell>
        </row>
      </sheetData>
      <sheetData sheetId="7368">
        <row r="7">
          <cell r="AI7">
            <v>10000</v>
          </cell>
        </row>
      </sheetData>
      <sheetData sheetId="7369">
        <row r="7">
          <cell r="AI7">
            <v>10000</v>
          </cell>
        </row>
      </sheetData>
      <sheetData sheetId="7370">
        <row r="7">
          <cell r="AI7">
            <v>10000</v>
          </cell>
        </row>
      </sheetData>
      <sheetData sheetId="7371">
        <row r="7">
          <cell r="AI7">
            <v>10000</v>
          </cell>
        </row>
      </sheetData>
      <sheetData sheetId="7372">
        <row r="7">
          <cell r="AI7">
            <v>10000</v>
          </cell>
        </row>
      </sheetData>
      <sheetData sheetId="7373">
        <row r="7">
          <cell r="AI7">
            <v>10000</v>
          </cell>
        </row>
      </sheetData>
      <sheetData sheetId="7374">
        <row r="7">
          <cell r="AI7">
            <v>10000</v>
          </cell>
        </row>
      </sheetData>
      <sheetData sheetId="7375">
        <row r="7">
          <cell r="AI7">
            <v>10000</v>
          </cell>
        </row>
      </sheetData>
      <sheetData sheetId="7376">
        <row r="7">
          <cell r="AI7">
            <v>10000</v>
          </cell>
        </row>
      </sheetData>
      <sheetData sheetId="7377">
        <row r="7">
          <cell r="AI7">
            <v>10000</v>
          </cell>
        </row>
      </sheetData>
      <sheetData sheetId="7378">
        <row r="7">
          <cell r="AI7">
            <v>10000</v>
          </cell>
        </row>
      </sheetData>
      <sheetData sheetId="7379">
        <row r="7">
          <cell r="AI7">
            <v>10000</v>
          </cell>
        </row>
      </sheetData>
      <sheetData sheetId="7380">
        <row r="7">
          <cell r="AI7">
            <v>10000</v>
          </cell>
        </row>
      </sheetData>
      <sheetData sheetId="7381">
        <row r="7">
          <cell r="AI7">
            <v>10000</v>
          </cell>
        </row>
      </sheetData>
      <sheetData sheetId="7382">
        <row r="7">
          <cell r="AI7">
            <v>10000</v>
          </cell>
        </row>
      </sheetData>
      <sheetData sheetId="7383">
        <row r="7">
          <cell r="AI7">
            <v>10000</v>
          </cell>
        </row>
      </sheetData>
      <sheetData sheetId="7384">
        <row r="7">
          <cell r="AI7">
            <v>10000</v>
          </cell>
        </row>
      </sheetData>
      <sheetData sheetId="7385">
        <row r="7">
          <cell r="AI7">
            <v>10000</v>
          </cell>
        </row>
      </sheetData>
      <sheetData sheetId="7386">
        <row r="7">
          <cell r="AI7">
            <v>10000</v>
          </cell>
        </row>
      </sheetData>
      <sheetData sheetId="7387">
        <row r="7">
          <cell r="AI7">
            <v>10000</v>
          </cell>
        </row>
      </sheetData>
      <sheetData sheetId="7388">
        <row r="7">
          <cell r="AI7">
            <v>10000</v>
          </cell>
        </row>
      </sheetData>
      <sheetData sheetId="7389">
        <row r="7">
          <cell r="AI7">
            <v>10000</v>
          </cell>
        </row>
      </sheetData>
      <sheetData sheetId="7390">
        <row r="7">
          <cell r="AI7">
            <v>10000</v>
          </cell>
        </row>
      </sheetData>
      <sheetData sheetId="7391">
        <row r="7">
          <cell r="AI7">
            <v>10000</v>
          </cell>
        </row>
      </sheetData>
      <sheetData sheetId="7392">
        <row r="7">
          <cell r="AI7">
            <v>10000</v>
          </cell>
        </row>
      </sheetData>
      <sheetData sheetId="7393">
        <row r="7">
          <cell r="AI7">
            <v>10000</v>
          </cell>
        </row>
      </sheetData>
      <sheetData sheetId="7394">
        <row r="7">
          <cell r="AI7">
            <v>10000</v>
          </cell>
        </row>
      </sheetData>
      <sheetData sheetId="7395">
        <row r="7">
          <cell r="AI7">
            <v>10000</v>
          </cell>
        </row>
      </sheetData>
      <sheetData sheetId="7396">
        <row r="7">
          <cell r="AI7">
            <v>10000</v>
          </cell>
        </row>
      </sheetData>
      <sheetData sheetId="7397">
        <row r="7">
          <cell r="AI7">
            <v>10000</v>
          </cell>
        </row>
      </sheetData>
      <sheetData sheetId="7398">
        <row r="7">
          <cell r="AI7">
            <v>10000</v>
          </cell>
        </row>
      </sheetData>
      <sheetData sheetId="7399">
        <row r="7">
          <cell r="AI7">
            <v>10000</v>
          </cell>
        </row>
      </sheetData>
      <sheetData sheetId="7400">
        <row r="7">
          <cell r="AI7">
            <v>10000</v>
          </cell>
        </row>
      </sheetData>
      <sheetData sheetId="7401">
        <row r="7">
          <cell r="AI7">
            <v>10000</v>
          </cell>
        </row>
      </sheetData>
      <sheetData sheetId="7402">
        <row r="7">
          <cell r="AI7">
            <v>10000</v>
          </cell>
        </row>
      </sheetData>
      <sheetData sheetId="7403">
        <row r="7">
          <cell r="AI7">
            <v>10000</v>
          </cell>
        </row>
      </sheetData>
      <sheetData sheetId="7404">
        <row r="7">
          <cell r="AI7">
            <v>10000</v>
          </cell>
        </row>
      </sheetData>
      <sheetData sheetId="7405">
        <row r="7">
          <cell r="AI7">
            <v>10000</v>
          </cell>
        </row>
      </sheetData>
      <sheetData sheetId="7406">
        <row r="7">
          <cell r="AI7">
            <v>10000</v>
          </cell>
        </row>
      </sheetData>
      <sheetData sheetId="7407">
        <row r="7">
          <cell r="AI7">
            <v>10000</v>
          </cell>
        </row>
      </sheetData>
      <sheetData sheetId="7408">
        <row r="7">
          <cell r="AI7">
            <v>10000</v>
          </cell>
        </row>
      </sheetData>
      <sheetData sheetId="7409">
        <row r="7">
          <cell r="AI7">
            <v>10000</v>
          </cell>
        </row>
      </sheetData>
      <sheetData sheetId="7410">
        <row r="7">
          <cell r="AI7">
            <v>10000</v>
          </cell>
        </row>
      </sheetData>
      <sheetData sheetId="7411">
        <row r="7">
          <cell r="AI7">
            <v>10000</v>
          </cell>
        </row>
      </sheetData>
      <sheetData sheetId="7412">
        <row r="7">
          <cell r="AI7">
            <v>10000</v>
          </cell>
        </row>
      </sheetData>
      <sheetData sheetId="7413">
        <row r="7">
          <cell r="AI7">
            <v>10000</v>
          </cell>
        </row>
      </sheetData>
      <sheetData sheetId="7414">
        <row r="7">
          <cell r="AI7">
            <v>10000</v>
          </cell>
        </row>
      </sheetData>
      <sheetData sheetId="7415">
        <row r="7">
          <cell r="AI7">
            <v>10000</v>
          </cell>
        </row>
      </sheetData>
      <sheetData sheetId="7416">
        <row r="7">
          <cell r="AI7">
            <v>10000</v>
          </cell>
        </row>
      </sheetData>
      <sheetData sheetId="7417">
        <row r="7">
          <cell r="AI7">
            <v>10000</v>
          </cell>
        </row>
      </sheetData>
      <sheetData sheetId="7418">
        <row r="7">
          <cell r="AI7">
            <v>10000</v>
          </cell>
        </row>
      </sheetData>
      <sheetData sheetId="7419">
        <row r="7">
          <cell r="AI7">
            <v>10000</v>
          </cell>
        </row>
      </sheetData>
      <sheetData sheetId="7420">
        <row r="7">
          <cell r="AI7">
            <v>10000</v>
          </cell>
        </row>
      </sheetData>
      <sheetData sheetId="7421">
        <row r="7">
          <cell r="AI7">
            <v>10000</v>
          </cell>
        </row>
      </sheetData>
      <sheetData sheetId="7422">
        <row r="7">
          <cell r="AI7">
            <v>10000</v>
          </cell>
        </row>
      </sheetData>
      <sheetData sheetId="7423">
        <row r="7">
          <cell r="AI7">
            <v>10000</v>
          </cell>
        </row>
      </sheetData>
      <sheetData sheetId="7424">
        <row r="7">
          <cell r="AI7">
            <v>10000</v>
          </cell>
        </row>
      </sheetData>
      <sheetData sheetId="7425">
        <row r="7">
          <cell r="AI7">
            <v>10000</v>
          </cell>
        </row>
      </sheetData>
      <sheetData sheetId="7426">
        <row r="7">
          <cell r="AI7">
            <v>10000</v>
          </cell>
        </row>
      </sheetData>
      <sheetData sheetId="7427">
        <row r="7">
          <cell r="AI7">
            <v>10000</v>
          </cell>
        </row>
      </sheetData>
      <sheetData sheetId="7428">
        <row r="7">
          <cell r="AI7">
            <v>10000</v>
          </cell>
        </row>
      </sheetData>
      <sheetData sheetId="7429">
        <row r="7">
          <cell r="AI7">
            <v>10000</v>
          </cell>
        </row>
      </sheetData>
      <sheetData sheetId="7430">
        <row r="7">
          <cell r="AI7">
            <v>10000</v>
          </cell>
        </row>
      </sheetData>
      <sheetData sheetId="7431">
        <row r="7">
          <cell r="AI7">
            <v>10000</v>
          </cell>
        </row>
      </sheetData>
      <sheetData sheetId="7432">
        <row r="7">
          <cell r="AI7">
            <v>10000</v>
          </cell>
        </row>
      </sheetData>
      <sheetData sheetId="7433">
        <row r="7">
          <cell r="AI7">
            <v>10000</v>
          </cell>
        </row>
      </sheetData>
      <sheetData sheetId="7434">
        <row r="7">
          <cell r="AI7">
            <v>10000</v>
          </cell>
        </row>
      </sheetData>
      <sheetData sheetId="7435">
        <row r="7">
          <cell r="AI7">
            <v>10000</v>
          </cell>
        </row>
      </sheetData>
      <sheetData sheetId="7436">
        <row r="7">
          <cell r="AI7">
            <v>10000</v>
          </cell>
        </row>
      </sheetData>
      <sheetData sheetId="7437">
        <row r="7">
          <cell r="AI7">
            <v>10000</v>
          </cell>
        </row>
      </sheetData>
      <sheetData sheetId="7438">
        <row r="7">
          <cell r="AI7">
            <v>10000</v>
          </cell>
        </row>
      </sheetData>
      <sheetData sheetId="7439">
        <row r="7">
          <cell r="AI7">
            <v>10000</v>
          </cell>
        </row>
      </sheetData>
      <sheetData sheetId="7440">
        <row r="7">
          <cell r="AI7">
            <v>10000</v>
          </cell>
        </row>
      </sheetData>
      <sheetData sheetId="7441">
        <row r="7">
          <cell r="AI7">
            <v>10000</v>
          </cell>
        </row>
      </sheetData>
      <sheetData sheetId="7442">
        <row r="7">
          <cell r="AI7">
            <v>10000</v>
          </cell>
        </row>
      </sheetData>
      <sheetData sheetId="7443">
        <row r="7">
          <cell r="AI7">
            <v>10000</v>
          </cell>
        </row>
      </sheetData>
      <sheetData sheetId="7444">
        <row r="7">
          <cell r="AI7">
            <v>10000</v>
          </cell>
        </row>
      </sheetData>
      <sheetData sheetId="7445">
        <row r="7">
          <cell r="AI7">
            <v>10000</v>
          </cell>
        </row>
      </sheetData>
      <sheetData sheetId="7446">
        <row r="7">
          <cell r="AI7">
            <v>10000</v>
          </cell>
        </row>
      </sheetData>
      <sheetData sheetId="7447">
        <row r="7">
          <cell r="AI7">
            <v>10000</v>
          </cell>
        </row>
      </sheetData>
      <sheetData sheetId="7448">
        <row r="7">
          <cell r="AI7">
            <v>10000</v>
          </cell>
        </row>
      </sheetData>
      <sheetData sheetId="7449">
        <row r="7">
          <cell r="AI7">
            <v>10000</v>
          </cell>
        </row>
      </sheetData>
      <sheetData sheetId="7450">
        <row r="7">
          <cell r="AI7">
            <v>10000</v>
          </cell>
        </row>
      </sheetData>
      <sheetData sheetId="7451">
        <row r="7">
          <cell r="AI7">
            <v>10000</v>
          </cell>
        </row>
      </sheetData>
      <sheetData sheetId="7452">
        <row r="7">
          <cell r="AI7">
            <v>10000</v>
          </cell>
        </row>
      </sheetData>
      <sheetData sheetId="7453">
        <row r="7">
          <cell r="AI7">
            <v>10000</v>
          </cell>
        </row>
      </sheetData>
      <sheetData sheetId="7454">
        <row r="7">
          <cell r="AI7">
            <v>10000</v>
          </cell>
        </row>
      </sheetData>
      <sheetData sheetId="7455">
        <row r="7">
          <cell r="AI7">
            <v>10000</v>
          </cell>
        </row>
      </sheetData>
      <sheetData sheetId="7456">
        <row r="7">
          <cell r="AI7">
            <v>10000</v>
          </cell>
        </row>
      </sheetData>
      <sheetData sheetId="7457">
        <row r="7">
          <cell r="AI7">
            <v>10000</v>
          </cell>
        </row>
      </sheetData>
      <sheetData sheetId="7458">
        <row r="7">
          <cell r="AI7">
            <v>10000</v>
          </cell>
        </row>
      </sheetData>
      <sheetData sheetId="7459">
        <row r="7">
          <cell r="AI7">
            <v>10000</v>
          </cell>
        </row>
      </sheetData>
      <sheetData sheetId="7460">
        <row r="7">
          <cell r="AI7">
            <v>10000</v>
          </cell>
        </row>
      </sheetData>
      <sheetData sheetId="7461">
        <row r="7">
          <cell r="AI7">
            <v>10000</v>
          </cell>
        </row>
      </sheetData>
      <sheetData sheetId="7462">
        <row r="7">
          <cell r="AI7">
            <v>10000</v>
          </cell>
        </row>
      </sheetData>
      <sheetData sheetId="7463">
        <row r="7">
          <cell r="AI7">
            <v>10000</v>
          </cell>
        </row>
      </sheetData>
      <sheetData sheetId="7464">
        <row r="7">
          <cell r="AI7">
            <v>10000</v>
          </cell>
        </row>
      </sheetData>
      <sheetData sheetId="7465">
        <row r="7">
          <cell r="AI7">
            <v>10000</v>
          </cell>
        </row>
      </sheetData>
      <sheetData sheetId="7466">
        <row r="7">
          <cell r="AI7">
            <v>10000</v>
          </cell>
        </row>
      </sheetData>
      <sheetData sheetId="7467">
        <row r="7">
          <cell r="AI7">
            <v>10000</v>
          </cell>
        </row>
      </sheetData>
      <sheetData sheetId="7468">
        <row r="7">
          <cell r="AI7">
            <v>10000</v>
          </cell>
        </row>
      </sheetData>
      <sheetData sheetId="7469">
        <row r="7">
          <cell r="AI7">
            <v>10000</v>
          </cell>
        </row>
      </sheetData>
      <sheetData sheetId="7470">
        <row r="7">
          <cell r="AI7">
            <v>10000</v>
          </cell>
        </row>
      </sheetData>
      <sheetData sheetId="7471">
        <row r="7">
          <cell r="AI7">
            <v>10000</v>
          </cell>
        </row>
      </sheetData>
      <sheetData sheetId="7472">
        <row r="7">
          <cell r="AI7">
            <v>10000</v>
          </cell>
        </row>
      </sheetData>
      <sheetData sheetId="7473">
        <row r="7">
          <cell r="AI7">
            <v>10000</v>
          </cell>
        </row>
      </sheetData>
      <sheetData sheetId="7474">
        <row r="7">
          <cell r="AI7">
            <v>10000</v>
          </cell>
        </row>
      </sheetData>
      <sheetData sheetId="7475">
        <row r="7">
          <cell r="AI7">
            <v>10000</v>
          </cell>
        </row>
      </sheetData>
      <sheetData sheetId="7476">
        <row r="7">
          <cell r="AI7">
            <v>10000</v>
          </cell>
        </row>
      </sheetData>
      <sheetData sheetId="7477">
        <row r="7">
          <cell r="AI7">
            <v>10000</v>
          </cell>
        </row>
      </sheetData>
      <sheetData sheetId="7478">
        <row r="7">
          <cell r="AI7">
            <v>10000</v>
          </cell>
        </row>
      </sheetData>
      <sheetData sheetId="7479">
        <row r="7">
          <cell r="AI7">
            <v>10000</v>
          </cell>
        </row>
      </sheetData>
      <sheetData sheetId="7480">
        <row r="7">
          <cell r="AI7">
            <v>10000</v>
          </cell>
        </row>
      </sheetData>
      <sheetData sheetId="7481">
        <row r="7">
          <cell r="AI7">
            <v>10000</v>
          </cell>
        </row>
      </sheetData>
      <sheetData sheetId="7482">
        <row r="7">
          <cell r="AI7">
            <v>10000</v>
          </cell>
        </row>
      </sheetData>
      <sheetData sheetId="7483">
        <row r="7">
          <cell r="AI7">
            <v>10000</v>
          </cell>
        </row>
      </sheetData>
      <sheetData sheetId="7484">
        <row r="7">
          <cell r="AI7">
            <v>10000</v>
          </cell>
        </row>
      </sheetData>
      <sheetData sheetId="7485">
        <row r="7">
          <cell r="AI7">
            <v>10000</v>
          </cell>
        </row>
      </sheetData>
      <sheetData sheetId="7486">
        <row r="7">
          <cell r="AI7">
            <v>10000</v>
          </cell>
        </row>
      </sheetData>
      <sheetData sheetId="7487">
        <row r="7">
          <cell r="AI7">
            <v>10000</v>
          </cell>
        </row>
      </sheetData>
      <sheetData sheetId="7488">
        <row r="7">
          <cell r="AI7">
            <v>10000</v>
          </cell>
        </row>
      </sheetData>
      <sheetData sheetId="7489">
        <row r="7">
          <cell r="AI7">
            <v>10000</v>
          </cell>
        </row>
      </sheetData>
      <sheetData sheetId="7490">
        <row r="7">
          <cell r="AI7">
            <v>10000</v>
          </cell>
        </row>
      </sheetData>
      <sheetData sheetId="7491">
        <row r="7">
          <cell r="AI7">
            <v>10000</v>
          </cell>
        </row>
      </sheetData>
      <sheetData sheetId="7492">
        <row r="7">
          <cell r="AI7">
            <v>10000</v>
          </cell>
        </row>
      </sheetData>
      <sheetData sheetId="7493">
        <row r="7">
          <cell r="AI7">
            <v>10000</v>
          </cell>
        </row>
      </sheetData>
      <sheetData sheetId="7494">
        <row r="7">
          <cell r="AI7">
            <v>10000</v>
          </cell>
        </row>
      </sheetData>
      <sheetData sheetId="7495">
        <row r="7">
          <cell r="AI7">
            <v>10000</v>
          </cell>
        </row>
      </sheetData>
      <sheetData sheetId="7496">
        <row r="7">
          <cell r="AI7">
            <v>10000</v>
          </cell>
        </row>
      </sheetData>
      <sheetData sheetId="7497">
        <row r="7">
          <cell r="AI7">
            <v>10000</v>
          </cell>
        </row>
      </sheetData>
      <sheetData sheetId="7498">
        <row r="7">
          <cell r="AI7">
            <v>10000</v>
          </cell>
        </row>
      </sheetData>
      <sheetData sheetId="7499">
        <row r="7">
          <cell r="AI7">
            <v>10000</v>
          </cell>
        </row>
      </sheetData>
      <sheetData sheetId="7500">
        <row r="7">
          <cell r="AI7">
            <v>10000</v>
          </cell>
        </row>
      </sheetData>
      <sheetData sheetId="7501">
        <row r="7">
          <cell r="AI7">
            <v>10000</v>
          </cell>
        </row>
      </sheetData>
      <sheetData sheetId="7502">
        <row r="7">
          <cell r="AI7">
            <v>10000</v>
          </cell>
        </row>
      </sheetData>
      <sheetData sheetId="7503">
        <row r="7">
          <cell r="AI7">
            <v>10000</v>
          </cell>
        </row>
      </sheetData>
      <sheetData sheetId="7504">
        <row r="7">
          <cell r="AI7">
            <v>10000</v>
          </cell>
        </row>
      </sheetData>
      <sheetData sheetId="7505">
        <row r="7">
          <cell r="AI7">
            <v>10000</v>
          </cell>
        </row>
      </sheetData>
      <sheetData sheetId="7506">
        <row r="7">
          <cell r="AI7">
            <v>10000</v>
          </cell>
        </row>
      </sheetData>
      <sheetData sheetId="7507">
        <row r="7">
          <cell r="AI7">
            <v>10000</v>
          </cell>
        </row>
      </sheetData>
      <sheetData sheetId="7508">
        <row r="7">
          <cell r="AI7">
            <v>10000</v>
          </cell>
        </row>
      </sheetData>
      <sheetData sheetId="7509">
        <row r="7">
          <cell r="AI7">
            <v>10000</v>
          </cell>
        </row>
      </sheetData>
      <sheetData sheetId="7510">
        <row r="7">
          <cell r="AI7">
            <v>10000</v>
          </cell>
        </row>
      </sheetData>
      <sheetData sheetId="7511">
        <row r="7">
          <cell r="AI7">
            <v>10000</v>
          </cell>
        </row>
      </sheetData>
      <sheetData sheetId="7512">
        <row r="7">
          <cell r="AI7">
            <v>10000</v>
          </cell>
        </row>
      </sheetData>
      <sheetData sheetId="7513">
        <row r="7">
          <cell r="AI7">
            <v>10000</v>
          </cell>
        </row>
      </sheetData>
      <sheetData sheetId="7514">
        <row r="7">
          <cell r="AI7">
            <v>10000</v>
          </cell>
        </row>
      </sheetData>
      <sheetData sheetId="7515">
        <row r="7">
          <cell r="AI7">
            <v>10000</v>
          </cell>
        </row>
      </sheetData>
      <sheetData sheetId="7516">
        <row r="7">
          <cell r="AI7">
            <v>10000</v>
          </cell>
        </row>
      </sheetData>
      <sheetData sheetId="7517">
        <row r="7">
          <cell r="AI7">
            <v>10000</v>
          </cell>
        </row>
      </sheetData>
      <sheetData sheetId="7518">
        <row r="7">
          <cell r="AI7">
            <v>10000</v>
          </cell>
        </row>
      </sheetData>
      <sheetData sheetId="7519">
        <row r="7">
          <cell r="AI7">
            <v>10000</v>
          </cell>
        </row>
      </sheetData>
      <sheetData sheetId="7520">
        <row r="7">
          <cell r="AI7">
            <v>10000</v>
          </cell>
        </row>
      </sheetData>
      <sheetData sheetId="7521">
        <row r="7">
          <cell r="AI7">
            <v>10000</v>
          </cell>
        </row>
      </sheetData>
      <sheetData sheetId="7522">
        <row r="7">
          <cell r="AI7">
            <v>10000</v>
          </cell>
        </row>
      </sheetData>
      <sheetData sheetId="7523">
        <row r="7">
          <cell r="AI7">
            <v>10000</v>
          </cell>
        </row>
      </sheetData>
      <sheetData sheetId="7524">
        <row r="7">
          <cell r="AI7">
            <v>10000</v>
          </cell>
        </row>
      </sheetData>
      <sheetData sheetId="7525">
        <row r="7">
          <cell r="AI7">
            <v>10000</v>
          </cell>
        </row>
      </sheetData>
      <sheetData sheetId="7526">
        <row r="7">
          <cell r="AI7">
            <v>10000</v>
          </cell>
        </row>
      </sheetData>
      <sheetData sheetId="7527">
        <row r="7">
          <cell r="AI7">
            <v>10000</v>
          </cell>
        </row>
      </sheetData>
      <sheetData sheetId="7528">
        <row r="7">
          <cell r="AI7">
            <v>10000</v>
          </cell>
        </row>
      </sheetData>
      <sheetData sheetId="7529">
        <row r="7">
          <cell r="AI7">
            <v>10000</v>
          </cell>
        </row>
      </sheetData>
      <sheetData sheetId="7530">
        <row r="7">
          <cell r="AI7">
            <v>10000</v>
          </cell>
        </row>
      </sheetData>
      <sheetData sheetId="7531">
        <row r="7">
          <cell r="AI7">
            <v>10000</v>
          </cell>
        </row>
      </sheetData>
      <sheetData sheetId="7532">
        <row r="7">
          <cell r="AI7">
            <v>10000</v>
          </cell>
        </row>
      </sheetData>
      <sheetData sheetId="7533">
        <row r="7">
          <cell r="AI7">
            <v>10000</v>
          </cell>
        </row>
      </sheetData>
      <sheetData sheetId="7534">
        <row r="7">
          <cell r="AI7">
            <v>10000</v>
          </cell>
        </row>
      </sheetData>
      <sheetData sheetId="7535">
        <row r="7">
          <cell r="AI7">
            <v>10000</v>
          </cell>
        </row>
      </sheetData>
      <sheetData sheetId="7536">
        <row r="7">
          <cell r="AI7">
            <v>10000</v>
          </cell>
        </row>
      </sheetData>
      <sheetData sheetId="7537">
        <row r="7">
          <cell r="AI7">
            <v>10000</v>
          </cell>
        </row>
      </sheetData>
      <sheetData sheetId="7538">
        <row r="7">
          <cell r="AI7">
            <v>10000</v>
          </cell>
        </row>
      </sheetData>
      <sheetData sheetId="7539">
        <row r="7">
          <cell r="AI7">
            <v>10000</v>
          </cell>
        </row>
      </sheetData>
      <sheetData sheetId="7540">
        <row r="7">
          <cell r="AI7">
            <v>10000</v>
          </cell>
        </row>
      </sheetData>
      <sheetData sheetId="7541">
        <row r="7">
          <cell r="AI7">
            <v>10000</v>
          </cell>
        </row>
      </sheetData>
      <sheetData sheetId="7542">
        <row r="7">
          <cell r="AI7">
            <v>10000</v>
          </cell>
        </row>
      </sheetData>
      <sheetData sheetId="7543">
        <row r="7">
          <cell r="AI7">
            <v>10000</v>
          </cell>
        </row>
      </sheetData>
      <sheetData sheetId="7544">
        <row r="7">
          <cell r="AI7">
            <v>10000</v>
          </cell>
        </row>
      </sheetData>
      <sheetData sheetId="7545">
        <row r="7">
          <cell r="AI7">
            <v>10000</v>
          </cell>
        </row>
      </sheetData>
      <sheetData sheetId="7546">
        <row r="7">
          <cell r="AI7">
            <v>10000</v>
          </cell>
        </row>
      </sheetData>
      <sheetData sheetId="7547">
        <row r="7">
          <cell r="AI7">
            <v>10000</v>
          </cell>
        </row>
      </sheetData>
      <sheetData sheetId="7548">
        <row r="7">
          <cell r="AI7">
            <v>10000</v>
          </cell>
        </row>
      </sheetData>
      <sheetData sheetId="7549">
        <row r="7">
          <cell r="AI7">
            <v>10000</v>
          </cell>
        </row>
      </sheetData>
      <sheetData sheetId="7550">
        <row r="7">
          <cell r="AI7">
            <v>10000</v>
          </cell>
        </row>
      </sheetData>
      <sheetData sheetId="7551">
        <row r="7">
          <cell r="AI7">
            <v>10000</v>
          </cell>
        </row>
      </sheetData>
      <sheetData sheetId="7552">
        <row r="7">
          <cell r="AI7">
            <v>10000</v>
          </cell>
        </row>
      </sheetData>
      <sheetData sheetId="7553">
        <row r="7">
          <cell r="AI7">
            <v>10000</v>
          </cell>
        </row>
      </sheetData>
      <sheetData sheetId="7554">
        <row r="7">
          <cell r="AI7">
            <v>10000</v>
          </cell>
        </row>
      </sheetData>
      <sheetData sheetId="7555">
        <row r="7">
          <cell r="AI7">
            <v>10000</v>
          </cell>
        </row>
      </sheetData>
      <sheetData sheetId="7556">
        <row r="7">
          <cell r="AI7">
            <v>10000</v>
          </cell>
        </row>
      </sheetData>
      <sheetData sheetId="7557">
        <row r="7">
          <cell r="AI7">
            <v>10000</v>
          </cell>
        </row>
      </sheetData>
      <sheetData sheetId="7558">
        <row r="7">
          <cell r="AI7">
            <v>10000</v>
          </cell>
        </row>
      </sheetData>
      <sheetData sheetId="7559">
        <row r="7">
          <cell r="AI7">
            <v>10000</v>
          </cell>
        </row>
      </sheetData>
      <sheetData sheetId="7560">
        <row r="7">
          <cell r="AI7">
            <v>10000</v>
          </cell>
        </row>
      </sheetData>
      <sheetData sheetId="7561">
        <row r="7">
          <cell r="AI7">
            <v>10000</v>
          </cell>
        </row>
      </sheetData>
      <sheetData sheetId="7562">
        <row r="7">
          <cell r="AI7">
            <v>10000</v>
          </cell>
        </row>
      </sheetData>
      <sheetData sheetId="7563">
        <row r="7">
          <cell r="AI7">
            <v>10000</v>
          </cell>
        </row>
      </sheetData>
      <sheetData sheetId="7564">
        <row r="7">
          <cell r="AI7">
            <v>10000</v>
          </cell>
        </row>
      </sheetData>
      <sheetData sheetId="7565">
        <row r="7">
          <cell r="AI7">
            <v>10000</v>
          </cell>
        </row>
      </sheetData>
      <sheetData sheetId="7566">
        <row r="7">
          <cell r="AI7">
            <v>10000</v>
          </cell>
        </row>
      </sheetData>
      <sheetData sheetId="7567">
        <row r="7">
          <cell r="AI7">
            <v>10000</v>
          </cell>
        </row>
      </sheetData>
      <sheetData sheetId="7568">
        <row r="7">
          <cell r="AI7">
            <v>10000</v>
          </cell>
        </row>
      </sheetData>
      <sheetData sheetId="7569">
        <row r="7">
          <cell r="AI7">
            <v>10000</v>
          </cell>
        </row>
      </sheetData>
      <sheetData sheetId="7570">
        <row r="7">
          <cell r="AI7">
            <v>10000</v>
          </cell>
        </row>
      </sheetData>
      <sheetData sheetId="7571">
        <row r="7">
          <cell r="AI7">
            <v>10000</v>
          </cell>
        </row>
      </sheetData>
      <sheetData sheetId="7572">
        <row r="7">
          <cell r="AI7">
            <v>10000</v>
          </cell>
        </row>
      </sheetData>
      <sheetData sheetId="7573">
        <row r="7">
          <cell r="AI7">
            <v>10000</v>
          </cell>
        </row>
      </sheetData>
      <sheetData sheetId="7574">
        <row r="7">
          <cell r="AI7">
            <v>10000</v>
          </cell>
        </row>
      </sheetData>
      <sheetData sheetId="7575">
        <row r="7">
          <cell r="AI7">
            <v>10000</v>
          </cell>
        </row>
      </sheetData>
      <sheetData sheetId="7576">
        <row r="7">
          <cell r="AI7">
            <v>10000</v>
          </cell>
        </row>
      </sheetData>
      <sheetData sheetId="7577">
        <row r="7">
          <cell r="AI7">
            <v>10000</v>
          </cell>
        </row>
      </sheetData>
      <sheetData sheetId="7578">
        <row r="7">
          <cell r="AI7">
            <v>10000</v>
          </cell>
        </row>
      </sheetData>
      <sheetData sheetId="7579">
        <row r="7">
          <cell r="AI7">
            <v>10000</v>
          </cell>
        </row>
      </sheetData>
      <sheetData sheetId="7580">
        <row r="7">
          <cell r="AI7">
            <v>10000</v>
          </cell>
        </row>
      </sheetData>
      <sheetData sheetId="7581">
        <row r="7">
          <cell r="AI7">
            <v>10000</v>
          </cell>
        </row>
      </sheetData>
      <sheetData sheetId="7582">
        <row r="7">
          <cell r="AI7">
            <v>10000</v>
          </cell>
        </row>
      </sheetData>
      <sheetData sheetId="7583">
        <row r="7">
          <cell r="AI7">
            <v>10000</v>
          </cell>
        </row>
      </sheetData>
      <sheetData sheetId="7584">
        <row r="7">
          <cell r="AI7">
            <v>10000</v>
          </cell>
        </row>
      </sheetData>
      <sheetData sheetId="7585">
        <row r="7">
          <cell r="AI7">
            <v>10000</v>
          </cell>
        </row>
      </sheetData>
      <sheetData sheetId="7586">
        <row r="7">
          <cell r="AI7">
            <v>10000</v>
          </cell>
        </row>
      </sheetData>
      <sheetData sheetId="7587">
        <row r="7">
          <cell r="AI7">
            <v>10000</v>
          </cell>
        </row>
      </sheetData>
      <sheetData sheetId="7588">
        <row r="7">
          <cell r="AI7">
            <v>10000</v>
          </cell>
        </row>
      </sheetData>
      <sheetData sheetId="7589">
        <row r="7">
          <cell r="AI7">
            <v>10000</v>
          </cell>
        </row>
      </sheetData>
      <sheetData sheetId="7590">
        <row r="7">
          <cell r="AI7">
            <v>10000</v>
          </cell>
        </row>
      </sheetData>
      <sheetData sheetId="7591">
        <row r="7">
          <cell r="AI7">
            <v>10000</v>
          </cell>
        </row>
      </sheetData>
      <sheetData sheetId="7592">
        <row r="7">
          <cell r="AI7">
            <v>10000</v>
          </cell>
        </row>
      </sheetData>
      <sheetData sheetId="7593">
        <row r="7">
          <cell r="AI7">
            <v>10000</v>
          </cell>
        </row>
      </sheetData>
      <sheetData sheetId="7594">
        <row r="7">
          <cell r="AI7">
            <v>10000</v>
          </cell>
        </row>
      </sheetData>
      <sheetData sheetId="7595">
        <row r="7">
          <cell r="AI7">
            <v>10000</v>
          </cell>
        </row>
      </sheetData>
      <sheetData sheetId="7596">
        <row r="7">
          <cell r="AI7">
            <v>10000</v>
          </cell>
        </row>
      </sheetData>
      <sheetData sheetId="7597">
        <row r="7">
          <cell r="AI7">
            <v>10000</v>
          </cell>
        </row>
      </sheetData>
      <sheetData sheetId="7598">
        <row r="7">
          <cell r="AI7">
            <v>10000</v>
          </cell>
        </row>
      </sheetData>
      <sheetData sheetId="7599">
        <row r="7">
          <cell r="AI7">
            <v>10000</v>
          </cell>
        </row>
      </sheetData>
      <sheetData sheetId="7600">
        <row r="7">
          <cell r="AI7">
            <v>10000</v>
          </cell>
        </row>
      </sheetData>
      <sheetData sheetId="7601">
        <row r="7">
          <cell r="AI7">
            <v>10000</v>
          </cell>
        </row>
      </sheetData>
      <sheetData sheetId="7602">
        <row r="7">
          <cell r="AI7">
            <v>10000</v>
          </cell>
        </row>
      </sheetData>
      <sheetData sheetId="7603">
        <row r="7">
          <cell r="AI7">
            <v>10000</v>
          </cell>
        </row>
      </sheetData>
      <sheetData sheetId="7604">
        <row r="7">
          <cell r="AI7">
            <v>10000</v>
          </cell>
        </row>
      </sheetData>
      <sheetData sheetId="7605">
        <row r="7">
          <cell r="AI7">
            <v>10000</v>
          </cell>
        </row>
      </sheetData>
      <sheetData sheetId="7606">
        <row r="7">
          <cell r="AI7">
            <v>10000</v>
          </cell>
        </row>
      </sheetData>
      <sheetData sheetId="7607">
        <row r="7">
          <cell r="AI7">
            <v>10000</v>
          </cell>
        </row>
      </sheetData>
      <sheetData sheetId="7608">
        <row r="7">
          <cell r="AI7">
            <v>10000</v>
          </cell>
        </row>
      </sheetData>
      <sheetData sheetId="7609">
        <row r="7">
          <cell r="AI7">
            <v>10000</v>
          </cell>
        </row>
      </sheetData>
      <sheetData sheetId="7610">
        <row r="7">
          <cell r="AI7">
            <v>10000</v>
          </cell>
        </row>
      </sheetData>
      <sheetData sheetId="7611">
        <row r="7">
          <cell r="AI7">
            <v>10000</v>
          </cell>
        </row>
      </sheetData>
      <sheetData sheetId="7612">
        <row r="7">
          <cell r="AI7">
            <v>10000</v>
          </cell>
        </row>
      </sheetData>
      <sheetData sheetId="7613">
        <row r="7">
          <cell r="AI7">
            <v>10000</v>
          </cell>
        </row>
      </sheetData>
      <sheetData sheetId="7614">
        <row r="7">
          <cell r="AI7">
            <v>10000</v>
          </cell>
        </row>
      </sheetData>
      <sheetData sheetId="7615">
        <row r="7">
          <cell r="AI7">
            <v>10000</v>
          </cell>
        </row>
      </sheetData>
      <sheetData sheetId="7616">
        <row r="7">
          <cell r="AI7">
            <v>10000</v>
          </cell>
        </row>
      </sheetData>
      <sheetData sheetId="7617">
        <row r="7">
          <cell r="AI7">
            <v>10000</v>
          </cell>
        </row>
      </sheetData>
      <sheetData sheetId="7618">
        <row r="7">
          <cell r="AI7">
            <v>10000</v>
          </cell>
        </row>
      </sheetData>
      <sheetData sheetId="7619">
        <row r="7">
          <cell r="AI7">
            <v>10000</v>
          </cell>
        </row>
      </sheetData>
      <sheetData sheetId="7620">
        <row r="7">
          <cell r="AI7">
            <v>10000</v>
          </cell>
        </row>
      </sheetData>
      <sheetData sheetId="7621">
        <row r="7">
          <cell r="AI7">
            <v>10000</v>
          </cell>
        </row>
      </sheetData>
      <sheetData sheetId="7622">
        <row r="7">
          <cell r="AI7">
            <v>10000</v>
          </cell>
        </row>
      </sheetData>
      <sheetData sheetId="7623">
        <row r="7">
          <cell r="AI7">
            <v>10000</v>
          </cell>
        </row>
      </sheetData>
      <sheetData sheetId="7624">
        <row r="7">
          <cell r="AI7">
            <v>10000</v>
          </cell>
        </row>
      </sheetData>
      <sheetData sheetId="7625">
        <row r="7">
          <cell r="AI7">
            <v>10000</v>
          </cell>
        </row>
      </sheetData>
      <sheetData sheetId="7626">
        <row r="7">
          <cell r="AI7">
            <v>10000</v>
          </cell>
        </row>
      </sheetData>
      <sheetData sheetId="7627">
        <row r="7">
          <cell r="AI7">
            <v>10000</v>
          </cell>
        </row>
      </sheetData>
      <sheetData sheetId="7628">
        <row r="7">
          <cell r="AI7">
            <v>10000</v>
          </cell>
        </row>
      </sheetData>
      <sheetData sheetId="7629">
        <row r="7">
          <cell r="AI7">
            <v>10000</v>
          </cell>
        </row>
      </sheetData>
      <sheetData sheetId="7630">
        <row r="7">
          <cell r="AI7">
            <v>10000</v>
          </cell>
        </row>
      </sheetData>
      <sheetData sheetId="7631">
        <row r="7">
          <cell r="AI7">
            <v>10000</v>
          </cell>
        </row>
      </sheetData>
      <sheetData sheetId="7632">
        <row r="7">
          <cell r="AI7">
            <v>10000</v>
          </cell>
        </row>
      </sheetData>
      <sheetData sheetId="7633">
        <row r="7">
          <cell r="AI7">
            <v>10000</v>
          </cell>
        </row>
      </sheetData>
      <sheetData sheetId="7634">
        <row r="7">
          <cell r="AI7">
            <v>10000</v>
          </cell>
        </row>
      </sheetData>
      <sheetData sheetId="7635">
        <row r="7">
          <cell r="AI7">
            <v>10000</v>
          </cell>
        </row>
      </sheetData>
      <sheetData sheetId="7636">
        <row r="7">
          <cell r="AI7">
            <v>10000</v>
          </cell>
        </row>
      </sheetData>
      <sheetData sheetId="7637">
        <row r="7">
          <cell r="AI7">
            <v>10000</v>
          </cell>
        </row>
      </sheetData>
      <sheetData sheetId="7638">
        <row r="7">
          <cell r="AI7">
            <v>10000</v>
          </cell>
        </row>
      </sheetData>
      <sheetData sheetId="7639">
        <row r="7">
          <cell r="AI7">
            <v>10000</v>
          </cell>
        </row>
      </sheetData>
      <sheetData sheetId="7640">
        <row r="7">
          <cell r="AI7">
            <v>10000</v>
          </cell>
        </row>
      </sheetData>
      <sheetData sheetId="7641">
        <row r="7">
          <cell r="AI7">
            <v>10000</v>
          </cell>
        </row>
      </sheetData>
      <sheetData sheetId="7642">
        <row r="7">
          <cell r="AI7">
            <v>10000</v>
          </cell>
        </row>
      </sheetData>
      <sheetData sheetId="7643">
        <row r="7">
          <cell r="AI7">
            <v>10000</v>
          </cell>
        </row>
      </sheetData>
      <sheetData sheetId="7644">
        <row r="7">
          <cell r="AI7">
            <v>10000</v>
          </cell>
        </row>
      </sheetData>
      <sheetData sheetId="7645">
        <row r="7">
          <cell r="AI7">
            <v>10000</v>
          </cell>
        </row>
      </sheetData>
      <sheetData sheetId="7646">
        <row r="7">
          <cell r="AI7">
            <v>10000</v>
          </cell>
        </row>
      </sheetData>
      <sheetData sheetId="7647">
        <row r="7">
          <cell r="AI7">
            <v>10000</v>
          </cell>
        </row>
      </sheetData>
      <sheetData sheetId="7648">
        <row r="7">
          <cell r="AI7">
            <v>10000</v>
          </cell>
        </row>
      </sheetData>
      <sheetData sheetId="7649">
        <row r="7">
          <cell r="AI7">
            <v>10000</v>
          </cell>
        </row>
      </sheetData>
      <sheetData sheetId="7650">
        <row r="7">
          <cell r="AI7">
            <v>10000</v>
          </cell>
        </row>
      </sheetData>
      <sheetData sheetId="7651">
        <row r="7">
          <cell r="AI7">
            <v>10000</v>
          </cell>
        </row>
      </sheetData>
      <sheetData sheetId="7652">
        <row r="7">
          <cell r="AI7">
            <v>10000</v>
          </cell>
        </row>
      </sheetData>
      <sheetData sheetId="7653">
        <row r="7">
          <cell r="AI7">
            <v>10000</v>
          </cell>
        </row>
      </sheetData>
      <sheetData sheetId="7654">
        <row r="7">
          <cell r="AI7">
            <v>10000</v>
          </cell>
        </row>
      </sheetData>
      <sheetData sheetId="7655">
        <row r="7">
          <cell r="AI7">
            <v>10000</v>
          </cell>
        </row>
      </sheetData>
      <sheetData sheetId="7656">
        <row r="7">
          <cell r="AI7">
            <v>10000</v>
          </cell>
        </row>
      </sheetData>
      <sheetData sheetId="7657">
        <row r="7">
          <cell r="AI7">
            <v>10000</v>
          </cell>
        </row>
      </sheetData>
      <sheetData sheetId="7658">
        <row r="7">
          <cell r="AI7">
            <v>10000</v>
          </cell>
        </row>
      </sheetData>
      <sheetData sheetId="7659">
        <row r="7">
          <cell r="AI7">
            <v>10000</v>
          </cell>
        </row>
      </sheetData>
      <sheetData sheetId="7660">
        <row r="7">
          <cell r="AI7">
            <v>10000</v>
          </cell>
        </row>
      </sheetData>
      <sheetData sheetId="7661">
        <row r="7">
          <cell r="AI7">
            <v>10000</v>
          </cell>
        </row>
      </sheetData>
      <sheetData sheetId="7662">
        <row r="7">
          <cell r="AI7">
            <v>10000</v>
          </cell>
        </row>
      </sheetData>
      <sheetData sheetId="7663">
        <row r="7">
          <cell r="AI7">
            <v>10000</v>
          </cell>
        </row>
      </sheetData>
      <sheetData sheetId="7664">
        <row r="7">
          <cell r="AI7">
            <v>10000</v>
          </cell>
        </row>
      </sheetData>
      <sheetData sheetId="7665">
        <row r="7">
          <cell r="AI7">
            <v>10000</v>
          </cell>
        </row>
      </sheetData>
      <sheetData sheetId="7666">
        <row r="7">
          <cell r="AI7">
            <v>10000</v>
          </cell>
        </row>
      </sheetData>
      <sheetData sheetId="7667">
        <row r="7">
          <cell r="AI7">
            <v>10000</v>
          </cell>
        </row>
      </sheetData>
      <sheetData sheetId="7668">
        <row r="7">
          <cell r="AI7">
            <v>10000</v>
          </cell>
        </row>
      </sheetData>
      <sheetData sheetId="7669">
        <row r="7">
          <cell r="AI7">
            <v>10000</v>
          </cell>
        </row>
      </sheetData>
      <sheetData sheetId="7670">
        <row r="7">
          <cell r="AI7">
            <v>10000</v>
          </cell>
        </row>
      </sheetData>
      <sheetData sheetId="7671">
        <row r="7">
          <cell r="AI7">
            <v>10000</v>
          </cell>
        </row>
      </sheetData>
      <sheetData sheetId="7672">
        <row r="7">
          <cell r="AI7">
            <v>10000</v>
          </cell>
        </row>
      </sheetData>
      <sheetData sheetId="7673">
        <row r="7">
          <cell r="AI7">
            <v>10000</v>
          </cell>
        </row>
      </sheetData>
      <sheetData sheetId="7674">
        <row r="7">
          <cell r="AI7">
            <v>10000</v>
          </cell>
        </row>
      </sheetData>
      <sheetData sheetId="7675">
        <row r="7">
          <cell r="AI7">
            <v>10000</v>
          </cell>
        </row>
      </sheetData>
      <sheetData sheetId="7676">
        <row r="7">
          <cell r="AI7">
            <v>10000</v>
          </cell>
        </row>
      </sheetData>
      <sheetData sheetId="7677">
        <row r="7">
          <cell r="AI7">
            <v>10000</v>
          </cell>
        </row>
      </sheetData>
      <sheetData sheetId="7678">
        <row r="7">
          <cell r="AI7">
            <v>10000</v>
          </cell>
        </row>
      </sheetData>
      <sheetData sheetId="7679">
        <row r="7">
          <cell r="AI7">
            <v>10000</v>
          </cell>
        </row>
      </sheetData>
      <sheetData sheetId="7680">
        <row r="7">
          <cell r="AI7">
            <v>10000</v>
          </cell>
        </row>
      </sheetData>
      <sheetData sheetId="7681">
        <row r="7">
          <cell r="AI7">
            <v>10000</v>
          </cell>
        </row>
      </sheetData>
      <sheetData sheetId="7682">
        <row r="7">
          <cell r="AI7">
            <v>10000</v>
          </cell>
        </row>
      </sheetData>
      <sheetData sheetId="7683">
        <row r="7">
          <cell r="AI7">
            <v>10000</v>
          </cell>
        </row>
      </sheetData>
      <sheetData sheetId="7684">
        <row r="7">
          <cell r="AI7">
            <v>10000</v>
          </cell>
        </row>
      </sheetData>
      <sheetData sheetId="7685">
        <row r="7">
          <cell r="AI7">
            <v>10000</v>
          </cell>
        </row>
      </sheetData>
      <sheetData sheetId="7686">
        <row r="7">
          <cell r="AI7">
            <v>10000</v>
          </cell>
        </row>
      </sheetData>
      <sheetData sheetId="7687">
        <row r="7">
          <cell r="AI7">
            <v>10000</v>
          </cell>
        </row>
      </sheetData>
      <sheetData sheetId="7688">
        <row r="7">
          <cell r="AI7">
            <v>10000</v>
          </cell>
        </row>
      </sheetData>
      <sheetData sheetId="7689">
        <row r="7">
          <cell r="AI7">
            <v>10000</v>
          </cell>
        </row>
      </sheetData>
      <sheetData sheetId="7690">
        <row r="7">
          <cell r="AI7">
            <v>10000</v>
          </cell>
        </row>
      </sheetData>
      <sheetData sheetId="7691">
        <row r="7">
          <cell r="AI7">
            <v>10000</v>
          </cell>
        </row>
      </sheetData>
      <sheetData sheetId="7692">
        <row r="7">
          <cell r="AI7">
            <v>10000</v>
          </cell>
        </row>
      </sheetData>
      <sheetData sheetId="7693">
        <row r="7">
          <cell r="AI7">
            <v>10000</v>
          </cell>
        </row>
      </sheetData>
      <sheetData sheetId="7694">
        <row r="7">
          <cell r="AI7">
            <v>10000</v>
          </cell>
        </row>
      </sheetData>
      <sheetData sheetId="7695">
        <row r="7">
          <cell r="AI7">
            <v>10000</v>
          </cell>
        </row>
      </sheetData>
      <sheetData sheetId="7696">
        <row r="7">
          <cell r="AI7">
            <v>10000</v>
          </cell>
        </row>
      </sheetData>
      <sheetData sheetId="7697">
        <row r="7">
          <cell r="AI7">
            <v>10000</v>
          </cell>
        </row>
      </sheetData>
      <sheetData sheetId="7698">
        <row r="7">
          <cell r="AI7">
            <v>10000</v>
          </cell>
        </row>
      </sheetData>
      <sheetData sheetId="7699">
        <row r="7">
          <cell r="AI7">
            <v>10000</v>
          </cell>
        </row>
      </sheetData>
      <sheetData sheetId="7700">
        <row r="7">
          <cell r="AI7">
            <v>10000</v>
          </cell>
        </row>
      </sheetData>
      <sheetData sheetId="7701">
        <row r="7">
          <cell r="AI7">
            <v>10000</v>
          </cell>
        </row>
      </sheetData>
      <sheetData sheetId="7702">
        <row r="7">
          <cell r="AI7">
            <v>10000</v>
          </cell>
        </row>
      </sheetData>
      <sheetData sheetId="7703">
        <row r="7">
          <cell r="AI7">
            <v>10000</v>
          </cell>
        </row>
      </sheetData>
      <sheetData sheetId="7704">
        <row r="7">
          <cell r="AI7">
            <v>10000</v>
          </cell>
        </row>
      </sheetData>
      <sheetData sheetId="7705">
        <row r="7">
          <cell r="AI7">
            <v>10000</v>
          </cell>
        </row>
      </sheetData>
      <sheetData sheetId="7706">
        <row r="7">
          <cell r="AI7">
            <v>10000</v>
          </cell>
        </row>
      </sheetData>
      <sheetData sheetId="7707">
        <row r="7">
          <cell r="AI7">
            <v>10000</v>
          </cell>
        </row>
      </sheetData>
      <sheetData sheetId="7708">
        <row r="7">
          <cell r="AI7">
            <v>10000</v>
          </cell>
        </row>
      </sheetData>
      <sheetData sheetId="7709">
        <row r="7">
          <cell r="AI7">
            <v>10000</v>
          </cell>
        </row>
      </sheetData>
      <sheetData sheetId="7710">
        <row r="7">
          <cell r="AI7">
            <v>10000</v>
          </cell>
        </row>
      </sheetData>
      <sheetData sheetId="7711">
        <row r="7">
          <cell r="AI7">
            <v>10000</v>
          </cell>
        </row>
      </sheetData>
      <sheetData sheetId="7712">
        <row r="7">
          <cell r="AI7">
            <v>10000</v>
          </cell>
        </row>
      </sheetData>
      <sheetData sheetId="7713">
        <row r="7">
          <cell r="AI7">
            <v>10000</v>
          </cell>
        </row>
      </sheetData>
      <sheetData sheetId="7714">
        <row r="7">
          <cell r="AI7">
            <v>10000</v>
          </cell>
        </row>
      </sheetData>
      <sheetData sheetId="7715">
        <row r="7">
          <cell r="AI7">
            <v>10000</v>
          </cell>
        </row>
      </sheetData>
      <sheetData sheetId="7716">
        <row r="7">
          <cell r="AI7">
            <v>10000</v>
          </cell>
        </row>
      </sheetData>
      <sheetData sheetId="7717">
        <row r="7">
          <cell r="AI7">
            <v>10000</v>
          </cell>
        </row>
      </sheetData>
      <sheetData sheetId="7718">
        <row r="7">
          <cell r="AI7">
            <v>10000</v>
          </cell>
        </row>
      </sheetData>
      <sheetData sheetId="7719">
        <row r="7">
          <cell r="AI7">
            <v>10000</v>
          </cell>
        </row>
      </sheetData>
      <sheetData sheetId="7720">
        <row r="7">
          <cell r="AI7">
            <v>10000</v>
          </cell>
        </row>
      </sheetData>
      <sheetData sheetId="7721">
        <row r="7">
          <cell r="AI7">
            <v>10000</v>
          </cell>
        </row>
      </sheetData>
      <sheetData sheetId="7722">
        <row r="7">
          <cell r="AI7">
            <v>10000</v>
          </cell>
        </row>
      </sheetData>
      <sheetData sheetId="7723">
        <row r="7">
          <cell r="AI7">
            <v>10000</v>
          </cell>
        </row>
      </sheetData>
      <sheetData sheetId="7724">
        <row r="7">
          <cell r="AI7">
            <v>10000</v>
          </cell>
        </row>
      </sheetData>
      <sheetData sheetId="7725">
        <row r="7">
          <cell r="AI7">
            <v>10000</v>
          </cell>
        </row>
      </sheetData>
      <sheetData sheetId="7726">
        <row r="7">
          <cell r="AI7">
            <v>10000</v>
          </cell>
        </row>
      </sheetData>
      <sheetData sheetId="7727">
        <row r="7">
          <cell r="AI7">
            <v>10000</v>
          </cell>
        </row>
      </sheetData>
      <sheetData sheetId="7728">
        <row r="7">
          <cell r="AI7">
            <v>10000</v>
          </cell>
        </row>
      </sheetData>
      <sheetData sheetId="7729">
        <row r="7">
          <cell r="AI7">
            <v>10000</v>
          </cell>
        </row>
      </sheetData>
      <sheetData sheetId="7730">
        <row r="7">
          <cell r="AI7">
            <v>10000</v>
          </cell>
        </row>
      </sheetData>
      <sheetData sheetId="7731">
        <row r="7">
          <cell r="AI7">
            <v>10000</v>
          </cell>
        </row>
      </sheetData>
      <sheetData sheetId="7732">
        <row r="7">
          <cell r="AI7">
            <v>10000</v>
          </cell>
        </row>
      </sheetData>
      <sheetData sheetId="7733">
        <row r="7">
          <cell r="AI7">
            <v>10000</v>
          </cell>
        </row>
      </sheetData>
      <sheetData sheetId="7734">
        <row r="7">
          <cell r="AI7">
            <v>10000</v>
          </cell>
        </row>
      </sheetData>
      <sheetData sheetId="7735">
        <row r="7">
          <cell r="AI7">
            <v>10000</v>
          </cell>
        </row>
      </sheetData>
      <sheetData sheetId="7736">
        <row r="7">
          <cell r="AI7">
            <v>10000</v>
          </cell>
        </row>
      </sheetData>
      <sheetData sheetId="7737">
        <row r="7">
          <cell r="AI7">
            <v>10000</v>
          </cell>
        </row>
      </sheetData>
      <sheetData sheetId="7738">
        <row r="7">
          <cell r="AI7">
            <v>10000</v>
          </cell>
        </row>
      </sheetData>
      <sheetData sheetId="7739">
        <row r="7">
          <cell r="AI7">
            <v>10000</v>
          </cell>
        </row>
      </sheetData>
      <sheetData sheetId="7740">
        <row r="7">
          <cell r="AI7">
            <v>10000</v>
          </cell>
        </row>
      </sheetData>
      <sheetData sheetId="7741">
        <row r="7">
          <cell r="AI7">
            <v>10000</v>
          </cell>
        </row>
      </sheetData>
      <sheetData sheetId="7742">
        <row r="7">
          <cell r="AI7">
            <v>10000</v>
          </cell>
        </row>
      </sheetData>
      <sheetData sheetId="7743">
        <row r="7">
          <cell r="AI7">
            <v>10000</v>
          </cell>
        </row>
      </sheetData>
      <sheetData sheetId="7744">
        <row r="7">
          <cell r="AI7">
            <v>10000</v>
          </cell>
        </row>
      </sheetData>
      <sheetData sheetId="7745">
        <row r="7">
          <cell r="AI7">
            <v>10000</v>
          </cell>
        </row>
      </sheetData>
      <sheetData sheetId="7746">
        <row r="7">
          <cell r="AI7">
            <v>10000</v>
          </cell>
        </row>
      </sheetData>
      <sheetData sheetId="7747">
        <row r="7">
          <cell r="AI7">
            <v>10000</v>
          </cell>
        </row>
      </sheetData>
      <sheetData sheetId="7748">
        <row r="7">
          <cell r="AI7">
            <v>10000</v>
          </cell>
        </row>
      </sheetData>
      <sheetData sheetId="7749">
        <row r="7">
          <cell r="AI7">
            <v>10000</v>
          </cell>
        </row>
      </sheetData>
      <sheetData sheetId="7750">
        <row r="7">
          <cell r="AI7">
            <v>10000</v>
          </cell>
        </row>
      </sheetData>
      <sheetData sheetId="7751">
        <row r="7">
          <cell r="AI7">
            <v>10000</v>
          </cell>
        </row>
      </sheetData>
      <sheetData sheetId="7752">
        <row r="7">
          <cell r="AI7">
            <v>10000</v>
          </cell>
        </row>
      </sheetData>
      <sheetData sheetId="7753">
        <row r="7">
          <cell r="AI7">
            <v>10000</v>
          </cell>
        </row>
      </sheetData>
      <sheetData sheetId="7754">
        <row r="7">
          <cell r="AI7">
            <v>10000</v>
          </cell>
        </row>
      </sheetData>
      <sheetData sheetId="7755">
        <row r="7">
          <cell r="AI7">
            <v>10000</v>
          </cell>
        </row>
      </sheetData>
      <sheetData sheetId="7756">
        <row r="7">
          <cell r="AI7">
            <v>10000</v>
          </cell>
        </row>
      </sheetData>
      <sheetData sheetId="7757">
        <row r="7">
          <cell r="AI7">
            <v>10000</v>
          </cell>
        </row>
      </sheetData>
      <sheetData sheetId="7758">
        <row r="7">
          <cell r="AI7">
            <v>10000</v>
          </cell>
        </row>
      </sheetData>
      <sheetData sheetId="7759">
        <row r="7">
          <cell r="AI7">
            <v>10000</v>
          </cell>
        </row>
      </sheetData>
      <sheetData sheetId="7760">
        <row r="7">
          <cell r="AI7">
            <v>10000</v>
          </cell>
        </row>
      </sheetData>
      <sheetData sheetId="7761">
        <row r="7">
          <cell r="AI7">
            <v>10000</v>
          </cell>
        </row>
      </sheetData>
      <sheetData sheetId="7762">
        <row r="7">
          <cell r="AI7">
            <v>10000</v>
          </cell>
        </row>
      </sheetData>
      <sheetData sheetId="7763">
        <row r="7">
          <cell r="AI7">
            <v>10000</v>
          </cell>
        </row>
      </sheetData>
      <sheetData sheetId="7764">
        <row r="7">
          <cell r="AI7">
            <v>10000</v>
          </cell>
        </row>
      </sheetData>
      <sheetData sheetId="7765">
        <row r="7">
          <cell r="AI7">
            <v>10000</v>
          </cell>
        </row>
      </sheetData>
      <sheetData sheetId="7766">
        <row r="7">
          <cell r="AI7">
            <v>10000</v>
          </cell>
        </row>
      </sheetData>
      <sheetData sheetId="7767">
        <row r="7">
          <cell r="AI7">
            <v>10000</v>
          </cell>
        </row>
      </sheetData>
      <sheetData sheetId="7768">
        <row r="7">
          <cell r="AI7">
            <v>10000</v>
          </cell>
        </row>
      </sheetData>
      <sheetData sheetId="7769">
        <row r="7">
          <cell r="AI7">
            <v>10000</v>
          </cell>
        </row>
      </sheetData>
      <sheetData sheetId="7770">
        <row r="7">
          <cell r="AI7">
            <v>10000</v>
          </cell>
        </row>
      </sheetData>
      <sheetData sheetId="7771">
        <row r="7">
          <cell r="AI7">
            <v>10000</v>
          </cell>
        </row>
      </sheetData>
      <sheetData sheetId="7772">
        <row r="7">
          <cell r="AI7">
            <v>10000</v>
          </cell>
        </row>
      </sheetData>
      <sheetData sheetId="7773">
        <row r="7">
          <cell r="AI7">
            <v>10000</v>
          </cell>
        </row>
      </sheetData>
      <sheetData sheetId="7774">
        <row r="7">
          <cell r="AI7">
            <v>10000</v>
          </cell>
        </row>
      </sheetData>
      <sheetData sheetId="7775">
        <row r="7">
          <cell r="AI7">
            <v>10000</v>
          </cell>
        </row>
      </sheetData>
      <sheetData sheetId="7776">
        <row r="7">
          <cell r="AI7">
            <v>10000</v>
          </cell>
        </row>
      </sheetData>
      <sheetData sheetId="7777">
        <row r="7">
          <cell r="AI7">
            <v>10000</v>
          </cell>
        </row>
      </sheetData>
      <sheetData sheetId="7778">
        <row r="7">
          <cell r="AI7">
            <v>10000</v>
          </cell>
        </row>
      </sheetData>
      <sheetData sheetId="7779">
        <row r="7">
          <cell r="AI7">
            <v>10000</v>
          </cell>
        </row>
      </sheetData>
      <sheetData sheetId="7780">
        <row r="7">
          <cell r="AI7">
            <v>10000</v>
          </cell>
        </row>
      </sheetData>
      <sheetData sheetId="7781">
        <row r="7">
          <cell r="AI7">
            <v>10000</v>
          </cell>
        </row>
      </sheetData>
      <sheetData sheetId="7782">
        <row r="7">
          <cell r="AI7">
            <v>10000</v>
          </cell>
        </row>
      </sheetData>
      <sheetData sheetId="7783">
        <row r="7">
          <cell r="AI7">
            <v>10000</v>
          </cell>
        </row>
      </sheetData>
      <sheetData sheetId="7784">
        <row r="7">
          <cell r="AI7">
            <v>10000</v>
          </cell>
        </row>
      </sheetData>
      <sheetData sheetId="7785">
        <row r="7">
          <cell r="AI7">
            <v>10000</v>
          </cell>
        </row>
      </sheetData>
      <sheetData sheetId="7786">
        <row r="7">
          <cell r="AI7">
            <v>10000</v>
          </cell>
        </row>
      </sheetData>
      <sheetData sheetId="7787">
        <row r="7">
          <cell r="AI7">
            <v>10000</v>
          </cell>
        </row>
      </sheetData>
      <sheetData sheetId="7788">
        <row r="7">
          <cell r="AI7">
            <v>10000</v>
          </cell>
        </row>
      </sheetData>
      <sheetData sheetId="7789">
        <row r="7">
          <cell r="AI7">
            <v>10000</v>
          </cell>
        </row>
      </sheetData>
      <sheetData sheetId="7790">
        <row r="7">
          <cell r="AI7">
            <v>10000</v>
          </cell>
        </row>
      </sheetData>
      <sheetData sheetId="7791">
        <row r="7">
          <cell r="AI7">
            <v>10000</v>
          </cell>
        </row>
      </sheetData>
      <sheetData sheetId="7792">
        <row r="7">
          <cell r="AI7">
            <v>10000</v>
          </cell>
        </row>
      </sheetData>
      <sheetData sheetId="7793">
        <row r="7">
          <cell r="AI7">
            <v>10000</v>
          </cell>
        </row>
      </sheetData>
      <sheetData sheetId="7794">
        <row r="7">
          <cell r="AI7">
            <v>10000</v>
          </cell>
        </row>
      </sheetData>
      <sheetData sheetId="7795">
        <row r="7">
          <cell r="AI7">
            <v>10000</v>
          </cell>
        </row>
      </sheetData>
      <sheetData sheetId="7796">
        <row r="7">
          <cell r="AI7">
            <v>10000</v>
          </cell>
        </row>
      </sheetData>
      <sheetData sheetId="7797">
        <row r="7">
          <cell r="AI7">
            <v>10000</v>
          </cell>
        </row>
      </sheetData>
      <sheetData sheetId="7798">
        <row r="7">
          <cell r="AI7">
            <v>10000</v>
          </cell>
        </row>
      </sheetData>
      <sheetData sheetId="7799">
        <row r="7">
          <cell r="AI7">
            <v>10000</v>
          </cell>
        </row>
      </sheetData>
      <sheetData sheetId="7800">
        <row r="7">
          <cell r="AI7">
            <v>10000</v>
          </cell>
        </row>
      </sheetData>
      <sheetData sheetId="7801">
        <row r="7">
          <cell r="AI7">
            <v>10000</v>
          </cell>
        </row>
      </sheetData>
      <sheetData sheetId="7802">
        <row r="7">
          <cell r="AI7">
            <v>10000</v>
          </cell>
        </row>
      </sheetData>
      <sheetData sheetId="7803">
        <row r="7">
          <cell r="AI7">
            <v>10000</v>
          </cell>
        </row>
      </sheetData>
      <sheetData sheetId="7804">
        <row r="7">
          <cell r="AI7">
            <v>10000</v>
          </cell>
        </row>
      </sheetData>
      <sheetData sheetId="7805">
        <row r="7">
          <cell r="AI7">
            <v>10000</v>
          </cell>
        </row>
      </sheetData>
      <sheetData sheetId="7806">
        <row r="7">
          <cell r="AI7">
            <v>10000</v>
          </cell>
        </row>
      </sheetData>
      <sheetData sheetId="7807">
        <row r="7">
          <cell r="AI7">
            <v>10000</v>
          </cell>
        </row>
      </sheetData>
      <sheetData sheetId="7808">
        <row r="7">
          <cell r="AI7">
            <v>10000</v>
          </cell>
        </row>
      </sheetData>
      <sheetData sheetId="7809">
        <row r="7">
          <cell r="AI7">
            <v>10000</v>
          </cell>
        </row>
      </sheetData>
      <sheetData sheetId="7810">
        <row r="7">
          <cell r="AI7">
            <v>10000</v>
          </cell>
        </row>
      </sheetData>
      <sheetData sheetId="7811">
        <row r="7">
          <cell r="AI7">
            <v>10000</v>
          </cell>
        </row>
      </sheetData>
      <sheetData sheetId="7812">
        <row r="7">
          <cell r="AI7">
            <v>10000</v>
          </cell>
        </row>
      </sheetData>
      <sheetData sheetId="7813">
        <row r="7">
          <cell r="AI7">
            <v>10000</v>
          </cell>
        </row>
      </sheetData>
      <sheetData sheetId="7814">
        <row r="7">
          <cell r="AI7">
            <v>10000</v>
          </cell>
        </row>
      </sheetData>
      <sheetData sheetId="7815">
        <row r="7">
          <cell r="AI7">
            <v>10000</v>
          </cell>
        </row>
      </sheetData>
      <sheetData sheetId="7816">
        <row r="7">
          <cell r="AI7">
            <v>10000</v>
          </cell>
        </row>
      </sheetData>
      <sheetData sheetId="7817">
        <row r="7">
          <cell r="AI7">
            <v>10000</v>
          </cell>
        </row>
      </sheetData>
      <sheetData sheetId="7818">
        <row r="7">
          <cell r="AI7">
            <v>10000</v>
          </cell>
        </row>
      </sheetData>
      <sheetData sheetId="7819">
        <row r="7">
          <cell r="AI7">
            <v>10000</v>
          </cell>
        </row>
      </sheetData>
      <sheetData sheetId="7820">
        <row r="7">
          <cell r="AI7">
            <v>10000</v>
          </cell>
        </row>
      </sheetData>
      <sheetData sheetId="7821">
        <row r="7">
          <cell r="AI7">
            <v>10000</v>
          </cell>
        </row>
      </sheetData>
      <sheetData sheetId="7822">
        <row r="7">
          <cell r="AI7">
            <v>10000</v>
          </cell>
        </row>
      </sheetData>
      <sheetData sheetId="7823">
        <row r="7">
          <cell r="AI7">
            <v>10000</v>
          </cell>
        </row>
      </sheetData>
      <sheetData sheetId="7824">
        <row r="7">
          <cell r="AI7">
            <v>10000</v>
          </cell>
        </row>
      </sheetData>
      <sheetData sheetId="7825">
        <row r="7">
          <cell r="AI7">
            <v>10000</v>
          </cell>
        </row>
      </sheetData>
      <sheetData sheetId="7826">
        <row r="7">
          <cell r="AI7">
            <v>10000</v>
          </cell>
        </row>
      </sheetData>
      <sheetData sheetId="7827">
        <row r="7">
          <cell r="AI7">
            <v>10000</v>
          </cell>
        </row>
      </sheetData>
      <sheetData sheetId="7828">
        <row r="7">
          <cell r="AI7">
            <v>10000</v>
          </cell>
        </row>
      </sheetData>
      <sheetData sheetId="7829">
        <row r="7">
          <cell r="AI7">
            <v>10000</v>
          </cell>
        </row>
      </sheetData>
      <sheetData sheetId="7830">
        <row r="7">
          <cell r="AI7">
            <v>10000</v>
          </cell>
        </row>
      </sheetData>
      <sheetData sheetId="7831">
        <row r="7">
          <cell r="AI7">
            <v>10000</v>
          </cell>
        </row>
      </sheetData>
      <sheetData sheetId="7832">
        <row r="7">
          <cell r="AI7">
            <v>10000</v>
          </cell>
        </row>
      </sheetData>
      <sheetData sheetId="7833">
        <row r="7">
          <cell r="AI7">
            <v>10000</v>
          </cell>
        </row>
      </sheetData>
      <sheetData sheetId="7834">
        <row r="7">
          <cell r="AI7">
            <v>10000</v>
          </cell>
        </row>
      </sheetData>
      <sheetData sheetId="7835">
        <row r="7">
          <cell r="AI7">
            <v>10000</v>
          </cell>
        </row>
      </sheetData>
      <sheetData sheetId="7836">
        <row r="7">
          <cell r="AI7">
            <v>10000</v>
          </cell>
        </row>
      </sheetData>
      <sheetData sheetId="7837">
        <row r="7">
          <cell r="AI7">
            <v>10000</v>
          </cell>
        </row>
      </sheetData>
      <sheetData sheetId="7838">
        <row r="7">
          <cell r="AI7">
            <v>10000</v>
          </cell>
        </row>
      </sheetData>
      <sheetData sheetId="7839">
        <row r="7">
          <cell r="AI7">
            <v>10000</v>
          </cell>
        </row>
      </sheetData>
      <sheetData sheetId="7840">
        <row r="7">
          <cell r="AI7">
            <v>10000</v>
          </cell>
        </row>
      </sheetData>
      <sheetData sheetId="7841">
        <row r="7">
          <cell r="AI7">
            <v>10000</v>
          </cell>
        </row>
      </sheetData>
      <sheetData sheetId="7842">
        <row r="7">
          <cell r="AI7">
            <v>10000</v>
          </cell>
        </row>
      </sheetData>
      <sheetData sheetId="7843">
        <row r="7">
          <cell r="AI7">
            <v>10000</v>
          </cell>
        </row>
      </sheetData>
      <sheetData sheetId="7844">
        <row r="7">
          <cell r="AI7">
            <v>10000</v>
          </cell>
        </row>
      </sheetData>
      <sheetData sheetId="7845">
        <row r="7">
          <cell r="AI7">
            <v>10000</v>
          </cell>
        </row>
      </sheetData>
      <sheetData sheetId="7846">
        <row r="7">
          <cell r="AI7">
            <v>10000</v>
          </cell>
        </row>
      </sheetData>
      <sheetData sheetId="7847">
        <row r="7">
          <cell r="AI7">
            <v>10000</v>
          </cell>
        </row>
      </sheetData>
      <sheetData sheetId="7848">
        <row r="7">
          <cell r="AI7">
            <v>10000</v>
          </cell>
        </row>
      </sheetData>
      <sheetData sheetId="7849">
        <row r="7">
          <cell r="AI7">
            <v>10000</v>
          </cell>
        </row>
      </sheetData>
      <sheetData sheetId="7850">
        <row r="7">
          <cell r="AI7">
            <v>10000</v>
          </cell>
        </row>
      </sheetData>
      <sheetData sheetId="7851">
        <row r="7">
          <cell r="AI7">
            <v>10000</v>
          </cell>
        </row>
      </sheetData>
      <sheetData sheetId="7852">
        <row r="7">
          <cell r="AI7">
            <v>10000</v>
          </cell>
        </row>
      </sheetData>
      <sheetData sheetId="7853">
        <row r="7">
          <cell r="AI7">
            <v>10000</v>
          </cell>
        </row>
      </sheetData>
      <sheetData sheetId="7854">
        <row r="7">
          <cell r="AI7">
            <v>10000</v>
          </cell>
        </row>
      </sheetData>
      <sheetData sheetId="7855">
        <row r="7">
          <cell r="AI7">
            <v>10000</v>
          </cell>
        </row>
      </sheetData>
      <sheetData sheetId="7856">
        <row r="7">
          <cell r="AI7">
            <v>10000</v>
          </cell>
        </row>
      </sheetData>
      <sheetData sheetId="7857">
        <row r="7">
          <cell r="AI7">
            <v>10000</v>
          </cell>
        </row>
      </sheetData>
      <sheetData sheetId="7858">
        <row r="7">
          <cell r="AI7">
            <v>10000</v>
          </cell>
        </row>
      </sheetData>
      <sheetData sheetId="7859">
        <row r="7">
          <cell r="AI7">
            <v>10000</v>
          </cell>
        </row>
      </sheetData>
      <sheetData sheetId="7860">
        <row r="7">
          <cell r="AI7">
            <v>10000</v>
          </cell>
        </row>
      </sheetData>
      <sheetData sheetId="7861">
        <row r="7">
          <cell r="AI7">
            <v>10000</v>
          </cell>
        </row>
      </sheetData>
      <sheetData sheetId="7862">
        <row r="7">
          <cell r="AI7">
            <v>10000</v>
          </cell>
        </row>
      </sheetData>
      <sheetData sheetId="7863">
        <row r="7">
          <cell r="AI7">
            <v>10000</v>
          </cell>
        </row>
      </sheetData>
      <sheetData sheetId="7864">
        <row r="7">
          <cell r="AI7">
            <v>10000</v>
          </cell>
        </row>
      </sheetData>
      <sheetData sheetId="7865">
        <row r="7">
          <cell r="AI7">
            <v>10000</v>
          </cell>
        </row>
      </sheetData>
      <sheetData sheetId="7866">
        <row r="7">
          <cell r="AI7">
            <v>10000</v>
          </cell>
        </row>
      </sheetData>
      <sheetData sheetId="7867">
        <row r="7">
          <cell r="AI7">
            <v>10000</v>
          </cell>
        </row>
      </sheetData>
      <sheetData sheetId="7868">
        <row r="7">
          <cell r="AI7">
            <v>10000</v>
          </cell>
        </row>
      </sheetData>
      <sheetData sheetId="7869">
        <row r="7">
          <cell r="AI7">
            <v>10000</v>
          </cell>
        </row>
      </sheetData>
      <sheetData sheetId="7870">
        <row r="7">
          <cell r="AI7">
            <v>10000</v>
          </cell>
        </row>
      </sheetData>
      <sheetData sheetId="7871">
        <row r="7">
          <cell r="AI7">
            <v>10000</v>
          </cell>
        </row>
      </sheetData>
      <sheetData sheetId="7872">
        <row r="7">
          <cell r="AI7">
            <v>10000</v>
          </cell>
        </row>
      </sheetData>
      <sheetData sheetId="7873">
        <row r="7">
          <cell r="AI7">
            <v>10000</v>
          </cell>
        </row>
      </sheetData>
      <sheetData sheetId="7874">
        <row r="7">
          <cell r="AI7">
            <v>10000</v>
          </cell>
        </row>
      </sheetData>
      <sheetData sheetId="7875">
        <row r="7">
          <cell r="AI7">
            <v>10000</v>
          </cell>
        </row>
      </sheetData>
      <sheetData sheetId="7876">
        <row r="7">
          <cell r="AI7">
            <v>10000</v>
          </cell>
        </row>
      </sheetData>
      <sheetData sheetId="7877">
        <row r="7">
          <cell r="AI7">
            <v>10000</v>
          </cell>
        </row>
      </sheetData>
      <sheetData sheetId="7878">
        <row r="7">
          <cell r="AI7">
            <v>10000</v>
          </cell>
        </row>
      </sheetData>
      <sheetData sheetId="7879">
        <row r="7">
          <cell r="AI7">
            <v>10000</v>
          </cell>
        </row>
      </sheetData>
      <sheetData sheetId="7880">
        <row r="7">
          <cell r="AI7">
            <v>10000</v>
          </cell>
        </row>
      </sheetData>
      <sheetData sheetId="7881">
        <row r="7">
          <cell r="AI7">
            <v>10000</v>
          </cell>
        </row>
      </sheetData>
      <sheetData sheetId="7882">
        <row r="7">
          <cell r="AI7">
            <v>10000</v>
          </cell>
        </row>
      </sheetData>
      <sheetData sheetId="7883">
        <row r="7">
          <cell r="AI7">
            <v>10000</v>
          </cell>
        </row>
      </sheetData>
      <sheetData sheetId="7884">
        <row r="7">
          <cell r="AI7">
            <v>10000</v>
          </cell>
        </row>
      </sheetData>
      <sheetData sheetId="7885">
        <row r="7">
          <cell r="AI7">
            <v>10000</v>
          </cell>
        </row>
      </sheetData>
      <sheetData sheetId="7886">
        <row r="7">
          <cell r="AI7">
            <v>10000</v>
          </cell>
        </row>
      </sheetData>
      <sheetData sheetId="7887">
        <row r="7">
          <cell r="AI7">
            <v>10000</v>
          </cell>
        </row>
      </sheetData>
      <sheetData sheetId="7888">
        <row r="7">
          <cell r="AI7">
            <v>10000</v>
          </cell>
        </row>
      </sheetData>
      <sheetData sheetId="7889">
        <row r="7">
          <cell r="AI7">
            <v>10000</v>
          </cell>
        </row>
      </sheetData>
      <sheetData sheetId="7890">
        <row r="7">
          <cell r="AI7">
            <v>10000</v>
          </cell>
        </row>
      </sheetData>
      <sheetData sheetId="7891">
        <row r="7">
          <cell r="AI7">
            <v>10000</v>
          </cell>
        </row>
      </sheetData>
      <sheetData sheetId="7892">
        <row r="7">
          <cell r="AI7">
            <v>10000</v>
          </cell>
        </row>
      </sheetData>
      <sheetData sheetId="7893">
        <row r="7">
          <cell r="AI7">
            <v>10000</v>
          </cell>
        </row>
      </sheetData>
      <sheetData sheetId="7894">
        <row r="7">
          <cell r="AI7">
            <v>10000</v>
          </cell>
        </row>
      </sheetData>
      <sheetData sheetId="7895">
        <row r="7">
          <cell r="AI7">
            <v>10000</v>
          </cell>
        </row>
      </sheetData>
      <sheetData sheetId="7896">
        <row r="7">
          <cell r="AI7">
            <v>10000</v>
          </cell>
        </row>
      </sheetData>
      <sheetData sheetId="7897">
        <row r="7">
          <cell r="AI7">
            <v>10000</v>
          </cell>
        </row>
      </sheetData>
      <sheetData sheetId="7898">
        <row r="7">
          <cell r="AI7">
            <v>10000</v>
          </cell>
        </row>
      </sheetData>
      <sheetData sheetId="7899">
        <row r="7">
          <cell r="AI7">
            <v>10000</v>
          </cell>
        </row>
      </sheetData>
      <sheetData sheetId="7900">
        <row r="7">
          <cell r="AI7">
            <v>10000</v>
          </cell>
        </row>
      </sheetData>
      <sheetData sheetId="7901">
        <row r="7">
          <cell r="AI7">
            <v>10000</v>
          </cell>
        </row>
      </sheetData>
      <sheetData sheetId="7902">
        <row r="7">
          <cell r="AI7">
            <v>10000</v>
          </cell>
        </row>
      </sheetData>
      <sheetData sheetId="7903">
        <row r="7">
          <cell r="AI7">
            <v>10000</v>
          </cell>
        </row>
      </sheetData>
      <sheetData sheetId="7904">
        <row r="7">
          <cell r="AI7">
            <v>10000</v>
          </cell>
        </row>
      </sheetData>
      <sheetData sheetId="7905">
        <row r="7">
          <cell r="AI7">
            <v>10000</v>
          </cell>
        </row>
      </sheetData>
      <sheetData sheetId="7906">
        <row r="7">
          <cell r="AI7">
            <v>10000</v>
          </cell>
        </row>
      </sheetData>
      <sheetData sheetId="7907">
        <row r="7">
          <cell r="AI7">
            <v>10000</v>
          </cell>
        </row>
      </sheetData>
      <sheetData sheetId="7908">
        <row r="7">
          <cell r="AI7">
            <v>10000</v>
          </cell>
        </row>
      </sheetData>
      <sheetData sheetId="7909">
        <row r="7">
          <cell r="AI7">
            <v>10000</v>
          </cell>
        </row>
      </sheetData>
      <sheetData sheetId="7910">
        <row r="7">
          <cell r="AI7">
            <v>10000</v>
          </cell>
        </row>
      </sheetData>
      <sheetData sheetId="7911">
        <row r="7">
          <cell r="AI7">
            <v>10000</v>
          </cell>
        </row>
      </sheetData>
      <sheetData sheetId="7912">
        <row r="7">
          <cell r="AI7">
            <v>10000</v>
          </cell>
        </row>
      </sheetData>
      <sheetData sheetId="7913">
        <row r="7">
          <cell r="AI7">
            <v>10000</v>
          </cell>
        </row>
      </sheetData>
      <sheetData sheetId="7914">
        <row r="7">
          <cell r="AI7">
            <v>10000</v>
          </cell>
        </row>
      </sheetData>
      <sheetData sheetId="7915">
        <row r="7">
          <cell r="AI7">
            <v>10000</v>
          </cell>
        </row>
      </sheetData>
      <sheetData sheetId="7916">
        <row r="7">
          <cell r="AI7">
            <v>10000</v>
          </cell>
        </row>
      </sheetData>
      <sheetData sheetId="7917">
        <row r="7">
          <cell r="AI7">
            <v>10000</v>
          </cell>
        </row>
      </sheetData>
      <sheetData sheetId="7918">
        <row r="7">
          <cell r="AI7">
            <v>10000</v>
          </cell>
        </row>
      </sheetData>
      <sheetData sheetId="7919">
        <row r="7">
          <cell r="AI7">
            <v>10000</v>
          </cell>
        </row>
      </sheetData>
      <sheetData sheetId="7920">
        <row r="7">
          <cell r="AI7">
            <v>10000</v>
          </cell>
        </row>
      </sheetData>
      <sheetData sheetId="7921">
        <row r="7">
          <cell r="AI7">
            <v>10000</v>
          </cell>
        </row>
      </sheetData>
      <sheetData sheetId="7922">
        <row r="7">
          <cell r="AI7">
            <v>10000</v>
          </cell>
        </row>
      </sheetData>
      <sheetData sheetId="7923">
        <row r="7">
          <cell r="AI7">
            <v>10000</v>
          </cell>
        </row>
      </sheetData>
      <sheetData sheetId="7924">
        <row r="7">
          <cell r="AI7">
            <v>10000</v>
          </cell>
        </row>
      </sheetData>
      <sheetData sheetId="7925">
        <row r="7">
          <cell r="AI7">
            <v>10000</v>
          </cell>
        </row>
      </sheetData>
      <sheetData sheetId="7926">
        <row r="7">
          <cell r="AI7">
            <v>10000</v>
          </cell>
        </row>
      </sheetData>
      <sheetData sheetId="7927">
        <row r="7">
          <cell r="AI7">
            <v>10000</v>
          </cell>
        </row>
      </sheetData>
      <sheetData sheetId="7928">
        <row r="7">
          <cell r="AI7">
            <v>10000</v>
          </cell>
        </row>
      </sheetData>
      <sheetData sheetId="7929">
        <row r="7">
          <cell r="AI7">
            <v>10000</v>
          </cell>
        </row>
      </sheetData>
      <sheetData sheetId="7930">
        <row r="7">
          <cell r="AI7">
            <v>10000</v>
          </cell>
        </row>
      </sheetData>
      <sheetData sheetId="7931">
        <row r="7">
          <cell r="AI7">
            <v>10000</v>
          </cell>
        </row>
      </sheetData>
      <sheetData sheetId="7932">
        <row r="7">
          <cell r="AI7">
            <v>10000</v>
          </cell>
        </row>
      </sheetData>
      <sheetData sheetId="7933">
        <row r="7">
          <cell r="AI7">
            <v>10000</v>
          </cell>
        </row>
      </sheetData>
      <sheetData sheetId="7934">
        <row r="7">
          <cell r="AI7">
            <v>10000</v>
          </cell>
        </row>
      </sheetData>
      <sheetData sheetId="7935">
        <row r="7">
          <cell r="AI7">
            <v>10000</v>
          </cell>
        </row>
      </sheetData>
      <sheetData sheetId="7936">
        <row r="7">
          <cell r="AI7">
            <v>10000</v>
          </cell>
        </row>
      </sheetData>
      <sheetData sheetId="7937">
        <row r="7">
          <cell r="AI7">
            <v>10000</v>
          </cell>
        </row>
      </sheetData>
      <sheetData sheetId="7938">
        <row r="7">
          <cell r="AI7">
            <v>10000</v>
          </cell>
        </row>
      </sheetData>
      <sheetData sheetId="7939">
        <row r="7">
          <cell r="AI7">
            <v>10000</v>
          </cell>
        </row>
      </sheetData>
      <sheetData sheetId="7940">
        <row r="7">
          <cell r="AI7">
            <v>10000</v>
          </cell>
        </row>
      </sheetData>
      <sheetData sheetId="7941">
        <row r="7">
          <cell r="AI7">
            <v>10000</v>
          </cell>
        </row>
      </sheetData>
      <sheetData sheetId="7942">
        <row r="7">
          <cell r="AI7">
            <v>10000</v>
          </cell>
        </row>
      </sheetData>
      <sheetData sheetId="7943">
        <row r="7">
          <cell r="AI7">
            <v>10000</v>
          </cell>
        </row>
      </sheetData>
      <sheetData sheetId="7944">
        <row r="7">
          <cell r="AI7">
            <v>10000</v>
          </cell>
        </row>
      </sheetData>
      <sheetData sheetId="7945">
        <row r="7">
          <cell r="AI7">
            <v>10000</v>
          </cell>
        </row>
      </sheetData>
      <sheetData sheetId="7946">
        <row r="7">
          <cell r="AI7">
            <v>10000</v>
          </cell>
        </row>
      </sheetData>
      <sheetData sheetId="7947">
        <row r="7">
          <cell r="AI7">
            <v>10000</v>
          </cell>
        </row>
      </sheetData>
      <sheetData sheetId="7948">
        <row r="7">
          <cell r="AI7">
            <v>10000</v>
          </cell>
        </row>
      </sheetData>
      <sheetData sheetId="7949">
        <row r="7">
          <cell r="AI7">
            <v>10000</v>
          </cell>
        </row>
      </sheetData>
      <sheetData sheetId="7950">
        <row r="7">
          <cell r="AI7">
            <v>10000</v>
          </cell>
        </row>
      </sheetData>
      <sheetData sheetId="7951">
        <row r="7">
          <cell r="AI7">
            <v>10000</v>
          </cell>
        </row>
      </sheetData>
      <sheetData sheetId="7952">
        <row r="7">
          <cell r="AI7">
            <v>10000</v>
          </cell>
        </row>
      </sheetData>
      <sheetData sheetId="7953">
        <row r="7">
          <cell r="AI7">
            <v>10000</v>
          </cell>
        </row>
      </sheetData>
      <sheetData sheetId="7954">
        <row r="7">
          <cell r="AI7">
            <v>10000</v>
          </cell>
        </row>
      </sheetData>
      <sheetData sheetId="7955">
        <row r="7">
          <cell r="AI7">
            <v>10000</v>
          </cell>
        </row>
      </sheetData>
      <sheetData sheetId="7956">
        <row r="7">
          <cell r="AI7">
            <v>10000</v>
          </cell>
        </row>
      </sheetData>
      <sheetData sheetId="7957">
        <row r="7">
          <cell r="AI7">
            <v>10000</v>
          </cell>
        </row>
      </sheetData>
      <sheetData sheetId="7958">
        <row r="7">
          <cell r="AI7">
            <v>10000</v>
          </cell>
        </row>
      </sheetData>
      <sheetData sheetId="7959">
        <row r="7">
          <cell r="AI7">
            <v>10000</v>
          </cell>
        </row>
      </sheetData>
      <sheetData sheetId="7960">
        <row r="7">
          <cell r="AI7">
            <v>10000</v>
          </cell>
        </row>
      </sheetData>
      <sheetData sheetId="7961">
        <row r="7">
          <cell r="AI7">
            <v>10000</v>
          </cell>
        </row>
      </sheetData>
      <sheetData sheetId="7962">
        <row r="7">
          <cell r="AI7">
            <v>10000</v>
          </cell>
        </row>
      </sheetData>
      <sheetData sheetId="7963">
        <row r="7">
          <cell r="AI7">
            <v>10000</v>
          </cell>
        </row>
      </sheetData>
      <sheetData sheetId="7964">
        <row r="7">
          <cell r="AI7">
            <v>10000</v>
          </cell>
        </row>
      </sheetData>
      <sheetData sheetId="7965">
        <row r="7">
          <cell r="AI7">
            <v>10000</v>
          </cell>
        </row>
      </sheetData>
      <sheetData sheetId="7966">
        <row r="7">
          <cell r="AI7">
            <v>10000</v>
          </cell>
        </row>
      </sheetData>
      <sheetData sheetId="7967">
        <row r="7">
          <cell r="AI7">
            <v>10000</v>
          </cell>
        </row>
      </sheetData>
      <sheetData sheetId="7968">
        <row r="7">
          <cell r="AI7">
            <v>10000</v>
          </cell>
        </row>
      </sheetData>
      <sheetData sheetId="7969">
        <row r="7">
          <cell r="AI7">
            <v>10000</v>
          </cell>
        </row>
      </sheetData>
      <sheetData sheetId="7970">
        <row r="7">
          <cell r="AI7">
            <v>10000</v>
          </cell>
        </row>
      </sheetData>
      <sheetData sheetId="7971">
        <row r="7">
          <cell r="AI7">
            <v>10000</v>
          </cell>
        </row>
      </sheetData>
      <sheetData sheetId="7972">
        <row r="7">
          <cell r="AI7">
            <v>10000</v>
          </cell>
        </row>
      </sheetData>
      <sheetData sheetId="7973">
        <row r="7">
          <cell r="AI7">
            <v>10000</v>
          </cell>
        </row>
      </sheetData>
      <sheetData sheetId="7974">
        <row r="7">
          <cell r="AI7">
            <v>10000</v>
          </cell>
        </row>
      </sheetData>
      <sheetData sheetId="7975">
        <row r="7">
          <cell r="AI7">
            <v>10000</v>
          </cell>
        </row>
      </sheetData>
      <sheetData sheetId="7976">
        <row r="7">
          <cell r="AI7">
            <v>10000</v>
          </cell>
        </row>
      </sheetData>
      <sheetData sheetId="7977">
        <row r="7">
          <cell r="AI7">
            <v>10000</v>
          </cell>
        </row>
      </sheetData>
      <sheetData sheetId="7978">
        <row r="7">
          <cell r="AI7">
            <v>10000</v>
          </cell>
        </row>
      </sheetData>
      <sheetData sheetId="7979">
        <row r="7">
          <cell r="AI7">
            <v>10000</v>
          </cell>
        </row>
      </sheetData>
      <sheetData sheetId="7980">
        <row r="7">
          <cell r="AI7">
            <v>10000</v>
          </cell>
        </row>
      </sheetData>
      <sheetData sheetId="7981">
        <row r="7">
          <cell r="AI7">
            <v>10000</v>
          </cell>
        </row>
      </sheetData>
      <sheetData sheetId="7982">
        <row r="7">
          <cell r="AI7">
            <v>10000</v>
          </cell>
        </row>
      </sheetData>
      <sheetData sheetId="7983">
        <row r="7">
          <cell r="AI7">
            <v>10000</v>
          </cell>
        </row>
      </sheetData>
      <sheetData sheetId="7984">
        <row r="7">
          <cell r="AI7">
            <v>10000</v>
          </cell>
        </row>
      </sheetData>
      <sheetData sheetId="7985">
        <row r="7">
          <cell r="AI7">
            <v>10000</v>
          </cell>
        </row>
      </sheetData>
      <sheetData sheetId="7986">
        <row r="7">
          <cell r="AI7">
            <v>10000</v>
          </cell>
        </row>
      </sheetData>
      <sheetData sheetId="7987">
        <row r="7">
          <cell r="AI7">
            <v>10000</v>
          </cell>
        </row>
      </sheetData>
      <sheetData sheetId="7988">
        <row r="7">
          <cell r="AI7">
            <v>10000</v>
          </cell>
        </row>
      </sheetData>
      <sheetData sheetId="7989">
        <row r="7">
          <cell r="AI7">
            <v>10000</v>
          </cell>
        </row>
      </sheetData>
      <sheetData sheetId="7990">
        <row r="7">
          <cell r="AI7">
            <v>10000</v>
          </cell>
        </row>
      </sheetData>
      <sheetData sheetId="7991">
        <row r="7">
          <cell r="AI7">
            <v>10000</v>
          </cell>
        </row>
      </sheetData>
      <sheetData sheetId="7992">
        <row r="7">
          <cell r="AI7">
            <v>10000</v>
          </cell>
        </row>
      </sheetData>
      <sheetData sheetId="7993">
        <row r="7">
          <cell r="AI7">
            <v>10000</v>
          </cell>
        </row>
      </sheetData>
      <sheetData sheetId="7994">
        <row r="7">
          <cell r="AI7">
            <v>10000</v>
          </cell>
        </row>
      </sheetData>
      <sheetData sheetId="7995">
        <row r="7">
          <cell r="AI7">
            <v>10000</v>
          </cell>
        </row>
      </sheetData>
      <sheetData sheetId="7996">
        <row r="7">
          <cell r="AI7">
            <v>10000</v>
          </cell>
        </row>
      </sheetData>
      <sheetData sheetId="7997">
        <row r="7">
          <cell r="AI7">
            <v>10000</v>
          </cell>
        </row>
      </sheetData>
      <sheetData sheetId="7998">
        <row r="7">
          <cell r="AI7">
            <v>10000</v>
          </cell>
        </row>
      </sheetData>
      <sheetData sheetId="7999">
        <row r="7">
          <cell r="AI7">
            <v>10000</v>
          </cell>
        </row>
      </sheetData>
      <sheetData sheetId="8000">
        <row r="7">
          <cell r="AI7">
            <v>10000</v>
          </cell>
        </row>
      </sheetData>
      <sheetData sheetId="8001">
        <row r="7">
          <cell r="AI7">
            <v>10000</v>
          </cell>
        </row>
      </sheetData>
      <sheetData sheetId="8002">
        <row r="7">
          <cell r="AI7">
            <v>10000</v>
          </cell>
        </row>
      </sheetData>
      <sheetData sheetId="8003">
        <row r="7">
          <cell r="AI7">
            <v>10000</v>
          </cell>
        </row>
      </sheetData>
      <sheetData sheetId="8004">
        <row r="7">
          <cell r="AI7">
            <v>10000</v>
          </cell>
        </row>
      </sheetData>
      <sheetData sheetId="8005">
        <row r="7">
          <cell r="AI7">
            <v>10000</v>
          </cell>
        </row>
      </sheetData>
      <sheetData sheetId="8006">
        <row r="7">
          <cell r="AI7">
            <v>10000</v>
          </cell>
        </row>
      </sheetData>
      <sheetData sheetId="8007">
        <row r="7">
          <cell r="AI7">
            <v>10000</v>
          </cell>
        </row>
      </sheetData>
      <sheetData sheetId="8008">
        <row r="7">
          <cell r="AI7">
            <v>10000</v>
          </cell>
        </row>
      </sheetData>
      <sheetData sheetId="8009">
        <row r="7">
          <cell r="AI7">
            <v>10000</v>
          </cell>
        </row>
      </sheetData>
      <sheetData sheetId="8010">
        <row r="7">
          <cell r="AI7">
            <v>10000</v>
          </cell>
        </row>
      </sheetData>
      <sheetData sheetId="8011">
        <row r="7">
          <cell r="AI7">
            <v>10000</v>
          </cell>
        </row>
      </sheetData>
      <sheetData sheetId="8012">
        <row r="7">
          <cell r="AI7">
            <v>10000</v>
          </cell>
        </row>
      </sheetData>
      <sheetData sheetId="8013">
        <row r="7">
          <cell r="AI7">
            <v>10000</v>
          </cell>
        </row>
      </sheetData>
      <sheetData sheetId="8014">
        <row r="7">
          <cell r="AI7">
            <v>10000</v>
          </cell>
        </row>
      </sheetData>
      <sheetData sheetId="8015">
        <row r="7">
          <cell r="AI7">
            <v>10000</v>
          </cell>
        </row>
      </sheetData>
      <sheetData sheetId="8016">
        <row r="7">
          <cell r="AI7">
            <v>10000</v>
          </cell>
        </row>
      </sheetData>
      <sheetData sheetId="8017">
        <row r="7">
          <cell r="AI7">
            <v>10000</v>
          </cell>
        </row>
      </sheetData>
      <sheetData sheetId="8018">
        <row r="7">
          <cell r="AI7">
            <v>10000</v>
          </cell>
        </row>
      </sheetData>
      <sheetData sheetId="8019">
        <row r="7">
          <cell r="AI7">
            <v>10000</v>
          </cell>
        </row>
      </sheetData>
      <sheetData sheetId="8020">
        <row r="7">
          <cell r="AI7">
            <v>10000</v>
          </cell>
        </row>
      </sheetData>
      <sheetData sheetId="8021">
        <row r="7">
          <cell r="AI7">
            <v>10000</v>
          </cell>
        </row>
      </sheetData>
      <sheetData sheetId="8022">
        <row r="7">
          <cell r="AI7">
            <v>10000</v>
          </cell>
        </row>
      </sheetData>
      <sheetData sheetId="8023">
        <row r="7">
          <cell r="AI7">
            <v>10000</v>
          </cell>
        </row>
      </sheetData>
      <sheetData sheetId="8024">
        <row r="7">
          <cell r="AI7">
            <v>10000</v>
          </cell>
        </row>
      </sheetData>
      <sheetData sheetId="8025">
        <row r="7">
          <cell r="AI7">
            <v>10000</v>
          </cell>
        </row>
      </sheetData>
      <sheetData sheetId="8026">
        <row r="7">
          <cell r="AI7">
            <v>10000</v>
          </cell>
        </row>
      </sheetData>
      <sheetData sheetId="8027">
        <row r="7">
          <cell r="AI7">
            <v>10000</v>
          </cell>
        </row>
      </sheetData>
      <sheetData sheetId="8028">
        <row r="7">
          <cell r="AI7">
            <v>10000</v>
          </cell>
        </row>
      </sheetData>
      <sheetData sheetId="8029">
        <row r="7">
          <cell r="AI7">
            <v>10000</v>
          </cell>
        </row>
      </sheetData>
      <sheetData sheetId="8030">
        <row r="7">
          <cell r="AI7">
            <v>10000</v>
          </cell>
        </row>
      </sheetData>
      <sheetData sheetId="8031">
        <row r="7">
          <cell r="AI7">
            <v>10000</v>
          </cell>
        </row>
      </sheetData>
      <sheetData sheetId="8032">
        <row r="7">
          <cell r="AI7">
            <v>10000</v>
          </cell>
        </row>
      </sheetData>
      <sheetData sheetId="8033">
        <row r="7">
          <cell r="AI7">
            <v>10000</v>
          </cell>
        </row>
      </sheetData>
      <sheetData sheetId="8034">
        <row r="7">
          <cell r="AI7">
            <v>10000</v>
          </cell>
        </row>
      </sheetData>
      <sheetData sheetId="8035">
        <row r="7">
          <cell r="AI7">
            <v>10000</v>
          </cell>
        </row>
      </sheetData>
      <sheetData sheetId="8036">
        <row r="7">
          <cell r="AI7">
            <v>10000</v>
          </cell>
        </row>
      </sheetData>
      <sheetData sheetId="8037">
        <row r="7">
          <cell r="AI7">
            <v>10000</v>
          </cell>
        </row>
      </sheetData>
      <sheetData sheetId="8038">
        <row r="7">
          <cell r="AI7">
            <v>10000</v>
          </cell>
        </row>
      </sheetData>
      <sheetData sheetId="8039">
        <row r="7">
          <cell r="AI7">
            <v>10000</v>
          </cell>
        </row>
      </sheetData>
      <sheetData sheetId="8040">
        <row r="7">
          <cell r="AI7">
            <v>10000</v>
          </cell>
        </row>
      </sheetData>
      <sheetData sheetId="8041">
        <row r="7">
          <cell r="AI7">
            <v>10000</v>
          </cell>
        </row>
      </sheetData>
      <sheetData sheetId="8042">
        <row r="7">
          <cell r="AI7">
            <v>10000</v>
          </cell>
        </row>
      </sheetData>
      <sheetData sheetId="8043">
        <row r="7">
          <cell r="AI7">
            <v>10000</v>
          </cell>
        </row>
      </sheetData>
      <sheetData sheetId="8044">
        <row r="7">
          <cell r="AI7">
            <v>10000</v>
          </cell>
        </row>
      </sheetData>
      <sheetData sheetId="8045">
        <row r="7">
          <cell r="AI7">
            <v>10000</v>
          </cell>
        </row>
      </sheetData>
      <sheetData sheetId="8046">
        <row r="7">
          <cell r="AI7">
            <v>10000</v>
          </cell>
        </row>
      </sheetData>
      <sheetData sheetId="8047">
        <row r="7">
          <cell r="AI7">
            <v>10000</v>
          </cell>
        </row>
      </sheetData>
      <sheetData sheetId="8048">
        <row r="7">
          <cell r="AI7">
            <v>10000</v>
          </cell>
        </row>
      </sheetData>
      <sheetData sheetId="8049">
        <row r="7">
          <cell r="AI7">
            <v>10000</v>
          </cell>
        </row>
      </sheetData>
      <sheetData sheetId="8050">
        <row r="7">
          <cell r="AI7">
            <v>10000</v>
          </cell>
        </row>
      </sheetData>
      <sheetData sheetId="8051">
        <row r="7">
          <cell r="AI7">
            <v>10000</v>
          </cell>
        </row>
      </sheetData>
      <sheetData sheetId="8052">
        <row r="7">
          <cell r="AI7">
            <v>10000</v>
          </cell>
        </row>
      </sheetData>
      <sheetData sheetId="8053">
        <row r="7">
          <cell r="AI7">
            <v>10000</v>
          </cell>
        </row>
      </sheetData>
      <sheetData sheetId="8054">
        <row r="7">
          <cell r="AI7">
            <v>10000</v>
          </cell>
        </row>
      </sheetData>
      <sheetData sheetId="8055">
        <row r="7">
          <cell r="AI7">
            <v>10000</v>
          </cell>
        </row>
      </sheetData>
      <sheetData sheetId="8056">
        <row r="7">
          <cell r="AI7">
            <v>10000</v>
          </cell>
        </row>
      </sheetData>
      <sheetData sheetId="8057">
        <row r="7">
          <cell r="AI7">
            <v>10000</v>
          </cell>
        </row>
      </sheetData>
      <sheetData sheetId="8058">
        <row r="7">
          <cell r="AI7">
            <v>10000</v>
          </cell>
        </row>
      </sheetData>
      <sheetData sheetId="8059">
        <row r="7">
          <cell r="AI7">
            <v>10000</v>
          </cell>
        </row>
      </sheetData>
      <sheetData sheetId="8060">
        <row r="7">
          <cell r="AI7">
            <v>10000</v>
          </cell>
        </row>
      </sheetData>
      <sheetData sheetId="8061">
        <row r="7">
          <cell r="AI7">
            <v>10000</v>
          </cell>
        </row>
      </sheetData>
      <sheetData sheetId="8062">
        <row r="7">
          <cell r="AI7">
            <v>10000</v>
          </cell>
        </row>
      </sheetData>
      <sheetData sheetId="8063">
        <row r="7">
          <cell r="AI7">
            <v>10000</v>
          </cell>
        </row>
      </sheetData>
      <sheetData sheetId="8064">
        <row r="7">
          <cell r="AI7">
            <v>10000</v>
          </cell>
        </row>
      </sheetData>
      <sheetData sheetId="8065">
        <row r="7">
          <cell r="AI7">
            <v>10000</v>
          </cell>
        </row>
      </sheetData>
      <sheetData sheetId="8066">
        <row r="7">
          <cell r="AI7">
            <v>10000</v>
          </cell>
        </row>
      </sheetData>
      <sheetData sheetId="8067">
        <row r="7">
          <cell r="AI7">
            <v>10000</v>
          </cell>
        </row>
      </sheetData>
      <sheetData sheetId="8068">
        <row r="7">
          <cell r="AI7">
            <v>10000</v>
          </cell>
        </row>
      </sheetData>
      <sheetData sheetId="8069">
        <row r="7">
          <cell r="AI7">
            <v>10000</v>
          </cell>
        </row>
      </sheetData>
      <sheetData sheetId="8070">
        <row r="7">
          <cell r="AI7">
            <v>10000</v>
          </cell>
        </row>
      </sheetData>
      <sheetData sheetId="8071">
        <row r="7">
          <cell r="AI7">
            <v>10000</v>
          </cell>
        </row>
      </sheetData>
      <sheetData sheetId="8072">
        <row r="7">
          <cell r="AI7">
            <v>10000</v>
          </cell>
        </row>
      </sheetData>
      <sheetData sheetId="8073">
        <row r="7">
          <cell r="AI7">
            <v>10000</v>
          </cell>
        </row>
      </sheetData>
      <sheetData sheetId="8074">
        <row r="7">
          <cell r="AI7">
            <v>10000</v>
          </cell>
        </row>
      </sheetData>
      <sheetData sheetId="8075">
        <row r="7">
          <cell r="AI7">
            <v>10000</v>
          </cell>
        </row>
      </sheetData>
      <sheetData sheetId="8076">
        <row r="7">
          <cell r="AI7">
            <v>10000</v>
          </cell>
        </row>
      </sheetData>
      <sheetData sheetId="8077">
        <row r="7">
          <cell r="AI7">
            <v>10000</v>
          </cell>
        </row>
      </sheetData>
      <sheetData sheetId="8078">
        <row r="7">
          <cell r="AI7">
            <v>10000</v>
          </cell>
        </row>
      </sheetData>
      <sheetData sheetId="8079">
        <row r="7">
          <cell r="AI7">
            <v>10000</v>
          </cell>
        </row>
      </sheetData>
      <sheetData sheetId="8080">
        <row r="7">
          <cell r="AI7">
            <v>10000</v>
          </cell>
        </row>
      </sheetData>
      <sheetData sheetId="8081">
        <row r="7">
          <cell r="AI7">
            <v>10000</v>
          </cell>
        </row>
      </sheetData>
      <sheetData sheetId="8082">
        <row r="7">
          <cell r="AI7">
            <v>10000</v>
          </cell>
        </row>
      </sheetData>
      <sheetData sheetId="8083">
        <row r="7">
          <cell r="AI7">
            <v>10000</v>
          </cell>
        </row>
      </sheetData>
      <sheetData sheetId="8084">
        <row r="7">
          <cell r="AI7">
            <v>10000</v>
          </cell>
        </row>
      </sheetData>
      <sheetData sheetId="8085">
        <row r="7">
          <cell r="AI7">
            <v>10000</v>
          </cell>
        </row>
      </sheetData>
      <sheetData sheetId="8086">
        <row r="7">
          <cell r="AI7">
            <v>10000</v>
          </cell>
        </row>
      </sheetData>
      <sheetData sheetId="8087">
        <row r="7">
          <cell r="AI7">
            <v>10000</v>
          </cell>
        </row>
      </sheetData>
      <sheetData sheetId="8088">
        <row r="7">
          <cell r="AI7">
            <v>10000</v>
          </cell>
        </row>
      </sheetData>
      <sheetData sheetId="8089">
        <row r="7">
          <cell r="AI7">
            <v>10000</v>
          </cell>
        </row>
      </sheetData>
      <sheetData sheetId="8090">
        <row r="7">
          <cell r="AI7">
            <v>10000</v>
          </cell>
        </row>
      </sheetData>
      <sheetData sheetId="8091">
        <row r="7">
          <cell r="AI7">
            <v>10000</v>
          </cell>
        </row>
      </sheetData>
      <sheetData sheetId="8092">
        <row r="7">
          <cell r="AI7">
            <v>10000</v>
          </cell>
        </row>
      </sheetData>
      <sheetData sheetId="8093">
        <row r="7">
          <cell r="AI7">
            <v>10000</v>
          </cell>
        </row>
      </sheetData>
      <sheetData sheetId="8094">
        <row r="7">
          <cell r="AI7">
            <v>10000</v>
          </cell>
        </row>
      </sheetData>
      <sheetData sheetId="8095">
        <row r="7">
          <cell r="AI7">
            <v>10000</v>
          </cell>
        </row>
      </sheetData>
      <sheetData sheetId="8096">
        <row r="7">
          <cell r="AI7">
            <v>10000</v>
          </cell>
        </row>
      </sheetData>
      <sheetData sheetId="8097">
        <row r="7">
          <cell r="AI7">
            <v>10000</v>
          </cell>
        </row>
      </sheetData>
      <sheetData sheetId="8098">
        <row r="7">
          <cell r="AI7">
            <v>10000</v>
          </cell>
        </row>
      </sheetData>
      <sheetData sheetId="8099">
        <row r="7">
          <cell r="AI7">
            <v>10000</v>
          </cell>
        </row>
      </sheetData>
      <sheetData sheetId="8100">
        <row r="7">
          <cell r="AI7">
            <v>10000</v>
          </cell>
        </row>
      </sheetData>
      <sheetData sheetId="8101">
        <row r="7">
          <cell r="AI7">
            <v>10000</v>
          </cell>
        </row>
      </sheetData>
      <sheetData sheetId="8102">
        <row r="7">
          <cell r="AI7">
            <v>10000</v>
          </cell>
        </row>
      </sheetData>
      <sheetData sheetId="8103">
        <row r="7">
          <cell r="AI7">
            <v>10000</v>
          </cell>
        </row>
      </sheetData>
      <sheetData sheetId="8104">
        <row r="7">
          <cell r="AI7">
            <v>10000</v>
          </cell>
        </row>
      </sheetData>
      <sheetData sheetId="8105">
        <row r="7">
          <cell r="AI7">
            <v>10000</v>
          </cell>
        </row>
      </sheetData>
      <sheetData sheetId="8106">
        <row r="7">
          <cell r="AI7">
            <v>10000</v>
          </cell>
        </row>
      </sheetData>
      <sheetData sheetId="8107">
        <row r="7">
          <cell r="AI7">
            <v>10000</v>
          </cell>
        </row>
      </sheetData>
      <sheetData sheetId="8108">
        <row r="7">
          <cell r="AI7">
            <v>10000</v>
          </cell>
        </row>
      </sheetData>
      <sheetData sheetId="8109">
        <row r="7">
          <cell r="AI7">
            <v>10000</v>
          </cell>
        </row>
      </sheetData>
      <sheetData sheetId="8110">
        <row r="7">
          <cell r="AI7">
            <v>10000</v>
          </cell>
        </row>
      </sheetData>
      <sheetData sheetId="8111">
        <row r="7">
          <cell r="AI7">
            <v>10000</v>
          </cell>
        </row>
      </sheetData>
      <sheetData sheetId="8112">
        <row r="7">
          <cell r="AI7">
            <v>10000</v>
          </cell>
        </row>
      </sheetData>
      <sheetData sheetId="8113">
        <row r="7">
          <cell r="AI7">
            <v>10000</v>
          </cell>
        </row>
      </sheetData>
      <sheetData sheetId="8114">
        <row r="7">
          <cell r="AI7">
            <v>10000</v>
          </cell>
        </row>
      </sheetData>
      <sheetData sheetId="8115">
        <row r="7">
          <cell r="AI7">
            <v>10000</v>
          </cell>
        </row>
      </sheetData>
      <sheetData sheetId="8116">
        <row r="7">
          <cell r="AI7">
            <v>10000</v>
          </cell>
        </row>
      </sheetData>
      <sheetData sheetId="8117">
        <row r="7">
          <cell r="AI7">
            <v>10000</v>
          </cell>
        </row>
      </sheetData>
      <sheetData sheetId="8118">
        <row r="7">
          <cell r="AI7">
            <v>10000</v>
          </cell>
        </row>
      </sheetData>
      <sheetData sheetId="8119">
        <row r="7">
          <cell r="AI7">
            <v>10000</v>
          </cell>
        </row>
      </sheetData>
      <sheetData sheetId="8120">
        <row r="7">
          <cell r="AI7">
            <v>10000</v>
          </cell>
        </row>
      </sheetData>
      <sheetData sheetId="8121">
        <row r="7">
          <cell r="AI7">
            <v>10000</v>
          </cell>
        </row>
      </sheetData>
      <sheetData sheetId="8122">
        <row r="7">
          <cell r="AI7">
            <v>10000</v>
          </cell>
        </row>
      </sheetData>
      <sheetData sheetId="8123">
        <row r="7">
          <cell r="AI7">
            <v>10000</v>
          </cell>
        </row>
      </sheetData>
      <sheetData sheetId="8124">
        <row r="7">
          <cell r="AI7">
            <v>10000</v>
          </cell>
        </row>
      </sheetData>
      <sheetData sheetId="8125">
        <row r="7">
          <cell r="AI7">
            <v>10000</v>
          </cell>
        </row>
      </sheetData>
      <sheetData sheetId="8126">
        <row r="7">
          <cell r="AI7">
            <v>10000</v>
          </cell>
        </row>
      </sheetData>
      <sheetData sheetId="8127">
        <row r="7">
          <cell r="AI7">
            <v>10000</v>
          </cell>
        </row>
      </sheetData>
      <sheetData sheetId="8128">
        <row r="7">
          <cell r="AI7">
            <v>10000</v>
          </cell>
        </row>
      </sheetData>
      <sheetData sheetId="8129">
        <row r="7">
          <cell r="AI7">
            <v>10000</v>
          </cell>
        </row>
      </sheetData>
      <sheetData sheetId="8130">
        <row r="7">
          <cell r="AI7">
            <v>10000</v>
          </cell>
        </row>
      </sheetData>
      <sheetData sheetId="8131">
        <row r="7">
          <cell r="AI7">
            <v>10000</v>
          </cell>
        </row>
      </sheetData>
      <sheetData sheetId="8132">
        <row r="7">
          <cell r="AI7">
            <v>10000</v>
          </cell>
        </row>
      </sheetData>
      <sheetData sheetId="8133">
        <row r="7">
          <cell r="AI7">
            <v>10000</v>
          </cell>
        </row>
      </sheetData>
      <sheetData sheetId="8134">
        <row r="7">
          <cell r="AI7">
            <v>10000</v>
          </cell>
        </row>
      </sheetData>
      <sheetData sheetId="8135">
        <row r="7">
          <cell r="AI7">
            <v>10000</v>
          </cell>
        </row>
      </sheetData>
      <sheetData sheetId="8136">
        <row r="7">
          <cell r="AI7">
            <v>10000</v>
          </cell>
        </row>
      </sheetData>
      <sheetData sheetId="8137">
        <row r="7">
          <cell r="AI7">
            <v>10000</v>
          </cell>
        </row>
      </sheetData>
      <sheetData sheetId="8138">
        <row r="7">
          <cell r="AI7">
            <v>10000</v>
          </cell>
        </row>
      </sheetData>
      <sheetData sheetId="8139">
        <row r="7">
          <cell r="AI7">
            <v>10000</v>
          </cell>
        </row>
      </sheetData>
      <sheetData sheetId="8140">
        <row r="7">
          <cell r="AI7">
            <v>10000</v>
          </cell>
        </row>
      </sheetData>
      <sheetData sheetId="8141">
        <row r="7">
          <cell r="AI7">
            <v>10000</v>
          </cell>
        </row>
      </sheetData>
      <sheetData sheetId="8142">
        <row r="7">
          <cell r="AI7">
            <v>10000</v>
          </cell>
        </row>
      </sheetData>
      <sheetData sheetId="8143">
        <row r="7">
          <cell r="AI7">
            <v>10000</v>
          </cell>
        </row>
      </sheetData>
      <sheetData sheetId="8144">
        <row r="7">
          <cell r="AI7">
            <v>10000</v>
          </cell>
        </row>
      </sheetData>
      <sheetData sheetId="8145">
        <row r="7">
          <cell r="AI7">
            <v>10000</v>
          </cell>
        </row>
      </sheetData>
      <sheetData sheetId="8146">
        <row r="7">
          <cell r="AI7">
            <v>10000</v>
          </cell>
        </row>
      </sheetData>
      <sheetData sheetId="8147">
        <row r="7">
          <cell r="AI7">
            <v>10000</v>
          </cell>
        </row>
      </sheetData>
      <sheetData sheetId="8148">
        <row r="7">
          <cell r="AI7">
            <v>10000</v>
          </cell>
        </row>
      </sheetData>
      <sheetData sheetId="8149">
        <row r="7">
          <cell r="AI7">
            <v>10000</v>
          </cell>
        </row>
      </sheetData>
      <sheetData sheetId="8150">
        <row r="7">
          <cell r="AI7">
            <v>10000</v>
          </cell>
        </row>
      </sheetData>
      <sheetData sheetId="8151">
        <row r="7">
          <cell r="AI7">
            <v>10000</v>
          </cell>
        </row>
      </sheetData>
      <sheetData sheetId="8152">
        <row r="7">
          <cell r="AI7">
            <v>10000</v>
          </cell>
        </row>
      </sheetData>
      <sheetData sheetId="8153">
        <row r="7">
          <cell r="AI7">
            <v>10000</v>
          </cell>
        </row>
      </sheetData>
      <sheetData sheetId="8154">
        <row r="7">
          <cell r="AI7">
            <v>10000</v>
          </cell>
        </row>
      </sheetData>
      <sheetData sheetId="8155">
        <row r="7">
          <cell r="AI7">
            <v>10000</v>
          </cell>
        </row>
      </sheetData>
      <sheetData sheetId="8156">
        <row r="7">
          <cell r="AI7">
            <v>10000</v>
          </cell>
        </row>
      </sheetData>
      <sheetData sheetId="8157">
        <row r="7">
          <cell r="AI7">
            <v>10000</v>
          </cell>
        </row>
      </sheetData>
      <sheetData sheetId="8158">
        <row r="7">
          <cell r="AI7">
            <v>10000</v>
          </cell>
        </row>
      </sheetData>
      <sheetData sheetId="8159">
        <row r="7">
          <cell r="AI7">
            <v>10000</v>
          </cell>
        </row>
      </sheetData>
      <sheetData sheetId="8160">
        <row r="7">
          <cell r="AI7">
            <v>10000</v>
          </cell>
        </row>
      </sheetData>
      <sheetData sheetId="8161">
        <row r="7">
          <cell r="AI7">
            <v>10000</v>
          </cell>
        </row>
      </sheetData>
      <sheetData sheetId="8162">
        <row r="7">
          <cell r="AI7">
            <v>10000</v>
          </cell>
        </row>
      </sheetData>
      <sheetData sheetId="8163">
        <row r="7">
          <cell r="AI7">
            <v>10000</v>
          </cell>
        </row>
      </sheetData>
      <sheetData sheetId="8164">
        <row r="7">
          <cell r="AI7">
            <v>10000</v>
          </cell>
        </row>
      </sheetData>
      <sheetData sheetId="8165">
        <row r="7">
          <cell r="AI7">
            <v>10000</v>
          </cell>
        </row>
      </sheetData>
      <sheetData sheetId="8166">
        <row r="7">
          <cell r="AI7">
            <v>10000</v>
          </cell>
        </row>
      </sheetData>
      <sheetData sheetId="8167">
        <row r="7">
          <cell r="AI7">
            <v>10000</v>
          </cell>
        </row>
      </sheetData>
      <sheetData sheetId="8168">
        <row r="7">
          <cell r="AI7">
            <v>10000</v>
          </cell>
        </row>
      </sheetData>
      <sheetData sheetId="8169">
        <row r="7">
          <cell r="AI7">
            <v>10000</v>
          </cell>
        </row>
      </sheetData>
      <sheetData sheetId="8170">
        <row r="7">
          <cell r="AI7">
            <v>10000</v>
          </cell>
        </row>
      </sheetData>
      <sheetData sheetId="8171">
        <row r="7">
          <cell r="AI7">
            <v>10000</v>
          </cell>
        </row>
      </sheetData>
      <sheetData sheetId="8172">
        <row r="7">
          <cell r="AI7">
            <v>10000</v>
          </cell>
        </row>
      </sheetData>
      <sheetData sheetId="8173">
        <row r="7">
          <cell r="AI7">
            <v>10000</v>
          </cell>
        </row>
      </sheetData>
      <sheetData sheetId="8174">
        <row r="7">
          <cell r="AI7">
            <v>10000</v>
          </cell>
        </row>
      </sheetData>
      <sheetData sheetId="8175">
        <row r="7">
          <cell r="AI7">
            <v>10000</v>
          </cell>
        </row>
      </sheetData>
      <sheetData sheetId="8176">
        <row r="7">
          <cell r="AI7">
            <v>10000</v>
          </cell>
        </row>
      </sheetData>
      <sheetData sheetId="8177">
        <row r="7">
          <cell r="AI7">
            <v>10000</v>
          </cell>
        </row>
      </sheetData>
      <sheetData sheetId="8178">
        <row r="7">
          <cell r="AI7">
            <v>10000</v>
          </cell>
        </row>
      </sheetData>
      <sheetData sheetId="8179">
        <row r="7">
          <cell r="AI7">
            <v>10000</v>
          </cell>
        </row>
      </sheetData>
      <sheetData sheetId="8180">
        <row r="7">
          <cell r="AI7">
            <v>10000</v>
          </cell>
        </row>
      </sheetData>
      <sheetData sheetId="8181">
        <row r="7">
          <cell r="AI7">
            <v>10000</v>
          </cell>
        </row>
      </sheetData>
      <sheetData sheetId="8182">
        <row r="7">
          <cell r="AI7">
            <v>10000</v>
          </cell>
        </row>
      </sheetData>
      <sheetData sheetId="8183">
        <row r="7">
          <cell r="AI7">
            <v>10000</v>
          </cell>
        </row>
      </sheetData>
      <sheetData sheetId="8184">
        <row r="7">
          <cell r="AI7">
            <v>10000</v>
          </cell>
        </row>
      </sheetData>
      <sheetData sheetId="8185">
        <row r="7">
          <cell r="AI7">
            <v>10000</v>
          </cell>
        </row>
      </sheetData>
      <sheetData sheetId="8186">
        <row r="7">
          <cell r="AI7">
            <v>10000</v>
          </cell>
        </row>
      </sheetData>
      <sheetData sheetId="8187">
        <row r="7">
          <cell r="AI7">
            <v>10000</v>
          </cell>
        </row>
      </sheetData>
      <sheetData sheetId="8188">
        <row r="7">
          <cell r="AI7">
            <v>10000</v>
          </cell>
        </row>
      </sheetData>
      <sheetData sheetId="8189">
        <row r="7">
          <cell r="AI7">
            <v>10000</v>
          </cell>
        </row>
      </sheetData>
      <sheetData sheetId="8190">
        <row r="7">
          <cell r="AI7">
            <v>10000</v>
          </cell>
        </row>
      </sheetData>
      <sheetData sheetId="8191">
        <row r="7">
          <cell r="AI7">
            <v>10000</v>
          </cell>
        </row>
      </sheetData>
      <sheetData sheetId="8192">
        <row r="7">
          <cell r="AI7">
            <v>10000</v>
          </cell>
        </row>
      </sheetData>
      <sheetData sheetId="8193">
        <row r="7">
          <cell r="AI7">
            <v>10000</v>
          </cell>
        </row>
      </sheetData>
      <sheetData sheetId="8194">
        <row r="7">
          <cell r="AI7">
            <v>10000</v>
          </cell>
        </row>
      </sheetData>
      <sheetData sheetId="8195">
        <row r="7">
          <cell r="AI7">
            <v>10000</v>
          </cell>
        </row>
      </sheetData>
      <sheetData sheetId="8196">
        <row r="7">
          <cell r="AI7">
            <v>10000</v>
          </cell>
        </row>
      </sheetData>
      <sheetData sheetId="8197">
        <row r="7">
          <cell r="AI7">
            <v>10000</v>
          </cell>
        </row>
      </sheetData>
      <sheetData sheetId="8198">
        <row r="7">
          <cell r="AI7">
            <v>10000</v>
          </cell>
        </row>
      </sheetData>
      <sheetData sheetId="8199">
        <row r="7">
          <cell r="AI7">
            <v>10000</v>
          </cell>
        </row>
      </sheetData>
      <sheetData sheetId="8200">
        <row r="7">
          <cell r="AI7">
            <v>10000</v>
          </cell>
        </row>
      </sheetData>
      <sheetData sheetId="8201">
        <row r="7">
          <cell r="AI7">
            <v>10000</v>
          </cell>
        </row>
      </sheetData>
      <sheetData sheetId="8202">
        <row r="7">
          <cell r="AI7">
            <v>10000</v>
          </cell>
        </row>
      </sheetData>
      <sheetData sheetId="8203">
        <row r="7">
          <cell r="AI7">
            <v>10000</v>
          </cell>
        </row>
      </sheetData>
      <sheetData sheetId="8204">
        <row r="7">
          <cell r="AI7">
            <v>10000</v>
          </cell>
        </row>
      </sheetData>
      <sheetData sheetId="8205">
        <row r="7">
          <cell r="AI7">
            <v>10000</v>
          </cell>
        </row>
      </sheetData>
      <sheetData sheetId="8206">
        <row r="7">
          <cell r="AI7">
            <v>10000</v>
          </cell>
        </row>
      </sheetData>
      <sheetData sheetId="8207">
        <row r="7">
          <cell r="AI7">
            <v>10000</v>
          </cell>
        </row>
      </sheetData>
      <sheetData sheetId="8208">
        <row r="7">
          <cell r="AI7">
            <v>10000</v>
          </cell>
        </row>
      </sheetData>
      <sheetData sheetId="8209">
        <row r="7">
          <cell r="AI7">
            <v>10000</v>
          </cell>
        </row>
      </sheetData>
      <sheetData sheetId="8210">
        <row r="7">
          <cell r="AI7">
            <v>10000</v>
          </cell>
        </row>
      </sheetData>
      <sheetData sheetId="8211">
        <row r="7">
          <cell r="AI7">
            <v>10000</v>
          </cell>
        </row>
      </sheetData>
      <sheetData sheetId="8212">
        <row r="7">
          <cell r="AI7">
            <v>10000</v>
          </cell>
        </row>
      </sheetData>
      <sheetData sheetId="8213">
        <row r="7">
          <cell r="AI7">
            <v>10000</v>
          </cell>
        </row>
      </sheetData>
      <sheetData sheetId="8214">
        <row r="7">
          <cell r="AI7">
            <v>10000</v>
          </cell>
        </row>
      </sheetData>
      <sheetData sheetId="8215">
        <row r="7">
          <cell r="AI7">
            <v>10000</v>
          </cell>
        </row>
      </sheetData>
      <sheetData sheetId="8216">
        <row r="7">
          <cell r="AI7">
            <v>10000</v>
          </cell>
        </row>
      </sheetData>
      <sheetData sheetId="8217">
        <row r="7">
          <cell r="AI7">
            <v>10000</v>
          </cell>
        </row>
      </sheetData>
      <sheetData sheetId="8218">
        <row r="7">
          <cell r="AI7">
            <v>10000</v>
          </cell>
        </row>
      </sheetData>
      <sheetData sheetId="8219">
        <row r="7">
          <cell r="AI7">
            <v>10000</v>
          </cell>
        </row>
      </sheetData>
      <sheetData sheetId="8220">
        <row r="7">
          <cell r="AI7">
            <v>10000</v>
          </cell>
        </row>
      </sheetData>
      <sheetData sheetId="8221">
        <row r="7">
          <cell r="AI7">
            <v>10000</v>
          </cell>
        </row>
      </sheetData>
      <sheetData sheetId="8222">
        <row r="7">
          <cell r="AI7">
            <v>10000</v>
          </cell>
        </row>
      </sheetData>
      <sheetData sheetId="8223">
        <row r="7">
          <cell r="AI7">
            <v>10000</v>
          </cell>
        </row>
      </sheetData>
      <sheetData sheetId="8224">
        <row r="7">
          <cell r="AI7">
            <v>10000</v>
          </cell>
        </row>
      </sheetData>
      <sheetData sheetId="8225">
        <row r="7">
          <cell r="AI7">
            <v>10000</v>
          </cell>
        </row>
      </sheetData>
      <sheetData sheetId="8226">
        <row r="7">
          <cell r="AI7">
            <v>10000</v>
          </cell>
        </row>
      </sheetData>
      <sheetData sheetId="8227">
        <row r="7">
          <cell r="AI7">
            <v>10000</v>
          </cell>
        </row>
      </sheetData>
      <sheetData sheetId="8228">
        <row r="7">
          <cell r="AI7">
            <v>10000</v>
          </cell>
        </row>
      </sheetData>
      <sheetData sheetId="8229">
        <row r="7">
          <cell r="AI7">
            <v>10000</v>
          </cell>
        </row>
      </sheetData>
      <sheetData sheetId="8230">
        <row r="7">
          <cell r="AI7">
            <v>10000</v>
          </cell>
        </row>
      </sheetData>
      <sheetData sheetId="8231">
        <row r="7">
          <cell r="AI7">
            <v>10000</v>
          </cell>
        </row>
      </sheetData>
      <sheetData sheetId="8232">
        <row r="7">
          <cell r="AI7">
            <v>10000</v>
          </cell>
        </row>
      </sheetData>
      <sheetData sheetId="8233">
        <row r="7">
          <cell r="AI7">
            <v>10000</v>
          </cell>
        </row>
      </sheetData>
      <sheetData sheetId="8234">
        <row r="7">
          <cell r="AI7">
            <v>10000</v>
          </cell>
        </row>
      </sheetData>
      <sheetData sheetId="8235">
        <row r="7">
          <cell r="AI7">
            <v>10000</v>
          </cell>
        </row>
      </sheetData>
      <sheetData sheetId="8236">
        <row r="7">
          <cell r="AI7">
            <v>10000</v>
          </cell>
        </row>
      </sheetData>
      <sheetData sheetId="8237">
        <row r="7">
          <cell r="AI7">
            <v>10000</v>
          </cell>
        </row>
      </sheetData>
      <sheetData sheetId="8238">
        <row r="7">
          <cell r="AI7">
            <v>10000</v>
          </cell>
        </row>
      </sheetData>
      <sheetData sheetId="8239">
        <row r="7">
          <cell r="AI7">
            <v>10000</v>
          </cell>
        </row>
      </sheetData>
      <sheetData sheetId="8240">
        <row r="7">
          <cell r="AI7">
            <v>10000</v>
          </cell>
        </row>
      </sheetData>
      <sheetData sheetId="8241">
        <row r="7">
          <cell r="AI7">
            <v>10000</v>
          </cell>
        </row>
      </sheetData>
      <sheetData sheetId="8242">
        <row r="7">
          <cell r="AI7">
            <v>10000</v>
          </cell>
        </row>
      </sheetData>
      <sheetData sheetId="8243">
        <row r="7">
          <cell r="AI7">
            <v>10000</v>
          </cell>
        </row>
      </sheetData>
      <sheetData sheetId="8244">
        <row r="7">
          <cell r="AI7">
            <v>10000</v>
          </cell>
        </row>
      </sheetData>
      <sheetData sheetId="8245">
        <row r="7">
          <cell r="AI7">
            <v>10000</v>
          </cell>
        </row>
      </sheetData>
      <sheetData sheetId="8246">
        <row r="7">
          <cell r="AI7">
            <v>10000</v>
          </cell>
        </row>
      </sheetData>
      <sheetData sheetId="8247">
        <row r="7">
          <cell r="AI7">
            <v>10000</v>
          </cell>
        </row>
      </sheetData>
      <sheetData sheetId="8248">
        <row r="7">
          <cell r="AI7">
            <v>10000</v>
          </cell>
        </row>
      </sheetData>
      <sheetData sheetId="8249">
        <row r="7">
          <cell r="AI7">
            <v>10000</v>
          </cell>
        </row>
      </sheetData>
      <sheetData sheetId="8250">
        <row r="7">
          <cell r="AI7">
            <v>10000</v>
          </cell>
        </row>
      </sheetData>
      <sheetData sheetId="8251">
        <row r="7">
          <cell r="AI7">
            <v>10000</v>
          </cell>
        </row>
      </sheetData>
      <sheetData sheetId="8252">
        <row r="7">
          <cell r="AI7">
            <v>10000</v>
          </cell>
        </row>
      </sheetData>
      <sheetData sheetId="8253">
        <row r="7">
          <cell r="AI7">
            <v>10000</v>
          </cell>
        </row>
      </sheetData>
      <sheetData sheetId="8254">
        <row r="7">
          <cell r="AI7">
            <v>10000</v>
          </cell>
        </row>
      </sheetData>
      <sheetData sheetId="8255">
        <row r="7">
          <cell r="AI7">
            <v>10000</v>
          </cell>
        </row>
      </sheetData>
      <sheetData sheetId="8256">
        <row r="7">
          <cell r="AI7">
            <v>10000</v>
          </cell>
        </row>
      </sheetData>
      <sheetData sheetId="8257">
        <row r="7">
          <cell r="AI7">
            <v>10000</v>
          </cell>
        </row>
      </sheetData>
      <sheetData sheetId="8258">
        <row r="7">
          <cell r="AI7">
            <v>10000</v>
          </cell>
        </row>
      </sheetData>
      <sheetData sheetId="8259">
        <row r="7">
          <cell r="AI7">
            <v>10000</v>
          </cell>
        </row>
      </sheetData>
      <sheetData sheetId="8260">
        <row r="7">
          <cell r="AI7">
            <v>10000</v>
          </cell>
        </row>
      </sheetData>
      <sheetData sheetId="8261">
        <row r="7">
          <cell r="AI7">
            <v>10000</v>
          </cell>
        </row>
      </sheetData>
      <sheetData sheetId="8262">
        <row r="7">
          <cell r="AI7">
            <v>10000</v>
          </cell>
        </row>
      </sheetData>
      <sheetData sheetId="8263">
        <row r="7">
          <cell r="AI7">
            <v>10000</v>
          </cell>
        </row>
      </sheetData>
      <sheetData sheetId="8264">
        <row r="7">
          <cell r="AI7">
            <v>10000</v>
          </cell>
        </row>
      </sheetData>
      <sheetData sheetId="8265">
        <row r="7">
          <cell r="AI7">
            <v>10000</v>
          </cell>
        </row>
      </sheetData>
      <sheetData sheetId="8266">
        <row r="7">
          <cell r="AI7">
            <v>10000</v>
          </cell>
        </row>
      </sheetData>
      <sheetData sheetId="8267">
        <row r="7">
          <cell r="AI7">
            <v>10000</v>
          </cell>
        </row>
      </sheetData>
      <sheetData sheetId="8268">
        <row r="7">
          <cell r="AI7">
            <v>10000</v>
          </cell>
        </row>
      </sheetData>
      <sheetData sheetId="8269">
        <row r="7">
          <cell r="AI7">
            <v>10000</v>
          </cell>
        </row>
      </sheetData>
      <sheetData sheetId="8270">
        <row r="7">
          <cell r="AI7">
            <v>10000</v>
          </cell>
        </row>
      </sheetData>
      <sheetData sheetId="8271">
        <row r="7">
          <cell r="AI7">
            <v>10000</v>
          </cell>
        </row>
      </sheetData>
      <sheetData sheetId="8272">
        <row r="7">
          <cell r="AI7">
            <v>10000</v>
          </cell>
        </row>
      </sheetData>
      <sheetData sheetId="8273">
        <row r="7">
          <cell r="AI7">
            <v>10000</v>
          </cell>
        </row>
      </sheetData>
      <sheetData sheetId="8274">
        <row r="7">
          <cell r="AI7">
            <v>10000</v>
          </cell>
        </row>
      </sheetData>
      <sheetData sheetId="8275">
        <row r="7">
          <cell r="AI7">
            <v>10000</v>
          </cell>
        </row>
      </sheetData>
      <sheetData sheetId="8276">
        <row r="7">
          <cell r="AI7">
            <v>10000</v>
          </cell>
        </row>
      </sheetData>
      <sheetData sheetId="8277">
        <row r="7">
          <cell r="AI7">
            <v>10000</v>
          </cell>
        </row>
      </sheetData>
      <sheetData sheetId="8278">
        <row r="7">
          <cell r="AI7">
            <v>10000</v>
          </cell>
        </row>
      </sheetData>
      <sheetData sheetId="8279">
        <row r="7">
          <cell r="AI7">
            <v>10000</v>
          </cell>
        </row>
      </sheetData>
      <sheetData sheetId="8280">
        <row r="7">
          <cell r="AI7">
            <v>10000</v>
          </cell>
        </row>
      </sheetData>
      <sheetData sheetId="8281">
        <row r="7">
          <cell r="AI7">
            <v>10000</v>
          </cell>
        </row>
      </sheetData>
      <sheetData sheetId="8282">
        <row r="7">
          <cell r="AI7">
            <v>10000</v>
          </cell>
        </row>
      </sheetData>
      <sheetData sheetId="8283">
        <row r="7">
          <cell r="AI7">
            <v>10000</v>
          </cell>
        </row>
      </sheetData>
      <sheetData sheetId="8284">
        <row r="7">
          <cell r="AI7">
            <v>10000</v>
          </cell>
        </row>
      </sheetData>
      <sheetData sheetId="8285">
        <row r="7">
          <cell r="AI7">
            <v>10000</v>
          </cell>
        </row>
      </sheetData>
      <sheetData sheetId="8286">
        <row r="7">
          <cell r="AI7">
            <v>10000</v>
          </cell>
        </row>
      </sheetData>
      <sheetData sheetId="8287">
        <row r="7">
          <cell r="AI7">
            <v>10000</v>
          </cell>
        </row>
      </sheetData>
      <sheetData sheetId="8288">
        <row r="7">
          <cell r="AI7">
            <v>10000</v>
          </cell>
        </row>
      </sheetData>
      <sheetData sheetId="8289">
        <row r="7">
          <cell r="AI7">
            <v>10000</v>
          </cell>
        </row>
      </sheetData>
      <sheetData sheetId="8290">
        <row r="7">
          <cell r="AI7">
            <v>10000</v>
          </cell>
        </row>
      </sheetData>
      <sheetData sheetId="8291">
        <row r="7">
          <cell r="AI7">
            <v>10000</v>
          </cell>
        </row>
      </sheetData>
      <sheetData sheetId="8292">
        <row r="7">
          <cell r="AI7">
            <v>10000</v>
          </cell>
        </row>
      </sheetData>
      <sheetData sheetId="8293">
        <row r="7">
          <cell r="AI7">
            <v>10000</v>
          </cell>
        </row>
      </sheetData>
      <sheetData sheetId="8294">
        <row r="7">
          <cell r="AI7">
            <v>10000</v>
          </cell>
        </row>
      </sheetData>
      <sheetData sheetId="8295">
        <row r="7">
          <cell r="AI7">
            <v>10000</v>
          </cell>
        </row>
      </sheetData>
      <sheetData sheetId="8296">
        <row r="7">
          <cell r="AI7">
            <v>10000</v>
          </cell>
        </row>
      </sheetData>
      <sheetData sheetId="8297">
        <row r="7">
          <cell r="AI7">
            <v>10000</v>
          </cell>
        </row>
      </sheetData>
      <sheetData sheetId="8298">
        <row r="7">
          <cell r="AI7">
            <v>10000</v>
          </cell>
        </row>
      </sheetData>
      <sheetData sheetId="8299">
        <row r="7">
          <cell r="AI7">
            <v>10000</v>
          </cell>
        </row>
      </sheetData>
      <sheetData sheetId="8300">
        <row r="7">
          <cell r="AI7">
            <v>10000</v>
          </cell>
        </row>
      </sheetData>
      <sheetData sheetId="8301">
        <row r="7">
          <cell r="AI7">
            <v>10000</v>
          </cell>
        </row>
      </sheetData>
      <sheetData sheetId="8302">
        <row r="7">
          <cell r="AI7">
            <v>10000</v>
          </cell>
        </row>
      </sheetData>
      <sheetData sheetId="8303">
        <row r="7">
          <cell r="AI7">
            <v>10000</v>
          </cell>
        </row>
      </sheetData>
      <sheetData sheetId="8304">
        <row r="7">
          <cell r="AI7">
            <v>10000</v>
          </cell>
        </row>
      </sheetData>
      <sheetData sheetId="8305">
        <row r="7">
          <cell r="AI7">
            <v>10000</v>
          </cell>
        </row>
      </sheetData>
      <sheetData sheetId="8306">
        <row r="7">
          <cell r="AI7">
            <v>10000</v>
          </cell>
        </row>
      </sheetData>
      <sheetData sheetId="8307">
        <row r="7">
          <cell r="AI7">
            <v>10000</v>
          </cell>
        </row>
      </sheetData>
      <sheetData sheetId="8308">
        <row r="7">
          <cell r="AI7">
            <v>10000</v>
          </cell>
        </row>
      </sheetData>
      <sheetData sheetId="8309">
        <row r="7">
          <cell r="AI7">
            <v>10000</v>
          </cell>
        </row>
      </sheetData>
      <sheetData sheetId="8310">
        <row r="7">
          <cell r="AI7">
            <v>10000</v>
          </cell>
        </row>
      </sheetData>
      <sheetData sheetId="8311">
        <row r="7">
          <cell r="AI7">
            <v>10000</v>
          </cell>
        </row>
      </sheetData>
      <sheetData sheetId="8312">
        <row r="7">
          <cell r="AI7">
            <v>10000</v>
          </cell>
        </row>
      </sheetData>
      <sheetData sheetId="8313">
        <row r="7">
          <cell r="AI7">
            <v>10000</v>
          </cell>
        </row>
      </sheetData>
      <sheetData sheetId="8314">
        <row r="7">
          <cell r="AI7">
            <v>10000</v>
          </cell>
        </row>
      </sheetData>
      <sheetData sheetId="8315">
        <row r="7">
          <cell r="AI7">
            <v>10000</v>
          </cell>
        </row>
      </sheetData>
      <sheetData sheetId="8316">
        <row r="7">
          <cell r="AI7">
            <v>10000</v>
          </cell>
        </row>
      </sheetData>
      <sheetData sheetId="8317">
        <row r="7">
          <cell r="AI7">
            <v>10000</v>
          </cell>
        </row>
      </sheetData>
      <sheetData sheetId="8318">
        <row r="7">
          <cell r="AI7">
            <v>10000</v>
          </cell>
        </row>
      </sheetData>
      <sheetData sheetId="8319">
        <row r="7">
          <cell r="AI7">
            <v>10000</v>
          </cell>
        </row>
      </sheetData>
      <sheetData sheetId="8320">
        <row r="7">
          <cell r="AI7">
            <v>10000</v>
          </cell>
        </row>
      </sheetData>
      <sheetData sheetId="8321">
        <row r="7">
          <cell r="AI7">
            <v>10000</v>
          </cell>
        </row>
      </sheetData>
      <sheetData sheetId="8322">
        <row r="7">
          <cell r="AI7">
            <v>10000</v>
          </cell>
        </row>
      </sheetData>
      <sheetData sheetId="8323">
        <row r="7">
          <cell r="AI7">
            <v>10000</v>
          </cell>
        </row>
      </sheetData>
      <sheetData sheetId="8324">
        <row r="7">
          <cell r="AI7">
            <v>10000</v>
          </cell>
        </row>
      </sheetData>
      <sheetData sheetId="8325">
        <row r="7">
          <cell r="AI7">
            <v>10000</v>
          </cell>
        </row>
      </sheetData>
      <sheetData sheetId="8326">
        <row r="7">
          <cell r="AI7">
            <v>10000</v>
          </cell>
        </row>
      </sheetData>
      <sheetData sheetId="8327">
        <row r="7">
          <cell r="AI7">
            <v>10000</v>
          </cell>
        </row>
      </sheetData>
      <sheetData sheetId="8328">
        <row r="7">
          <cell r="AI7">
            <v>10000</v>
          </cell>
        </row>
      </sheetData>
      <sheetData sheetId="8329">
        <row r="7">
          <cell r="AI7">
            <v>10000</v>
          </cell>
        </row>
      </sheetData>
      <sheetData sheetId="8330">
        <row r="7">
          <cell r="AI7">
            <v>10000</v>
          </cell>
        </row>
      </sheetData>
      <sheetData sheetId="8331">
        <row r="7">
          <cell r="AI7">
            <v>10000</v>
          </cell>
        </row>
      </sheetData>
      <sheetData sheetId="8332">
        <row r="7">
          <cell r="AI7">
            <v>10000</v>
          </cell>
        </row>
      </sheetData>
      <sheetData sheetId="8333">
        <row r="7">
          <cell r="AI7">
            <v>10000</v>
          </cell>
        </row>
      </sheetData>
      <sheetData sheetId="8334">
        <row r="7">
          <cell r="AI7">
            <v>10000</v>
          </cell>
        </row>
      </sheetData>
      <sheetData sheetId="8335">
        <row r="7">
          <cell r="AI7">
            <v>10000</v>
          </cell>
        </row>
      </sheetData>
      <sheetData sheetId="8336">
        <row r="7">
          <cell r="AI7">
            <v>10000</v>
          </cell>
        </row>
      </sheetData>
      <sheetData sheetId="8337">
        <row r="7">
          <cell r="AI7">
            <v>10000</v>
          </cell>
        </row>
      </sheetData>
      <sheetData sheetId="8338">
        <row r="7">
          <cell r="AI7">
            <v>10000</v>
          </cell>
        </row>
      </sheetData>
      <sheetData sheetId="8339">
        <row r="7">
          <cell r="AI7">
            <v>10000</v>
          </cell>
        </row>
      </sheetData>
      <sheetData sheetId="8340">
        <row r="7">
          <cell r="AI7">
            <v>10000</v>
          </cell>
        </row>
      </sheetData>
      <sheetData sheetId="8341">
        <row r="7">
          <cell r="AI7">
            <v>10000</v>
          </cell>
        </row>
      </sheetData>
      <sheetData sheetId="8342">
        <row r="7">
          <cell r="AI7">
            <v>10000</v>
          </cell>
        </row>
      </sheetData>
      <sheetData sheetId="8343">
        <row r="7">
          <cell r="AI7">
            <v>10000</v>
          </cell>
        </row>
      </sheetData>
      <sheetData sheetId="8344">
        <row r="7">
          <cell r="AI7">
            <v>10000</v>
          </cell>
        </row>
      </sheetData>
      <sheetData sheetId="8345">
        <row r="7">
          <cell r="AI7">
            <v>10000</v>
          </cell>
        </row>
      </sheetData>
      <sheetData sheetId="8346">
        <row r="7">
          <cell r="AI7">
            <v>10000</v>
          </cell>
        </row>
      </sheetData>
      <sheetData sheetId="8347">
        <row r="7">
          <cell r="AI7">
            <v>10000</v>
          </cell>
        </row>
      </sheetData>
      <sheetData sheetId="8348">
        <row r="7">
          <cell r="AI7">
            <v>10000</v>
          </cell>
        </row>
      </sheetData>
      <sheetData sheetId="8349">
        <row r="7">
          <cell r="AI7">
            <v>10000</v>
          </cell>
        </row>
      </sheetData>
      <sheetData sheetId="8350">
        <row r="7">
          <cell r="AI7">
            <v>10000</v>
          </cell>
        </row>
      </sheetData>
      <sheetData sheetId="8351">
        <row r="7">
          <cell r="AI7">
            <v>10000</v>
          </cell>
        </row>
      </sheetData>
      <sheetData sheetId="8352">
        <row r="7">
          <cell r="AI7">
            <v>10000</v>
          </cell>
        </row>
      </sheetData>
      <sheetData sheetId="8353">
        <row r="7">
          <cell r="AI7">
            <v>10000</v>
          </cell>
        </row>
      </sheetData>
      <sheetData sheetId="8354">
        <row r="7">
          <cell r="AI7">
            <v>10000</v>
          </cell>
        </row>
      </sheetData>
      <sheetData sheetId="8355">
        <row r="7">
          <cell r="AI7">
            <v>10000</v>
          </cell>
        </row>
      </sheetData>
      <sheetData sheetId="8356">
        <row r="7">
          <cell r="AI7">
            <v>10000</v>
          </cell>
        </row>
      </sheetData>
      <sheetData sheetId="8357">
        <row r="7">
          <cell r="AI7">
            <v>10000</v>
          </cell>
        </row>
      </sheetData>
      <sheetData sheetId="8358">
        <row r="7">
          <cell r="AI7">
            <v>10000</v>
          </cell>
        </row>
      </sheetData>
      <sheetData sheetId="8359">
        <row r="7">
          <cell r="AI7">
            <v>10000</v>
          </cell>
        </row>
      </sheetData>
      <sheetData sheetId="8360">
        <row r="7">
          <cell r="AI7">
            <v>10000</v>
          </cell>
        </row>
      </sheetData>
      <sheetData sheetId="8361">
        <row r="7">
          <cell r="AI7">
            <v>10000</v>
          </cell>
        </row>
      </sheetData>
      <sheetData sheetId="8362">
        <row r="7">
          <cell r="AI7">
            <v>10000</v>
          </cell>
        </row>
      </sheetData>
      <sheetData sheetId="8363">
        <row r="7">
          <cell r="AI7">
            <v>10000</v>
          </cell>
        </row>
      </sheetData>
      <sheetData sheetId="8364">
        <row r="7">
          <cell r="AI7">
            <v>10000</v>
          </cell>
        </row>
      </sheetData>
      <sheetData sheetId="8365">
        <row r="7">
          <cell r="AI7">
            <v>10000</v>
          </cell>
        </row>
      </sheetData>
      <sheetData sheetId="8366">
        <row r="7">
          <cell r="AI7">
            <v>10000</v>
          </cell>
        </row>
      </sheetData>
      <sheetData sheetId="8367">
        <row r="7">
          <cell r="AI7">
            <v>10000</v>
          </cell>
        </row>
      </sheetData>
      <sheetData sheetId="8368">
        <row r="7">
          <cell r="AI7">
            <v>10000</v>
          </cell>
        </row>
      </sheetData>
      <sheetData sheetId="8369">
        <row r="7">
          <cell r="AI7">
            <v>10000</v>
          </cell>
        </row>
      </sheetData>
      <sheetData sheetId="8370">
        <row r="7">
          <cell r="AI7">
            <v>10000</v>
          </cell>
        </row>
      </sheetData>
      <sheetData sheetId="8371">
        <row r="7">
          <cell r="AI7">
            <v>10000</v>
          </cell>
        </row>
      </sheetData>
      <sheetData sheetId="8372">
        <row r="7">
          <cell r="AI7">
            <v>10000</v>
          </cell>
        </row>
      </sheetData>
      <sheetData sheetId="8373">
        <row r="7">
          <cell r="AI7">
            <v>10000</v>
          </cell>
        </row>
      </sheetData>
      <sheetData sheetId="8374">
        <row r="7">
          <cell r="AI7">
            <v>10000</v>
          </cell>
        </row>
      </sheetData>
      <sheetData sheetId="8375">
        <row r="7">
          <cell r="AI7">
            <v>10000</v>
          </cell>
        </row>
      </sheetData>
      <sheetData sheetId="8376">
        <row r="7">
          <cell r="AI7">
            <v>10000</v>
          </cell>
        </row>
      </sheetData>
      <sheetData sheetId="8377">
        <row r="7">
          <cell r="AI7">
            <v>10000</v>
          </cell>
        </row>
      </sheetData>
      <sheetData sheetId="8378">
        <row r="7">
          <cell r="AI7">
            <v>10000</v>
          </cell>
        </row>
      </sheetData>
      <sheetData sheetId="8379">
        <row r="7">
          <cell r="AI7">
            <v>10000</v>
          </cell>
        </row>
      </sheetData>
      <sheetData sheetId="8380">
        <row r="7">
          <cell r="AI7">
            <v>10000</v>
          </cell>
        </row>
      </sheetData>
      <sheetData sheetId="8381">
        <row r="7">
          <cell r="AI7">
            <v>10000</v>
          </cell>
        </row>
      </sheetData>
      <sheetData sheetId="8382">
        <row r="7">
          <cell r="AI7">
            <v>10000</v>
          </cell>
        </row>
      </sheetData>
      <sheetData sheetId="8383">
        <row r="7">
          <cell r="AI7">
            <v>10000</v>
          </cell>
        </row>
      </sheetData>
      <sheetData sheetId="8384">
        <row r="7">
          <cell r="AI7">
            <v>10000</v>
          </cell>
        </row>
      </sheetData>
      <sheetData sheetId="8385">
        <row r="7">
          <cell r="AI7">
            <v>10000</v>
          </cell>
        </row>
      </sheetData>
      <sheetData sheetId="8386">
        <row r="7">
          <cell r="AI7">
            <v>10000</v>
          </cell>
        </row>
      </sheetData>
      <sheetData sheetId="8387">
        <row r="7">
          <cell r="AI7">
            <v>10000</v>
          </cell>
        </row>
      </sheetData>
      <sheetData sheetId="8388">
        <row r="7">
          <cell r="AI7">
            <v>10000</v>
          </cell>
        </row>
      </sheetData>
      <sheetData sheetId="8389">
        <row r="7">
          <cell r="AI7">
            <v>10000</v>
          </cell>
        </row>
      </sheetData>
      <sheetData sheetId="8390">
        <row r="7">
          <cell r="AI7">
            <v>10000</v>
          </cell>
        </row>
      </sheetData>
      <sheetData sheetId="8391">
        <row r="7">
          <cell r="AI7">
            <v>10000</v>
          </cell>
        </row>
      </sheetData>
      <sheetData sheetId="8392">
        <row r="7">
          <cell r="AI7">
            <v>10000</v>
          </cell>
        </row>
      </sheetData>
      <sheetData sheetId="8393">
        <row r="7">
          <cell r="AI7">
            <v>10000</v>
          </cell>
        </row>
      </sheetData>
      <sheetData sheetId="8394">
        <row r="7">
          <cell r="AI7">
            <v>10000</v>
          </cell>
        </row>
      </sheetData>
      <sheetData sheetId="8395">
        <row r="7">
          <cell r="AI7">
            <v>10000</v>
          </cell>
        </row>
      </sheetData>
      <sheetData sheetId="8396">
        <row r="7">
          <cell r="AI7">
            <v>10000</v>
          </cell>
        </row>
      </sheetData>
      <sheetData sheetId="8397">
        <row r="7">
          <cell r="AI7">
            <v>10000</v>
          </cell>
        </row>
      </sheetData>
      <sheetData sheetId="8398">
        <row r="7">
          <cell r="AI7">
            <v>10000</v>
          </cell>
        </row>
      </sheetData>
      <sheetData sheetId="8399">
        <row r="7">
          <cell r="AI7">
            <v>10000</v>
          </cell>
        </row>
      </sheetData>
      <sheetData sheetId="8400">
        <row r="7">
          <cell r="AI7">
            <v>10000</v>
          </cell>
        </row>
      </sheetData>
      <sheetData sheetId="8401">
        <row r="7">
          <cell r="AI7">
            <v>10000</v>
          </cell>
        </row>
      </sheetData>
      <sheetData sheetId="8402">
        <row r="7">
          <cell r="AI7">
            <v>10000</v>
          </cell>
        </row>
      </sheetData>
      <sheetData sheetId="8403">
        <row r="7">
          <cell r="AI7">
            <v>10000</v>
          </cell>
        </row>
      </sheetData>
      <sheetData sheetId="8404">
        <row r="7">
          <cell r="AI7">
            <v>10000</v>
          </cell>
        </row>
      </sheetData>
      <sheetData sheetId="8405">
        <row r="7">
          <cell r="AI7">
            <v>10000</v>
          </cell>
        </row>
      </sheetData>
      <sheetData sheetId="8406">
        <row r="7">
          <cell r="AI7">
            <v>10000</v>
          </cell>
        </row>
      </sheetData>
      <sheetData sheetId="8407">
        <row r="7">
          <cell r="AI7">
            <v>10000</v>
          </cell>
        </row>
      </sheetData>
      <sheetData sheetId="8408">
        <row r="7">
          <cell r="AI7">
            <v>10000</v>
          </cell>
        </row>
      </sheetData>
      <sheetData sheetId="8409">
        <row r="7">
          <cell r="AI7">
            <v>10000</v>
          </cell>
        </row>
      </sheetData>
      <sheetData sheetId="8410">
        <row r="7">
          <cell r="AI7">
            <v>10000</v>
          </cell>
        </row>
      </sheetData>
      <sheetData sheetId="8411">
        <row r="7">
          <cell r="AI7">
            <v>10000</v>
          </cell>
        </row>
      </sheetData>
      <sheetData sheetId="8412">
        <row r="7">
          <cell r="AI7">
            <v>10000</v>
          </cell>
        </row>
      </sheetData>
      <sheetData sheetId="8413">
        <row r="7">
          <cell r="AI7">
            <v>10000</v>
          </cell>
        </row>
      </sheetData>
      <sheetData sheetId="8414">
        <row r="7">
          <cell r="AI7">
            <v>10000</v>
          </cell>
        </row>
      </sheetData>
      <sheetData sheetId="8415">
        <row r="7">
          <cell r="AI7">
            <v>10000</v>
          </cell>
        </row>
      </sheetData>
      <sheetData sheetId="8416">
        <row r="7">
          <cell r="AI7">
            <v>10000</v>
          </cell>
        </row>
      </sheetData>
      <sheetData sheetId="8417">
        <row r="7">
          <cell r="AI7">
            <v>10000</v>
          </cell>
        </row>
      </sheetData>
      <sheetData sheetId="8418">
        <row r="7">
          <cell r="AI7">
            <v>10000</v>
          </cell>
        </row>
      </sheetData>
      <sheetData sheetId="8419">
        <row r="7">
          <cell r="AI7">
            <v>10000</v>
          </cell>
        </row>
      </sheetData>
      <sheetData sheetId="8420">
        <row r="7">
          <cell r="AI7">
            <v>10000</v>
          </cell>
        </row>
      </sheetData>
      <sheetData sheetId="8421">
        <row r="7">
          <cell r="AI7">
            <v>10000</v>
          </cell>
        </row>
      </sheetData>
      <sheetData sheetId="8422">
        <row r="7">
          <cell r="AI7">
            <v>10000</v>
          </cell>
        </row>
      </sheetData>
      <sheetData sheetId="8423">
        <row r="7">
          <cell r="AI7">
            <v>10000</v>
          </cell>
        </row>
      </sheetData>
      <sheetData sheetId="8424">
        <row r="7">
          <cell r="AI7">
            <v>10000</v>
          </cell>
        </row>
      </sheetData>
      <sheetData sheetId="8425">
        <row r="7">
          <cell r="AI7">
            <v>10000</v>
          </cell>
        </row>
      </sheetData>
      <sheetData sheetId="8426">
        <row r="7">
          <cell r="AI7">
            <v>10000</v>
          </cell>
        </row>
      </sheetData>
      <sheetData sheetId="8427">
        <row r="7">
          <cell r="AI7">
            <v>10000</v>
          </cell>
        </row>
      </sheetData>
      <sheetData sheetId="8428">
        <row r="7">
          <cell r="AI7">
            <v>10000</v>
          </cell>
        </row>
      </sheetData>
      <sheetData sheetId="8429">
        <row r="7">
          <cell r="AI7">
            <v>10000</v>
          </cell>
        </row>
      </sheetData>
      <sheetData sheetId="8430">
        <row r="7">
          <cell r="AI7">
            <v>10000</v>
          </cell>
        </row>
      </sheetData>
      <sheetData sheetId="8431">
        <row r="7">
          <cell r="AI7">
            <v>10000</v>
          </cell>
        </row>
      </sheetData>
      <sheetData sheetId="8432">
        <row r="7">
          <cell r="AI7">
            <v>10000</v>
          </cell>
        </row>
      </sheetData>
      <sheetData sheetId="8433">
        <row r="7">
          <cell r="AI7">
            <v>10000</v>
          </cell>
        </row>
      </sheetData>
      <sheetData sheetId="8434">
        <row r="7">
          <cell r="AI7">
            <v>10000</v>
          </cell>
        </row>
      </sheetData>
      <sheetData sheetId="8435">
        <row r="7">
          <cell r="AI7">
            <v>10000</v>
          </cell>
        </row>
      </sheetData>
      <sheetData sheetId="8436">
        <row r="7">
          <cell r="AI7">
            <v>10000</v>
          </cell>
        </row>
      </sheetData>
      <sheetData sheetId="8437">
        <row r="7">
          <cell r="AI7">
            <v>10000</v>
          </cell>
        </row>
      </sheetData>
      <sheetData sheetId="8438">
        <row r="7">
          <cell r="AI7">
            <v>10000</v>
          </cell>
        </row>
      </sheetData>
      <sheetData sheetId="8439">
        <row r="7">
          <cell r="AI7">
            <v>10000</v>
          </cell>
        </row>
      </sheetData>
      <sheetData sheetId="8440">
        <row r="7">
          <cell r="AI7">
            <v>10000</v>
          </cell>
        </row>
      </sheetData>
      <sheetData sheetId="8441">
        <row r="7">
          <cell r="AI7">
            <v>10000</v>
          </cell>
        </row>
      </sheetData>
      <sheetData sheetId="8442">
        <row r="7">
          <cell r="AI7">
            <v>10000</v>
          </cell>
        </row>
      </sheetData>
      <sheetData sheetId="8443">
        <row r="7">
          <cell r="AI7">
            <v>10000</v>
          </cell>
        </row>
      </sheetData>
      <sheetData sheetId="8444">
        <row r="7">
          <cell r="AI7">
            <v>10000</v>
          </cell>
        </row>
      </sheetData>
      <sheetData sheetId="8445">
        <row r="7">
          <cell r="AI7">
            <v>10000</v>
          </cell>
        </row>
      </sheetData>
      <sheetData sheetId="8446">
        <row r="7">
          <cell r="AI7">
            <v>10000</v>
          </cell>
        </row>
      </sheetData>
      <sheetData sheetId="8447">
        <row r="7">
          <cell r="AI7">
            <v>10000</v>
          </cell>
        </row>
      </sheetData>
      <sheetData sheetId="8448">
        <row r="7">
          <cell r="AI7">
            <v>10000</v>
          </cell>
        </row>
      </sheetData>
      <sheetData sheetId="8449">
        <row r="7">
          <cell r="AI7">
            <v>10000</v>
          </cell>
        </row>
      </sheetData>
      <sheetData sheetId="8450">
        <row r="7">
          <cell r="AI7">
            <v>10000</v>
          </cell>
        </row>
      </sheetData>
      <sheetData sheetId="8451">
        <row r="7">
          <cell r="AI7">
            <v>10000</v>
          </cell>
        </row>
      </sheetData>
      <sheetData sheetId="8452">
        <row r="7">
          <cell r="AI7">
            <v>10000</v>
          </cell>
        </row>
      </sheetData>
      <sheetData sheetId="8453">
        <row r="7">
          <cell r="AI7">
            <v>10000</v>
          </cell>
        </row>
      </sheetData>
      <sheetData sheetId="8454">
        <row r="7">
          <cell r="AI7">
            <v>10000</v>
          </cell>
        </row>
      </sheetData>
      <sheetData sheetId="8455">
        <row r="7">
          <cell r="AI7">
            <v>10000</v>
          </cell>
        </row>
      </sheetData>
      <sheetData sheetId="8456">
        <row r="7">
          <cell r="AI7">
            <v>10000</v>
          </cell>
        </row>
      </sheetData>
      <sheetData sheetId="8457">
        <row r="7">
          <cell r="AI7">
            <v>10000</v>
          </cell>
        </row>
      </sheetData>
      <sheetData sheetId="8458">
        <row r="7">
          <cell r="AI7">
            <v>10000</v>
          </cell>
        </row>
      </sheetData>
      <sheetData sheetId="8459">
        <row r="7">
          <cell r="AI7">
            <v>10000</v>
          </cell>
        </row>
      </sheetData>
      <sheetData sheetId="8460">
        <row r="7">
          <cell r="AI7">
            <v>10000</v>
          </cell>
        </row>
      </sheetData>
      <sheetData sheetId="8461">
        <row r="7">
          <cell r="AI7">
            <v>10000</v>
          </cell>
        </row>
      </sheetData>
      <sheetData sheetId="8462">
        <row r="7">
          <cell r="AI7">
            <v>10000</v>
          </cell>
        </row>
      </sheetData>
      <sheetData sheetId="8463">
        <row r="7">
          <cell r="AI7">
            <v>10000</v>
          </cell>
        </row>
      </sheetData>
      <sheetData sheetId="8464">
        <row r="7">
          <cell r="AI7">
            <v>10000</v>
          </cell>
        </row>
      </sheetData>
      <sheetData sheetId="8465">
        <row r="7">
          <cell r="AI7">
            <v>10000</v>
          </cell>
        </row>
      </sheetData>
      <sheetData sheetId="8466">
        <row r="7">
          <cell r="AI7">
            <v>10000</v>
          </cell>
        </row>
      </sheetData>
      <sheetData sheetId="8467">
        <row r="7">
          <cell r="AI7">
            <v>10000</v>
          </cell>
        </row>
      </sheetData>
      <sheetData sheetId="8468">
        <row r="7">
          <cell r="AI7">
            <v>10000</v>
          </cell>
        </row>
      </sheetData>
      <sheetData sheetId="8469">
        <row r="7">
          <cell r="AI7">
            <v>10000</v>
          </cell>
        </row>
      </sheetData>
      <sheetData sheetId="8470">
        <row r="7">
          <cell r="AI7">
            <v>10000</v>
          </cell>
        </row>
      </sheetData>
      <sheetData sheetId="8471">
        <row r="7">
          <cell r="AI7">
            <v>10000</v>
          </cell>
        </row>
      </sheetData>
      <sheetData sheetId="8472">
        <row r="7">
          <cell r="AI7">
            <v>10000</v>
          </cell>
        </row>
      </sheetData>
      <sheetData sheetId="8473">
        <row r="7">
          <cell r="AI7">
            <v>10000</v>
          </cell>
        </row>
      </sheetData>
      <sheetData sheetId="8474">
        <row r="7">
          <cell r="AI7">
            <v>10000</v>
          </cell>
        </row>
      </sheetData>
      <sheetData sheetId="8475">
        <row r="7">
          <cell r="AI7">
            <v>10000</v>
          </cell>
        </row>
      </sheetData>
      <sheetData sheetId="8476">
        <row r="7">
          <cell r="AI7">
            <v>10000</v>
          </cell>
        </row>
      </sheetData>
      <sheetData sheetId="8477">
        <row r="7">
          <cell r="AI7">
            <v>10000</v>
          </cell>
        </row>
      </sheetData>
      <sheetData sheetId="8478">
        <row r="7">
          <cell r="AI7">
            <v>10000</v>
          </cell>
        </row>
      </sheetData>
      <sheetData sheetId="8479">
        <row r="7">
          <cell r="AI7">
            <v>10000</v>
          </cell>
        </row>
      </sheetData>
      <sheetData sheetId="8480">
        <row r="7">
          <cell r="AI7">
            <v>10000</v>
          </cell>
        </row>
      </sheetData>
      <sheetData sheetId="8481">
        <row r="7">
          <cell r="AI7">
            <v>10000</v>
          </cell>
        </row>
      </sheetData>
      <sheetData sheetId="8482">
        <row r="7">
          <cell r="AI7">
            <v>10000</v>
          </cell>
        </row>
      </sheetData>
      <sheetData sheetId="8483">
        <row r="7">
          <cell r="AI7">
            <v>10000</v>
          </cell>
        </row>
      </sheetData>
      <sheetData sheetId="8484">
        <row r="7">
          <cell r="AI7">
            <v>10000</v>
          </cell>
        </row>
      </sheetData>
      <sheetData sheetId="8485">
        <row r="7">
          <cell r="AI7">
            <v>10000</v>
          </cell>
        </row>
      </sheetData>
      <sheetData sheetId="8486">
        <row r="7">
          <cell r="AI7">
            <v>10000</v>
          </cell>
        </row>
      </sheetData>
      <sheetData sheetId="8487">
        <row r="7">
          <cell r="AI7">
            <v>10000</v>
          </cell>
        </row>
      </sheetData>
      <sheetData sheetId="8488">
        <row r="7">
          <cell r="AI7">
            <v>10000</v>
          </cell>
        </row>
      </sheetData>
      <sheetData sheetId="8489">
        <row r="7">
          <cell r="AI7">
            <v>10000</v>
          </cell>
        </row>
      </sheetData>
      <sheetData sheetId="8490">
        <row r="7">
          <cell r="AI7">
            <v>10000</v>
          </cell>
        </row>
      </sheetData>
      <sheetData sheetId="8491">
        <row r="7">
          <cell r="AI7">
            <v>10000</v>
          </cell>
        </row>
      </sheetData>
      <sheetData sheetId="8492">
        <row r="7">
          <cell r="AI7">
            <v>10000</v>
          </cell>
        </row>
      </sheetData>
      <sheetData sheetId="8493">
        <row r="7">
          <cell r="AI7">
            <v>10000</v>
          </cell>
        </row>
      </sheetData>
      <sheetData sheetId="8494">
        <row r="7">
          <cell r="AI7">
            <v>10000</v>
          </cell>
        </row>
      </sheetData>
      <sheetData sheetId="8495">
        <row r="7">
          <cell r="AI7">
            <v>10000</v>
          </cell>
        </row>
      </sheetData>
      <sheetData sheetId="8496">
        <row r="7">
          <cell r="AI7">
            <v>10000</v>
          </cell>
        </row>
      </sheetData>
      <sheetData sheetId="8497">
        <row r="7">
          <cell r="AI7">
            <v>10000</v>
          </cell>
        </row>
      </sheetData>
      <sheetData sheetId="8498">
        <row r="7">
          <cell r="AI7">
            <v>10000</v>
          </cell>
        </row>
      </sheetData>
      <sheetData sheetId="8499" refreshError="1"/>
      <sheetData sheetId="8500">
        <row r="7">
          <cell r="AI7">
            <v>10000</v>
          </cell>
        </row>
      </sheetData>
      <sheetData sheetId="8501">
        <row r="7">
          <cell r="AI7">
            <v>10000</v>
          </cell>
        </row>
      </sheetData>
      <sheetData sheetId="8502">
        <row r="7">
          <cell r="AI7">
            <v>10000</v>
          </cell>
        </row>
      </sheetData>
      <sheetData sheetId="8503">
        <row r="7">
          <cell r="AI7">
            <v>10000</v>
          </cell>
        </row>
      </sheetData>
      <sheetData sheetId="8504">
        <row r="7">
          <cell r="AI7">
            <v>10000</v>
          </cell>
        </row>
      </sheetData>
      <sheetData sheetId="8505">
        <row r="7">
          <cell r="AI7">
            <v>10000</v>
          </cell>
        </row>
      </sheetData>
      <sheetData sheetId="8506">
        <row r="7">
          <cell r="AI7">
            <v>10000</v>
          </cell>
        </row>
      </sheetData>
      <sheetData sheetId="8507">
        <row r="7">
          <cell r="AI7">
            <v>10000</v>
          </cell>
        </row>
      </sheetData>
      <sheetData sheetId="8508">
        <row r="7">
          <cell r="AI7">
            <v>10000</v>
          </cell>
        </row>
      </sheetData>
      <sheetData sheetId="8509">
        <row r="7">
          <cell r="AI7">
            <v>10000</v>
          </cell>
        </row>
      </sheetData>
      <sheetData sheetId="8510">
        <row r="7">
          <cell r="AI7">
            <v>10000</v>
          </cell>
        </row>
      </sheetData>
      <sheetData sheetId="8511">
        <row r="7">
          <cell r="AI7">
            <v>10000</v>
          </cell>
        </row>
      </sheetData>
      <sheetData sheetId="8512">
        <row r="7">
          <cell r="AI7">
            <v>10000</v>
          </cell>
        </row>
      </sheetData>
      <sheetData sheetId="8513">
        <row r="7">
          <cell r="AI7">
            <v>10000</v>
          </cell>
        </row>
      </sheetData>
      <sheetData sheetId="8514">
        <row r="7">
          <cell r="AI7">
            <v>10000</v>
          </cell>
        </row>
      </sheetData>
      <sheetData sheetId="8515">
        <row r="7">
          <cell r="AI7">
            <v>10000</v>
          </cell>
        </row>
      </sheetData>
      <sheetData sheetId="8516">
        <row r="7">
          <cell r="AI7">
            <v>10000</v>
          </cell>
        </row>
      </sheetData>
      <sheetData sheetId="8517">
        <row r="7">
          <cell r="AI7">
            <v>10000</v>
          </cell>
        </row>
      </sheetData>
      <sheetData sheetId="8518">
        <row r="7">
          <cell r="AI7">
            <v>10000</v>
          </cell>
        </row>
      </sheetData>
      <sheetData sheetId="8519">
        <row r="7">
          <cell r="AI7">
            <v>10000</v>
          </cell>
        </row>
      </sheetData>
      <sheetData sheetId="8520">
        <row r="7">
          <cell r="AI7">
            <v>10000</v>
          </cell>
        </row>
      </sheetData>
      <sheetData sheetId="8521">
        <row r="7">
          <cell r="AI7">
            <v>10000</v>
          </cell>
        </row>
      </sheetData>
      <sheetData sheetId="8522">
        <row r="7">
          <cell r="AI7">
            <v>10000</v>
          </cell>
        </row>
      </sheetData>
      <sheetData sheetId="8523">
        <row r="7">
          <cell r="AI7">
            <v>10000</v>
          </cell>
        </row>
      </sheetData>
      <sheetData sheetId="8524">
        <row r="7">
          <cell r="AI7">
            <v>10000</v>
          </cell>
        </row>
      </sheetData>
      <sheetData sheetId="8525">
        <row r="7">
          <cell r="AI7">
            <v>10000</v>
          </cell>
        </row>
      </sheetData>
      <sheetData sheetId="8526">
        <row r="7">
          <cell r="AI7">
            <v>10000</v>
          </cell>
        </row>
      </sheetData>
      <sheetData sheetId="8527">
        <row r="7">
          <cell r="AI7">
            <v>10000</v>
          </cell>
        </row>
      </sheetData>
      <sheetData sheetId="8528">
        <row r="7">
          <cell r="AI7">
            <v>10000</v>
          </cell>
        </row>
      </sheetData>
      <sheetData sheetId="8529">
        <row r="7">
          <cell r="AI7">
            <v>10000</v>
          </cell>
        </row>
      </sheetData>
      <sheetData sheetId="8530">
        <row r="7">
          <cell r="AI7">
            <v>10000</v>
          </cell>
        </row>
      </sheetData>
      <sheetData sheetId="8531">
        <row r="7">
          <cell r="AI7">
            <v>10000</v>
          </cell>
        </row>
      </sheetData>
      <sheetData sheetId="8532">
        <row r="7">
          <cell r="AI7">
            <v>10000</v>
          </cell>
        </row>
      </sheetData>
      <sheetData sheetId="8533">
        <row r="7">
          <cell r="AI7">
            <v>10000</v>
          </cell>
        </row>
      </sheetData>
      <sheetData sheetId="8534">
        <row r="7">
          <cell r="AI7">
            <v>10000</v>
          </cell>
        </row>
      </sheetData>
      <sheetData sheetId="8535">
        <row r="7">
          <cell r="AI7">
            <v>10000</v>
          </cell>
        </row>
      </sheetData>
      <sheetData sheetId="8536">
        <row r="7">
          <cell r="AI7">
            <v>10000</v>
          </cell>
        </row>
      </sheetData>
      <sheetData sheetId="8537">
        <row r="7">
          <cell r="AI7">
            <v>10000</v>
          </cell>
        </row>
      </sheetData>
      <sheetData sheetId="8538">
        <row r="7">
          <cell r="AI7">
            <v>10000</v>
          </cell>
        </row>
      </sheetData>
      <sheetData sheetId="8539">
        <row r="7">
          <cell r="AI7">
            <v>10000</v>
          </cell>
        </row>
      </sheetData>
      <sheetData sheetId="8540">
        <row r="7">
          <cell r="AI7">
            <v>10000</v>
          </cell>
        </row>
      </sheetData>
      <sheetData sheetId="8541">
        <row r="7">
          <cell r="AI7">
            <v>10000</v>
          </cell>
        </row>
      </sheetData>
      <sheetData sheetId="8542">
        <row r="7">
          <cell r="AI7">
            <v>10000</v>
          </cell>
        </row>
      </sheetData>
      <sheetData sheetId="8543">
        <row r="7">
          <cell r="AI7">
            <v>10000</v>
          </cell>
        </row>
      </sheetData>
      <sheetData sheetId="8544">
        <row r="7">
          <cell r="AI7">
            <v>10000</v>
          </cell>
        </row>
      </sheetData>
      <sheetData sheetId="8545">
        <row r="7">
          <cell r="AI7">
            <v>10000</v>
          </cell>
        </row>
      </sheetData>
      <sheetData sheetId="8546">
        <row r="7">
          <cell r="AI7">
            <v>10000</v>
          </cell>
        </row>
      </sheetData>
      <sheetData sheetId="8547">
        <row r="7">
          <cell r="AI7">
            <v>10000</v>
          </cell>
        </row>
      </sheetData>
      <sheetData sheetId="8548">
        <row r="7">
          <cell r="AI7">
            <v>10000</v>
          </cell>
        </row>
      </sheetData>
      <sheetData sheetId="8549">
        <row r="7">
          <cell r="AI7">
            <v>10000</v>
          </cell>
        </row>
      </sheetData>
      <sheetData sheetId="8550">
        <row r="7">
          <cell r="AI7">
            <v>10000</v>
          </cell>
        </row>
      </sheetData>
      <sheetData sheetId="8551">
        <row r="7">
          <cell r="AI7">
            <v>10000</v>
          </cell>
        </row>
      </sheetData>
      <sheetData sheetId="8552">
        <row r="7">
          <cell r="AI7">
            <v>10000</v>
          </cell>
        </row>
      </sheetData>
      <sheetData sheetId="8553">
        <row r="7">
          <cell r="AI7">
            <v>10000</v>
          </cell>
        </row>
      </sheetData>
      <sheetData sheetId="8554">
        <row r="7">
          <cell r="AI7">
            <v>10000</v>
          </cell>
        </row>
      </sheetData>
      <sheetData sheetId="8555">
        <row r="7">
          <cell r="AI7">
            <v>10000</v>
          </cell>
        </row>
      </sheetData>
      <sheetData sheetId="8556">
        <row r="7">
          <cell r="AI7">
            <v>10000</v>
          </cell>
        </row>
      </sheetData>
      <sheetData sheetId="8557">
        <row r="7">
          <cell r="AI7">
            <v>10000</v>
          </cell>
        </row>
      </sheetData>
      <sheetData sheetId="8558">
        <row r="7">
          <cell r="AI7">
            <v>10000</v>
          </cell>
        </row>
      </sheetData>
      <sheetData sheetId="8559">
        <row r="7">
          <cell r="AI7">
            <v>10000</v>
          </cell>
        </row>
      </sheetData>
      <sheetData sheetId="8560">
        <row r="7">
          <cell r="AI7">
            <v>10000</v>
          </cell>
        </row>
      </sheetData>
      <sheetData sheetId="8561">
        <row r="7">
          <cell r="AI7">
            <v>10000</v>
          </cell>
        </row>
      </sheetData>
      <sheetData sheetId="8562">
        <row r="7">
          <cell r="AI7">
            <v>10000</v>
          </cell>
        </row>
      </sheetData>
      <sheetData sheetId="8563">
        <row r="7">
          <cell r="AI7">
            <v>10000</v>
          </cell>
        </row>
      </sheetData>
      <sheetData sheetId="8564">
        <row r="7">
          <cell r="AI7">
            <v>10000</v>
          </cell>
        </row>
      </sheetData>
      <sheetData sheetId="8565">
        <row r="7">
          <cell r="AI7">
            <v>10000</v>
          </cell>
        </row>
      </sheetData>
      <sheetData sheetId="8566">
        <row r="7">
          <cell r="AI7">
            <v>10000</v>
          </cell>
        </row>
      </sheetData>
      <sheetData sheetId="8567">
        <row r="7">
          <cell r="AI7">
            <v>10000</v>
          </cell>
        </row>
      </sheetData>
      <sheetData sheetId="8568">
        <row r="7">
          <cell r="AI7">
            <v>10000</v>
          </cell>
        </row>
      </sheetData>
      <sheetData sheetId="8569">
        <row r="7">
          <cell r="AI7">
            <v>10000</v>
          </cell>
        </row>
      </sheetData>
      <sheetData sheetId="8570">
        <row r="7">
          <cell r="AI7">
            <v>10000</v>
          </cell>
        </row>
      </sheetData>
      <sheetData sheetId="8571">
        <row r="7">
          <cell r="AI7">
            <v>10000</v>
          </cell>
        </row>
      </sheetData>
      <sheetData sheetId="8572">
        <row r="7">
          <cell r="AI7">
            <v>10000</v>
          </cell>
        </row>
      </sheetData>
      <sheetData sheetId="8573">
        <row r="7">
          <cell r="AI7">
            <v>10000</v>
          </cell>
        </row>
      </sheetData>
      <sheetData sheetId="8574">
        <row r="7">
          <cell r="AI7">
            <v>10000</v>
          </cell>
        </row>
      </sheetData>
      <sheetData sheetId="8575">
        <row r="7">
          <cell r="AI7">
            <v>10000</v>
          </cell>
        </row>
      </sheetData>
      <sheetData sheetId="8576">
        <row r="7">
          <cell r="AI7">
            <v>10000</v>
          </cell>
        </row>
      </sheetData>
      <sheetData sheetId="8577">
        <row r="7">
          <cell r="AI7">
            <v>10000</v>
          </cell>
        </row>
      </sheetData>
      <sheetData sheetId="8578">
        <row r="7">
          <cell r="AI7">
            <v>10000</v>
          </cell>
        </row>
      </sheetData>
      <sheetData sheetId="8579">
        <row r="7">
          <cell r="AI7">
            <v>10000</v>
          </cell>
        </row>
      </sheetData>
      <sheetData sheetId="8580">
        <row r="7">
          <cell r="AI7">
            <v>10000</v>
          </cell>
        </row>
      </sheetData>
      <sheetData sheetId="8581">
        <row r="7">
          <cell r="AI7">
            <v>10000</v>
          </cell>
        </row>
      </sheetData>
      <sheetData sheetId="8582">
        <row r="7">
          <cell r="AI7">
            <v>10000</v>
          </cell>
        </row>
      </sheetData>
      <sheetData sheetId="8583">
        <row r="7">
          <cell r="AI7">
            <v>10000</v>
          </cell>
        </row>
      </sheetData>
      <sheetData sheetId="8584">
        <row r="7">
          <cell r="AI7">
            <v>10000</v>
          </cell>
        </row>
      </sheetData>
      <sheetData sheetId="8585">
        <row r="7">
          <cell r="AI7">
            <v>10000</v>
          </cell>
        </row>
      </sheetData>
      <sheetData sheetId="8586">
        <row r="7">
          <cell r="AI7">
            <v>10000</v>
          </cell>
        </row>
      </sheetData>
      <sheetData sheetId="8587">
        <row r="7">
          <cell r="AI7">
            <v>10000</v>
          </cell>
        </row>
      </sheetData>
      <sheetData sheetId="8588">
        <row r="7">
          <cell r="AI7">
            <v>10000</v>
          </cell>
        </row>
      </sheetData>
      <sheetData sheetId="8589">
        <row r="7">
          <cell r="AI7">
            <v>10000</v>
          </cell>
        </row>
      </sheetData>
      <sheetData sheetId="8590">
        <row r="7">
          <cell r="AI7">
            <v>10000</v>
          </cell>
        </row>
      </sheetData>
      <sheetData sheetId="8591">
        <row r="7">
          <cell r="AI7">
            <v>10000</v>
          </cell>
        </row>
      </sheetData>
      <sheetData sheetId="8592">
        <row r="7">
          <cell r="AI7">
            <v>10000</v>
          </cell>
        </row>
      </sheetData>
      <sheetData sheetId="8593">
        <row r="7">
          <cell r="AI7">
            <v>10000</v>
          </cell>
        </row>
      </sheetData>
      <sheetData sheetId="8594">
        <row r="7">
          <cell r="AI7">
            <v>10000</v>
          </cell>
        </row>
      </sheetData>
      <sheetData sheetId="8595">
        <row r="7">
          <cell r="AI7">
            <v>10000</v>
          </cell>
        </row>
      </sheetData>
      <sheetData sheetId="8596">
        <row r="7">
          <cell r="AI7">
            <v>10000</v>
          </cell>
        </row>
      </sheetData>
      <sheetData sheetId="8597">
        <row r="7">
          <cell r="AI7">
            <v>10000</v>
          </cell>
        </row>
      </sheetData>
      <sheetData sheetId="8598">
        <row r="7">
          <cell r="AI7">
            <v>10000</v>
          </cell>
        </row>
      </sheetData>
      <sheetData sheetId="8599">
        <row r="7">
          <cell r="AI7">
            <v>10000</v>
          </cell>
        </row>
      </sheetData>
      <sheetData sheetId="8600">
        <row r="7">
          <cell r="AI7">
            <v>10000</v>
          </cell>
        </row>
      </sheetData>
      <sheetData sheetId="8601">
        <row r="7">
          <cell r="AI7">
            <v>10000</v>
          </cell>
        </row>
      </sheetData>
      <sheetData sheetId="8602">
        <row r="7">
          <cell r="AI7">
            <v>10000</v>
          </cell>
        </row>
      </sheetData>
      <sheetData sheetId="8603">
        <row r="7">
          <cell r="AI7">
            <v>10000</v>
          </cell>
        </row>
      </sheetData>
      <sheetData sheetId="8604">
        <row r="7">
          <cell r="AI7">
            <v>10000</v>
          </cell>
        </row>
      </sheetData>
      <sheetData sheetId="8605">
        <row r="7">
          <cell r="AI7">
            <v>10000</v>
          </cell>
        </row>
      </sheetData>
      <sheetData sheetId="8606">
        <row r="7">
          <cell r="AI7">
            <v>10000</v>
          </cell>
        </row>
      </sheetData>
      <sheetData sheetId="8607">
        <row r="7">
          <cell r="AI7">
            <v>10000</v>
          </cell>
        </row>
      </sheetData>
      <sheetData sheetId="8608">
        <row r="7">
          <cell r="AI7">
            <v>10000</v>
          </cell>
        </row>
      </sheetData>
      <sheetData sheetId="8609">
        <row r="7">
          <cell r="AI7">
            <v>10000</v>
          </cell>
        </row>
      </sheetData>
      <sheetData sheetId="8610">
        <row r="7">
          <cell r="AI7">
            <v>10000</v>
          </cell>
        </row>
      </sheetData>
      <sheetData sheetId="8611">
        <row r="7">
          <cell r="AI7">
            <v>10000</v>
          </cell>
        </row>
      </sheetData>
      <sheetData sheetId="8612">
        <row r="7">
          <cell r="AI7">
            <v>10000</v>
          </cell>
        </row>
      </sheetData>
      <sheetData sheetId="8613">
        <row r="7">
          <cell r="AI7">
            <v>10000</v>
          </cell>
        </row>
      </sheetData>
      <sheetData sheetId="8614">
        <row r="7">
          <cell r="AI7">
            <v>10000</v>
          </cell>
        </row>
      </sheetData>
      <sheetData sheetId="8615">
        <row r="7">
          <cell r="AI7">
            <v>10000</v>
          </cell>
        </row>
      </sheetData>
      <sheetData sheetId="8616">
        <row r="7">
          <cell r="AI7">
            <v>10000</v>
          </cell>
        </row>
      </sheetData>
      <sheetData sheetId="8617">
        <row r="7">
          <cell r="AI7">
            <v>10000</v>
          </cell>
        </row>
      </sheetData>
      <sheetData sheetId="8618">
        <row r="7">
          <cell r="AI7">
            <v>10000</v>
          </cell>
        </row>
      </sheetData>
      <sheetData sheetId="8619">
        <row r="7">
          <cell r="AI7">
            <v>10000</v>
          </cell>
        </row>
      </sheetData>
      <sheetData sheetId="8620">
        <row r="7">
          <cell r="AI7">
            <v>10000</v>
          </cell>
        </row>
      </sheetData>
      <sheetData sheetId="8621">
        <row r="7">
          <cell r="AI7">
            <v>10000</v>
          </cell>
        </row>
      </sheetData>
      <sheetData sheetId="8622">
        <row r="7">
          <cell r="AI7">
            <v>10000</v>
          </cell>
        </row>
      </sheetData>
      <sheetData sheetId="8623">
        <row r="7">
          <cell r="AI7">
            <v>10000</v>
          </cell>
        </row>
      </sheetData>
      <sheetData sheetId="8624">
        <row r="7">
          <cell r="AI7">
            <v>10000</v>
          </cell>
        </row>
      </sheetData>
      <sheetData sheetId="8625">
        <row r="7">
          <cell r="AI7">
            <v>10000</v>
          </cell>
        </row>
      </sheetData>
      <sheetData sheetId="8626">
        <row r="7">
          <cell r="AI7">
            <v>10000</v>
          </cell>
        </row>
      </sheetData>
      <sheetData sheetId="8627">
        <row r="7">
          <cell r="AI7">
            <v>10000</v>
          </cell>
        </row>
      </sheetData>
      <sheetData sheetId="8628">
        <row r="7">
          <cell r="AI7">
            <v>10000</v>
          </cell>
        </row>
      </sheetData>
      <sheetData sheetId="8629">
        <row r="7">
          <cell r="AI7">
            <v>10000</v>
          </cell>
        </row>
      </sheetData>
      <sheetData sheetId="8630">
        <row r="7">
          <cell r="AI7">
            <v>10000</v>
          </cell>
        </row>
      </sheetData>
      <sheetData sheetId="8631">
        <row r="7">
          <cell r="AI7">
            <v>10000</v>
          </cell>
        </row>
      </sheetData>
      <sheetData sheetId="8632">
        <row r="7">
          <cell r="AI7">
            <v>10000</v>
          </cell>
        </row>
      </sheetData>
      <sheetData sheetId="8633">
        <row r="7">
          <cell r="AI7">
            <v>10000</v>
          </cell>
        </row>
      </sheetData>
      <sheetData sheetId="8634">
        <row r="7">
          <cell r="AI7">
            <v>10000</v>
          </cell>
        </row>
      </sheetData>
      <sheetData sheetId="8635">
        <row r="7">
          <cell r="AI7">
            <v>10000</v>
          </cell>
        </row>
      </sheetData>
      <sheetData sheetId="8636">
        <row r="7">
          <cell r="AI7">
            <v>10000</v>
          </cell>
        </row>
      </sheetData>
      <sheetData sheetId="8637">
        <row r="7">
          <cell r="AI7">
            <v>10000</v>
          </cell>
        </row>
      </sheetData>
      <sheetData sheetId="8638">
        <row r="7">
          <cell r="AI7">
            <v>10000</v>
          </cell>
        </row>
      </sheetData>
      <sheetData sheetId="8639">
        <row r="7">
          <cell r="AI7">
            <v>10000</v>
          </cell>
        </row>
      </sheetData>
      <sheetData sheetId="8640">
        <row r="7">
          <cell r="AI7">
            <v>10000</v>
          </cell>
        </row>
      </sheetData>
      <sheetData sheetId="8641">
        <row r="7">
          <cell r="AI7">
            <v>10000</v>
          </cell>
        </row>
      </sheetData>
      <sheetData sheetId="8642">
        <row r="7">
          <cell r="AI7">
            <v>10000</v>
          </cell>
        </row>
      </sheetData>
      <sheetData sheetId="8643">
        <row r="7">
          <cell r="AI7">
            <v>10000</v>
          </cell>
        </row>
      </sheetData>
      <sheetData sheetId="8644">
        <row r="7">
          <cell r="AI7">
            <v>10000</v>
          </cell>
        </row>
      </sheetData>
      <sheetData sheetId="8645">
        <row r="7">
          <cell r="AI7">
            <v>10000</v>
          </cell>
        </row>
      </sheetData>
      <sheetData sheetId="8646">
        <row r="7">
          <cell r="AI7">
            <v>10000</v>
          </cell>
        </row>
      </sheetData>
      <sheetData sheetId="8647">
        <row r="7">
          <cell r="AI7">
            <v>10000</v>
          </cell>
        </row>
      </sheetData>
      <sheetData sheetId="8648">
        <row r="7">
          <cell r="AI7">
            <v>10000</v>
          </cell>
        </row>
      </sheetData>
      <sheetData sheetId="8649">
        <row r="7">
          <cell r="AI7">
            <v>10000</v>
          </cell>
        </row>
      </sheetData>
      <sheetData sheetId="8650">
        <row r="7">
          <cell r="AI7">
            <v>10000</v>
          </cell>
        </row>
      </sheetData>
      <sheetData sheetId="8651">
        <row r="7">
          <cell r="AI7">
            <v>10000</v>
          </cell>
        </row>
      </sheetData>
      <sheetData sheetId="8652">
        <row r="7">
          <cell r="AI7">
            <v>10000</v>
          </cell>
        </row>
      </sheetData>
      <sheetData sheetId="8653">
        <row r="7">
          <cell r="AI7">
            <v>10000</v>
          </cell>
        </row>
      </sheetData>
      <sheetData sheetId="8654">
        <row r="7">
          <cell r="AI7">
            <v>10000</v>
          </cell>
        </row>
      </sheetData>
      <sheetData sheetId="8655">
        <row r="7">
          <cell r="AI7">
            <v>10000</v>
          </cell>
        </row>
      </sheetData>
      <sheetData sheetId="8656">
        <row r="7">
          <cell r="AI7">
            <v>10000</v>
          </cell>
        </row>
      </sheetData>
      <sheetData sheetId="8657">
        <row r="7">
          <cell r="AI7">
            <v>10000</v>
          </cell>
        </row>
      </sheetData>
      <sheetData sheetId="8658">
        <row r="7">
          <cell r="AI7">
            <v>10000</v>
          </cell>
        </row>
      </sheetData>
      <sheetData sheetId="8659">
        <row r="7">
          <cell r="AI7">
            <v>10000</v>
          </cell>
        </row>
      </sheetData>
      <sheetData sheetId="8660">
        <row r="7">
          <cell r="AI7">
            <v>10000</v>
          </cell>
        </row>
      </sheetData>
      <sheetData sheetId="8661">
        <row r="7">
          <cell r="AI7">
            <v>10000</v>
          </cell>
        </row>
      </sheetData>
      <sheetData sheetId="8662">
        <row r="7">
          <cell r="AI7">
            <v>10000</v>
          </cell>
        </row>
      </sheetData>
      <sheetData sheetId="8663">
        <row r="7">
          <cell r="AI7">
            <v>10000</v>
          </cell>
        </row>
      </sheetData>
      <sheetData sheetId="8664">
        <row r="7">
          <cell r="AI7">
            <v>10000</v>
          </cell>
        </row>
      </sheetData>
      <sheetData sheetId="8665">
        <row r="7">
          <cell r="AI7">
            <v>10000</v>
          </cell>
        </row>
      </sheetData>
      <sheetData sheetId="8666">
        <row r="7">
          <cell r="AI7">
            <v>10000</v>
          </cell>
        </row>
      </sheetData>
      <sheetData sheetId="8667">
        <row r="7">
          <cell r="AI7">
            <v>10000</v>
          </cell>
        </row>
      </sheetData>
      <sheetData sheetId="8668">
        <row r="7">
          <cell r="AI7">
            <v>10000</v>
          </cell>
        </row>
      </sheetData>
      <sheetData sheetId="8669">
        <row r="7">
          <cell r="AI7">
            <v>10000</v>
          </cell>
        </row>
      </sheetData>
      <sheetData sheetId="8670">
        <row r="7">
          <cell r="AI7">
            <v>10000</v>
          </cell>
        </row>
      </sheetData>
      <sheetData sheetId="8671">
        <row r="7">
          <cell r="AI7">
            <v>10000</v>
          </cell>
        </row>
      </sheetData>
      <sheetData sheetId="8672">
        <row r="7">
          <cell r="AI7">
            <v>10000</v>
          </cell>
        </row>
      </sheetData>
      <sheetData sheetId="8673">
        <row r="7">
          <cell r="AI7">
            <v>10000</v>
          </cell>
        </row>
      </sheetData>
      <sheetData sheetId="8674">
        <row r="7">
          <cell r="AI7">
            <v>10000</v>
          </cell>
        </row>
      </sheetData>
      <sheetData sheetId="8675">
        <row r="7">
          <cell r="AI7">
            <v>10000</v>
          </cell>
        </row>
      </sheetData>
      <sheetData sheetId="8676">
        <row r="7">
          <cell r="AI7">
            <v>10000</v>
          </cell>
        </row>
      </sheetData>
      <sheetData sheetId="8677">
        <row r="7">
          <cell r="AI7">
            <v>10000</v>
          </cell>
        </row>
      </sheetData>
      <sheetData sheetId="8678">
        <row r="7">
          <cell r="AI7">
            <v>10000</v>
          </cell>
        </row>
      </sheetData>
      <sheetData sheetId="8679">
        <row r="7">
          <cell r="AI7">
            <v>10000</v>
          </cell>
        </row>
      </sheetData>
      <sheetData sheetId="8680">
        <row r="7">
          <cell r="AI7">
            <v>10000</v>
          </cell>
        </row>
      </sheetData>
      <sheetData sheetId="8681">
        <row r="7">
          <cell r="AI7">
            <v>10000</v>
          </cell>
        </row>
      </sheetData>
      <sheetData sheetId="8682">
        <row r="7">
          <cell r="AI7">
            <v>10000</v>
          </cell>
        </row>
      </sheetData>
      <sheetData sheetId="8683">
        <row r="7">
          <cell r="AI7">
            <v>10000</v>
          </cell>
        </row>
      </sheetData>
      <sheetData sheetId="8684">
        <row r="7">
          <cell r="AI7">
            <v>10000</v>
          </cell>
        </row>
      </sheetData>
      <sheetData sheetId="8685">
        <row r="7">
          <cell r="AI7">
            <v>10000</v>
          </cell>
        </row>
      </sheetData>
      <sheetData sheetId="8686">
        <row r="7">
          <cell r="AI7">
            <v>10000</v>
          </cell>
        </row>
      </sheetData>
      <sheetData sheetId="8687">
        <row r="7">
          <cell r="AI7">
            <v>10000</v>
          </cell>
        </row>
      </sheetData>
      <sheetData sheetId="8688">
        <row r="7">
          <cell r="AI7">
            <v>10000</v>
          </cell>
        </row>
      </sheetData>
      <sheetData sheetId="8689">
        <row r="7">
          <cell r="AI7">
            <v>10000</v>
          </cell>
        </row>
      </sheetData>
      <sheetData sheetId="8690">
        <row r="7">
          <cell r="AI7">
            <v>10000</v>
          </cell>
        </row>
      </sheetData>
      <sheetData sheetId="8691">
        <row r="7">
          <cell r="AI7">
            <v>10000</v>
          </cell>
        </row>
      </sheetData>
      <sheetData sheetId="8692">
        <row r="7">
          <cell r="AI7">
            <v>10000</v>
          </cell>
        </row>
      </sheetData>
      <sheetData sheetId="8693">
        <row r="7">
          <cell r="AI7">
            <v>10000</v>
          </cell>
        </row>
      </sheetData>
      <sheetData sheetId="8694">
        <row r="7">
          <cell r="AI7">
            <v>10000</v>
          </cell>
        </row>
      </sheetData>
      <sheetData sheetId="8695">
        <row r="7">
          <cell r="AI7">
            <v>10000</v>
          </cell>
        </row>
      </sheetData>
      <sheetData sheetId="8696">
        <row r="7">
          <cell r="AI7">
            <v>10000</v>
          </cell>
        </row>
      </sheetData>
      <sheetData sheetId="8697">
        <row r="7">
          <cell r="AI7">
            <v>10000</v>
          </cell>
        </row>
      </sheetData>
      <sheetData sheetId="8698">
        <row r="7">
          <cell r="AI7">
            <v>10000</v>
          </cell>
        </row>
      </sheetData>
      <sheetData sheetId="8699">
        <row r="7">
          <cell r="AI7">
            <v>10000</v>
          </cell>
        </row>
      </sheetData>
      <sheetData sheetId="8700">
        <row r="7">
          <cell r="AI7">
            <v>10000</v>
          </cell>
        </row>
      </sheetData>
      <sheetData sheetId="8701">
        <row r="7">
          <cell r="AI7">
            <v>10000</v>
          </cell>
        </row>
      </sheetData>
      <sheetData sheetId="8702">
        <row r="7">
          <cell r="AI7">
            <v>10000</v>
          </cell>
        </row>
      </sheetData>
      <sheetData sheetId="8703">
        <row r="7">
          <cell r="AI7">
            <v>10000</v>
          </cell>
        </row>
      </sheetData>
      <sheetData sheetId="8704">
        <row r="7">
          <cell r="AI7">
            <v>10000</v>
          </cell>
        </row>
      </sheetData>
      <sheetData sheetId="8705">
        <row r="7">
          <cell r="AI7">
            <v>10000</v>
          </cell>
        </row>
      </sheetData>
      <sheetData sheetId="8706">
        <row r="7">
          <cell r="AI7">
            <v>10000</v>
          </cell>
        </row>
      </sheetData>
      <sheetData sheetId="8707">
        <row r="7">
          <cell r="AI7">
            <v>10000</v>
          </cell>
        </row>
      </sheetData>
      <sheetData sheetId="8708">
        <row r="7">
          <cell r="AI7">
            <v>10000</v>
          </cell>
        </row>
      </sheetData>
      <sheetData sheetId="8709">
        <row r="7">
          <cell r="AI7">
            <v>10000</v>
          </cell>
        </row>
      </sheetData>
      <sheetData sheetId="8710">
        <row r="7">
          <cell r="AI7">
            <v>10000</v>
          </cell>
        </row>
      </sheetData>
      <sheetData sheetId="8711">
        <row r="7">
          <cell r="AI7">
            <v>10000</v>
          </cell>
        </row>
      </sheetData>
      <sheetData sheetId="8712">
        <row r="7">
          <cell r="AI7">
            <v>10000</v>
          </cell>
        </row>
      </sheetData>
      <sheetData sheetId="8713">
        <row r="7">
          <cell r="AI7">
            <v>10000</v>
          </cell>
        </row>
      </sheetData>
      <sheetData sheetId="8714">
        <row r="7">
          <cell r="AI7">
            <v>10000</v>
          </cell>
        </row>
      </sheetData>
      <sheetData sheetId="8715">
        <row r="7">
          <cell r="AI7">
            <v>10000</v>
          </cell>
        </row>
      </sheetData>
      <sheetData sheetId="8716">
        <row r="7">
          <cell r="AI7">
            <v>10000</v>
          </cell>
        </row>
      </sheetData>
      <sheetData sheetId="8717">
        <row r="7">
          <cell r="AI7">
            <v>10000</v>
          </cell>
        </row>
      </sheetData>
      <sheetData sheetId="8718">
        <row r="7">
          <cell r="AI7">
            <v>10000</v>
          </cell>
        </row>
      </sheetData>
      <sheetData sheetId="8719">
        <row r="7">
          <cell r="AI7">
            <v>10000</v>
          </cell>
        </row>
      </sheetData>
      <sheetData sheetId="8720">
        <row r="7">
          <cell r="AI7">
            <v>10000</v>
          </cell>
        </row>
      </sheetData>
      <sheetData sheetId="8721">
        <row r="7">
          <cell r="AI7">
            <v>10000</v>
          </cell>
        </row>
      </sheetData>
      <sheetData sheetId="8722">
        <row r="7">
          <cell r="AI7">
            <v>10000</v>
          </cell>
        </row>
      </sheetData>
      <sheetData sheetId="8723">
        <row r="7">
          <cell r="AI7">
            <v>10000</v>
          </cell>
        </row>
      </sheetData>
      <sheetData sheetId="8724">
        <row r="7">
          <cell r="AI7">
            <v>10000</v>
          </cell>
        </row>
      </sheetData>
      <sheetData sheetId="8725">
        <row r="7">
          <cell r="AI7">
            <v>10000</v>
          </cell>
        </row>
      </sheetData>
      <sheetData sheetId="8726">
        <row r="7">
          <cell r="AI7">
            <v>10000</v>
          </cell>
        </row>
      </sheetData>
      <sheetData sheetId="8727">
        <row r="7">
          <cell r="AI7">
            <v>10000</v>
          </cell>
        </row>
      </sheetData>
      <sheetData sheetId="8728">
        <row r="7">
          <cell r="AI7">
            <v>10000</v>
          </cell>
        </row>
      </sheetData>
      <sheetData sheetId="8729">
        <row r="7">
          <cell r="AI7">
            <v>10000</v>
          </cell>
        </row>
      </sheetData>
      <sheetData sheetId="8730">
        <row r="7">
          <cell r="AI7">
            <v>10000</v>
          </cell>
        </row>
      </sheetData>
      <sheetData sheetId="8731">
        <row r="7">
          <cell r="AI7">
            <v>10000</v>
          </cell>
        </row>
      </sheetData>
      <sheetData sheetId="8732">
        <row r="7">
          <cell r="AI7">
            <v>10000</v>
          </cell>
        </row>
      </sheetData>
      <sheetData sheetId="8733">
        <row r="7">
          <cell r="AI7">
            <v>10000</v>
          </cell>
        </row>
      </sheetData>
      <sheetData sheetId="8734">
        <row r="7">
          <cell r="AI7">
            <v>10000</v>
          </cell>
        </row>
      </sheetData>
      <sheetData sheetId="8735">
        <row r="7">
          <cell r="AI7">
            <v>10000</v>
          </cell>
        </row>
      </sheetData>
      <sheetData sheetId="8736">
        <row r="7">
          <cell r="AI7">
            <v>10000</v>
          </cell>
        </row>
      </sheetData>
      <sheetData sheetId="8737">
        <row r="7">
          <cell r="AI7">
            <v>10000</v>
          </cell>
        </row>
      </sheetData>
      <sheetData sheetId="8738">
        <row r="7">
          <cell r="AI7">
            <v>10000</v>
          </cell>
        </row>
      </sheetData>
      <sheetData sheetId="8739">
        <row r="7">
          <cell r="AI7">
            <v>10000</v>
          </cell>
        </row>
      </sheetData>
      <sheetData sheetId="8740">
        <row r="7">
          <cell r="AI7">
            <v>10000</v>
          </cell>
        </row>
      </sheetData>
      <sheetData sheetId="8741">
        <row r="7">
          <cell r="AI7">
            <v>10000</v>
          </cell>
        </row>
      </sheetData>
      <sheetData sheetId="8742">
        <row r="7">
          <cell r="AI7">
            <v>10000</v>
          </cell>
        </row>
      </sheetData>
      <sheetData sheetId="8743">
        <row r="7">
          <cell r="AI7">
            <v>10000</v>
          </cell>
        </row>
      </sheetData>
      <sheetData sheetId="8744">
        <row r="7">
          <cell r="AI7">
            <v>10000</v>
          </cell>
        </row>
      </sheetData>
      <sheetData sheetId="8745">
        <row r="7">
          <cell r="AI7">
            <v>10000</v>
          </cell>
        </row>
      </sheetData>
      <sheetData sheetId="8746">
        <row r="7">
          <cell r="AI7">
            <v>10000</v>
          </cell>
        </row>
      </sheetData>
      <sheetData sheetId="8747">
        <row r="7">
          <cell r="AI7">
            <v>10000</v>
          </cell>
        </row>
      </sheetData>
      <sheetData sheetId="8748">
        <row r="7">
          <cell r="AI7">
            <v>10000</v>
          </cell>
        </row>
      </sheetData>
      <sheetData sheetId="8749">
        <row r="7">
          <cell r="AI7">
            <v>10000</v>
          </cell>
        </row>
      </sheetData>
      <sheetData sheetId="8750">
        <row r="7">
          <cell r="AI7">
            <v>10000</v>
          </cell>
        </row>
      </sheetData>
      <sheetData sheetId="8751">
        <row r="7">
          <cell r="AI7">
            <v>10000</v>
          </cell>
        </row>
      </sheetData>
      <sheetData sheetId="8752">
        <row r="7">
          <cell r="AI7">
            <v>10000</v>
          </cell>
        </row>
      </sheetData>
      <sheetData sheetId="8753">
        <row r="7">
          <cell r="AI7">
            <v>10000</v>
          </cell>
        </row>
      </sheetData>
      <sheetData sheetId="8754">
        <row r="7">
          <cell r="AI7">
            <v>10000</v>
          </cell>
        </row>
      </sheetData>
      <sheetData sheetId="8755">
        <row r="7">
          <cell r="AI7">
            <v>10000</v>
          </cell>
        </row>
      </sheetData>
      <sheetData sheetId="8756">
        <row r="7">
          <cell r="AI7">
            <v>10000</v>
          </cell>
        </row>
      </sheetData>
      <sheetData sheetId="8757">
        <row r="7">
          <cell r="AI7">
            <v>10000</v>
          </cell>
        </row>
      </sheetData>
      <sheetData sheetId="8758">
        <row r="7">
          <cell r="AI7">
            <v>10000</v>
          </cell>
        </row>
      </sheetData>
      <sheetData sheetId="8759">
        <row r="7">
          <cell r="AI7">
            <v>10000</v>
          </cell>
        </row>
      </sheetData>
      <sheetData sheetId="8760">
        <row r="7">
          <cell r="AI7">
            <v>10000</v>
          </cell>
        </row>
      </sheetData>
      <sheetData sheetId="8761">
        <row r="7">
          <cell r="AI7">
            <v>10000</v>
          </cell>
        </row>
      </sheetData>
      <sheetData sheetId="8762">
        <row r="7">
          <cell r="AI7">
            <v>10000</v>
          </cell>
        </row>
      </sheetData>
      <sheetData sheetId="8763">
        <row r="7">
          <cell r="AI7">
            <v>10000</v>
          </cell>
        </row>
      </sheetData>
      <sheetData sheetId="8764">
        <row r="7">
          <cell r="AI7">
            <v>10000</v>
          </cell>
        </row>
      </sheetData>
      <sheetData sheetId="8765">
        <row r="7">
          <cell r="AI7">
            <v>10000</v>
          </cell>
        </row>
      </sheetData>
      <sheetData sheetId="8766">
        <row r="7">
          <cell r="AI7">
            <v>10000</v>
          </cell>
        </row>
      </sheetData>
      <sheetData sheetId="8767">
        <row r="7">
          <cell r="AI7">
            <v>10000</v>
          </cell>
        </row>
      </sheetData>
      <sheetData sheetId="8768">
        <row r="7">
          <cell r="AI7">
            <v>10000</v>
          </cell>
        </row>
      </sheetData>
      <sheetData sheetId="8769">
        <row r="7">
          <cell r="AI7">
            <v>10000</v>
          </cell>
        </row>
      </sheetData>
      <sheetData sheetId="8770">
        <row r="7">
          <cell r="AI7">
            <v>10000</v>
          </cell>
        </row>
      </sheetData>
      <sheetData sheetId="8771">
        <row r="7">
          <cell r="AI7">
            <v>10000</v>
          </cell>
        </row>
      </sheetData>
      <sheetData sheetId="8772">
        <row r="7">
          <cell r="AI7">
            <v>10000</v>
          </cell>
        </row>
      </sheetData>
      <sheetData sheetId="8773">
        <row r="7">
          <cell r="AI7">
            <v>10000</v>
          </cell>
        </row>
      </sheetData>
      <sheetData sheetId="8774">
        <row r="7">
          <cell r="AI7">
            <v>10000</v>
          </cell>
        </row>
      </sheetData>
      <sheetData sheetId="8775">
        <row r="7">
          <cell r="AI7">
            <v>10000</v>
          </cell>
        </row>
      </sheetData>
      <sheetData sheetId="8776">
        <row r="7">
          <cell r="AI7">
            <v>10000</v>
          </cell>
        </row>
      </sheetData>
      <sheetData sheetId="8777">
        <row r="7">
          <cell r="AI7">
            <v>10000</v>
          </cell>
        </row>
      </sheetData>
      <sheetData sheetId="8778">
        <row r="7">
          <cell r="AI7">
            <v>10000</v>
          </cell>
        </row>
      </sheetData>
      <sheetData sheetId="8779">
        <row r="7">
          <cell r="AI7">
            <v>10000</v>
          </cell>
        </row>
      </sheetData>
      <sheetData sheetId="8780">
        <row r="7">
          <cell r="AI7">
            <v>10000</v>
          </cell>
        </row>
      </sheetData>
      <sheetData sheetId="8781">
        <row r="7">
          <cell r="AI7">
            <v>10000</v>
          </cell>
        </row>
      </sheetData>
      <sheetData sheetId="8782">
        <row r="7">
          <cell r="AI7">
            <v>10000</v>
          </cell>
        </row>
      </sheetData>
      <sheetData sheetId="8783">
        <row r="7">
          <cell r="AI7">
            <v>10000</v>
          </cell>
        </row>
      </sheetData>
      <sheetData sheetId="8784">
        <row r="7">
          <cell r="AI7">
            <v>10000</v>
          </cell>
        </row>
      </sheetData>
      <sheetData sheetId="8785">
        <row r="7">
          <cell r="AI7">
            <v>10000</v>
          </cell>
        </row>
      </sheetData>
      <sheetData sheetId="8786">
        <row r="7">
          <cell r="AI7">
            <v>10000</v>
          </cell>
        </row>
      </sheetData>
      <sheetData sheetId="8787">
        <row r="7">
          <cell r="AI7">
            <v>10000</v>
          </cell>
        </row>
      </sheetData>
      <sheetData sheetId="8788">
        <row r="7">
          <cell r="AI7">
            <v>10000</v>
          </cell>
        </row>
      </sheetData>
      <sheetData sheetId="8789">
        <row r="7">
          <cell r="AI7">
            <v>10000</v>
          </cell>
        </row>
      </sheetData>
      <sheetData sheetId="8790">
        <row r="7">
          <cell r="AI7">
            <v>10000</v>
          </cell>
        </row>
      </sheetData>
      <sheetData sheetId="8791">
        <row r="7">
          <cell r="AI7">
            <v>10000</v>
          </cell>
        </row>
      </sheetData>
      <sheetData sheetId="8792">
        <row r="7">
          <cell r="AI7">
            <v>10000</v>
          </cell>
        </row>
      </sheetData>
      <sheetData sheetId="8793">
        <row r="7">
          <cell r="AI7">
            <v>10000</v>
          </cell>
        </row>
      </sheetData>
      <sheetData sheetId="8794">
        <row r="7">
          <cell r="AI7">
            <v>10000</v>
          </cell>
        </row>
      </sheetData>
      <sheetData sheetId="8795">
        <row r="7">
          <cell r="AI7">
            <v>10000</v>
          </cell>
        </row>
      </sheetData>
      <sheetData sheetId="8796">
        <row r="7">
          <cell r="AI7">
            <v>10000</v>
          </cell>
        </row>
      </sheetData>
      <sheetData sheetId="8797">
        <row r="7">
          <cell r="AI7">
            <v>10000</v>
          </cell>
        </row>
      </sheetData>
      <sheetData sheetId="8798">
        <row r="7">
          <cell r="AI7">
            <v>10000</v>
          </cell>
        </row>
      </sheetData>
      <sheetData sheetId="8799">
        <row r="7">
          <cell r="AI7">
            <v>10000</v>
          </cell>
        </row>
      </sheetData>
      <sheetData sheetId="8800">
        <row r="7">
          <cell r="AI7">
            <v>10000</v>
          </cell>
        </row>
      </sheetData>
      <sheetData sheetId="8801">
        <row r="7">
          <cell r="AI7">
            <v>10000</v>
          </cell>
        </row>
      </sheetData>
      <sheetData sheetId="8802">
        <row r="7">
          <cell r="AI7">
            <v>10000</v>
          </cell>
        </row>
      </sheetData>
      <sheetData sheetId="8803">
        <row r="7">
          <cell r="AI7">
            <v>10000</v>
          </cell>
        </row>
      </sheetData>
      <sheetData sheetId="8804">
        <row r="7">
          <cell r="AI7">
            <v>10000</v>
          </cell>
        </row>
      </sheetData>
      <sheetData sheetId="8805">
        <row r="7">
          <cell r="AI7">
            <v>10000</v>
          </cell>
        </row>
      </sheetData>
      <sheetData sheetId="8806">
        <row r="7">
          <cell r="AI7">
            <v>10000</v>
          </cell>
        </row>
      </sheetData>
      <sheetData sheetId="8807">
        <row r="7">
          <cell r="AI7">
            <v>10000</v>
          </cell>
        </row>
      </sheetData>
      <sheetData sheetId="8808">
        <row r="7">
          <cell r="AI7">
            <v>10000</v>
          </cell>
        </row>
      </sheetData>
      <sheetData sheetId="8809">
        <row r="7">
          <cell r="AI7">
            <v>10000</v>
          </cell>
        </row>
      </sheetData>
      <sheetData sheetId="8810">
        <row r="7">
          <cell r="AI7">
            <v>10000</v>
          </cell>
        </row>
      </sheetData>
      <sheetData sheetId="8811">
        <row r="7">
          <cell r="AI7">
            <v>10000</v>
          </cell>
        </row>
      </sheetData>
      <sheetData sheetId="8812">
        <row r="7">
          <cell r="AI7">
            <v>10000</v>
          </cell>
        </row>
      </sheetData>
      <sheetData sheetId="8813">
        <row r="7">
          <cell r="AI7">
            <v>10000</v>
          </cell>
        </row>
      </sheetData>
      <sheetData sheetId="8814">
        <row r="7">
          <cell r="AI7">
            <v>10000</v>
          </cell>
        </row>
      </sheetData>
      <sheetData sheetId="8815">
        <row r="7">
          <cell r="AI7">
            <v>10000</v>
          </cell>
        </row>
      </sheetData>
      <sheetData sheetId="8816">
        <row r="7">
          <cell r="AI7">
            <v>10000</v>
          </cell>
        </row>
      </sheetData>
      <sheetData sheetId="8817">
        <row r="7">
          <cell r="AI7">
            <v>10000</v>
          </cell>
        </row>
      </sheetData>
      <sheetData sheetId="8818">
        <row r="7">
          <cell r="AI7">
            <v>10000</v>
          </cell>
        </row>
      </sheetData>
      <sheetData sheetId="8819">
        <row r="7">
          <cell r="AI7">
            <v>10000</v>
          </cell>
        </row>
      </sheetData>
      <sheetData sheetId="8820">
        <row r="7">
          <cell r="AI7">
            <v>10000</v>
          </cell>
        </row>
      </sheetData>
      <sheetData sheetId="8821">
        <row r="7">
          <cell r="AI7">
            <v>10000</v>
          </cell>
        </row>
      </sheetData>
      <sheetData sheetId="8822">
        <row r="7">
          <cell r="AI7">
            <v>10000</v>
          </cell>
        </row>
      </sheetData>
      <sheetData sheetId="8823">
        <row r="7">
          <cell r="AI7">
            <v>10000</v>
          </cell>
        </row>
      </sheetData>
      <sheetData sheetId="8824">
        <row r="7">
          <cell r="AI7">
            <v>10000</v>
          </cell>
        </row>
      </sheetData>
      <sheetData sheetId="8825">
        <row r="7">
          <cell r="AI7">
            <v>10000</v>
          </cell>
        </row>
      </sheetData>
      <sheetData sheetId="8826">
        <row r="7">
          <cell r="AI7">
            <v>10000</v>
          </cell>
        </row>
      </sheetData>
      <sheetData sheetId="8827">
        <row r="7">
          <cell r="AI7">
            <v>10000</v>
          </cell>
        </row>
      </sheetData>
      <sheetData sheetId="8828">
        <row r="7">
          <cell r="AI7">
            <v>10000</v>
          </cell>
        </row>
      </sheetData>
      <sheetData sheetId="8829">
        <row r="7">
          <cell r="AI7">
            <v>10000</v>
          </cell>
        </row>
      </sheetData>
      <sheetData sheetId="8830">
        <row r="7">
          <cell r="AI7">
            <v>10000</v>
          </cell>
        </row>
      </sheetData>
      <sheetData sheetId="8831">
        <row r="7">
          <cell r="AI7">
            <v>10000</v>
          </cell>
        </row>
      </sheetData>
      <sheetData sheetId="8832">
        <row r="7">
          <cell r="AI7">
            <v>10000</v>
          </cell>
        </row>
      </sheetData>
      <sheetData sheetId="8833">
        <row r="7">
          <cell r="AI7">
            <v>10000</v>
          </cell>
        </row>
      </sheetData>
      <sheetData sheetId="8834">
        <row r="7">
          <cell r="AI7">
            <v>10000</v>
          </cell>
        </row>
      </sheetData>
      <sheetData sheetId="8835">
        <row r="7">
          <cell r="AI7">
            <v>10000</v>
          </cell>
        </row>
      </sheetData>
      <sheetData sheetId="8836">
        <row r="7">
          <cell r="AI7">
            <v>10000</v>
          </cell>
        </row>
      </sheetData>
      <sheetData sheetId="8837">
        <row r="7">
          <cell r="AI7">
            <v>10000</v>
          </cell>
        </row>
      </sheetData>
      <sheetData sheetId="8838">
        <row r="7">
          <cell r="AI7">
            <v>10000</v>
          </cell>
        </row>
      </sheetData>
      <sheetData sheetId="8839">
        <row r="7">
          <cell r="AI7">
            <v>10000</v>
          </cell>
        </row>
      </sheetData>
      <sheetData sheetId="8840">
        <row r="7">
          <cell r="AI7">
            <v>10000</v>
          </cell>
        </row>
      </sheetData>
      <sheetData sheetId="8841">
        <row r="7">
          <cell r="AI7">
            <v>10000</v>
          </cell>
        </row>
      </sheetData>
      <sheetData sheetId="8842">
        <row r="7">
          <cell r="AI7">
            <v>10000</v>
          </cell>
        </row>
      </sheetData>
      <sheetData sheetId="8843">
        <row r="7">
          <cell r="AI7">
            <v>10000</v>
          </cell>
        </row>
      </sheetData>
      <sheetData sheetId="8844">
        <row r="7">
          <cell r="AI7">
            <v>10000</v>
          </cell>
        </row>
      </sheetData>
      <sheetData sheetId="8845">
        <row r="7">
          <cell r="AI7">
            <v>10000</v>
          </cell>
        </row>
      </sheetData>
      <sheetData sheetId="8846">
        <row r="7">
          <cell r="AI7">
            <v>10000</v>
          </cell>
        </row>
      </sheetData>
      <sheetData sheetId="8847">
        <row r="7">
          <cell r="AI7">
            <v>10000</v>
          </cell>
        </row>
      </sheetData>
      <sheetData sheetId="8848">
        <row r="7">
          <cell r="AI7">
            <v>10000</v>
          </cell>
        </row>
      </sheetData>
      <sheetData sheetId="8849">
        <row r="7">
          <cell r="AI7">
            <v>10000</v>
          </cell>
        </row>
      </sheetData>
      <sheetData sheetId="8850">
        <row r="7">
          <cell r="AI7">
            <v>10000</v>
          </cell>
        </row>
      </sheetData>
      <sheetData sheetId="8851">
        <row r="7">
          <cell r="AI7">
            <v>10000</v>
          </cell>
        </row>
      </sheetData>
      <sheetData sheetId="8852">
        <row r="7">
          <cell r="AI7">
            <v>10000</v>
          </cell>
        </row>
      </sheetData>
      <sheetData sheetId="8853">
        <row r="7">
          <cell r="AI7">
            <v>10000</v>
          </cell>
        </row>
      </sheetData>
      <sheetData sheetId="8854">
        <row r="7">
          <cell r="AI7">
            <v>10000</v>
          </cell>
        </row>
      </sheetData>
      <sheetData sheetId="8855">
        <row r="7">
          <cell r="AI7">
            <v>10000</v>
          </cell>
        </row>
      </sheetData>
      <sheetData sheetId="8856">
        <row r="7">
          <cell r="AI7">
            <v>10000</v>
          </cell>
        </row>
      </sheetData>
      <sheetData sheetId="8857">
        <row r="7">
          <cell r="AI7">
            <v>10000</v>
          </cell>
        </row>
      </sheetData>
      <sheetData sheetId="8858">
        <row r="7">
          <cell r="AI7">
            <v>10000</v>
          </cell>
        </row>
      </sheetData>
      <sheetData sheetId="8859">
        <row r="7">
          <cell r="AI7">
            <v>10000</v>
          </cell>
        </row>
      </sheetData>
      <sheetData sheetId="8860">
        <row r="7">
          <cell r="AI7">
            <v>10000</v>
          </cell>
        </row>
      </sheetData>
      <sheetData sheetId="8861">
        <row r="7">
          <cell r="AI7">
            <v>10000</v>
          </cell>
        </row>
      </sheetData>
      <sheetData sheetId="8862">
        <row r="7">
          <cell r="AI7">
            <v>10000</v>
          </cell>
        </row>
      </sheetData>
      <sheetData sheetId="8863">
        <row r="7">
          <cell r="AI7">
            <v>10000</v>
          </cell>
        </row>
      </sheetData>
      <sheetData sheetId="8864">
        <row r="7">
          <cell r="AI7">
            <v>10000</v>
          </cell>
        </row>
      </sheetData>
      <sheetData sheetId="8865">
        <row r="7">
          <cell r="AI7">
            <v>10000</v>
          </cell>
        </row>
      </sheetData>
      <sheetData sheetId="8866">
        <row r="7">
          <cell r="AI7">
            <v>10000</v>
          </cell>
        </row>
      </sheetData>
      <sheetData sheetId="8867">
        <row r="7">
          <cell r="AI7">
            <v>10000</v>
          </cell>
        </row>
      </sheetData>
      <sheetData sheetId="8868">
        <row r="7">
          <cell r="AI7">
            <v>10000</v>
          </cell>
        </row>
      </sheetData>
      <sheetData sheetId="8869">
        <row r="7">
          <cell r="AI7">
            <v>10000</v>
          </cell>
        </row>
      </sheetData>
      <sheetData sheetId="8870">
        <row r="7">
          <cell r="AI7">
            <v>10000</v>
          </cell>
        </row>
      </sheetData>
      <sheetData sheetId="8871">
        <row r="7">
          <cell r="AI7">
            <v>10000</v>
          </cell>
        </row>
      </sheetData>
      <sheetData sheetId="8872">
        <row r="7">
          <cell r="AI7">
            <v>10000</v>
          </cell>
        </row>
      </sheetData>
      <sheetData sheetId="8873">
        <row r="7">
          <cell r="AI7">
            <v>10000</v>
          </cell>
        </row>
      </sheetData>
      <sheetData sheetId="8874">
        <row r="7">
          <cell r="AI7">
            <v>10000</v>
          </cell>
        </row>
      </sheetData>
      <sheetData sheetId="8875">
        <row r="7">
          <cell r="AI7">
            <v>10000</v>
          </cell>
        </row>
      </sheetData>
      <sheetData sheetId="8876">
        <row r="7">
          <cell r="AI7">
            <v>10000</v>
          </cell>
        </row>
      </sheetData>
      <sheetData sheetId="8877">
        <row r="7">
          <cell r="AI7">
            <v>10000</v>
          </cell>
        </row>
      </sheetData>
      <sheetData sheetId="8878">
        <row r="7">
          <cell r="AI7">
            <v>10000</v>
          </cell>
        </row>
      </sheetData>
      <sheetData sheetId="8879">
        <row r="7">
          <cell r="AI7">
            <v>10000</v>
          </cell>
        </row>
      </sheetData>
      <sheetData sheetId="8880">
        <row r="7">
          <cell r="AI7">
            <v>10000</v>
          </cell>
        </row>
      </sheetData>
      <sheetData sheetId="8881">
        <row r="7">
          <cell r="AI7">
            <v>10000</v>
          </cell>
        </row>
      </sheetData>
      <sheetData sheetId="8882">
        <row r="7">
          <cell r="AI7">
            <v>10000</v>
          </cell>
        </row>
      </sheetData>
      <sheetData sheetId="8883">
        <row r="7">
          <cell r="AI7">
            <v>10000</v>
          </cell>
        </row>
      </sheetData>
      <sheetData sheetId="8884">
        <row r="7">
          <cell r="AI7">
            <v>10000</v>
          </cell>
        </row>
      </sheetData>
      <sheetData sheetId="8885">
        <row r="7">
          <cell r="AI7">
            <v>10000</v>
          </cell>
        </row>
      </sheetData>
      <sheetData sheetId="8886">
        <row r="7">
          <cell r="AI7">
            <v>10000</v>
          </cell>
        </row>
      </sheetData>
      <sheetData sheetId="8887">
        <row r="7">
          <cell r="AI7">
            <v>10000</v>
          </cell>
        </row>
      </sheetData>
      <sheetData sheetId="8888">
        <row r="7">
          <cell r="AI7">
            <v>10000</v>
          </cell>
        </row>
      </sheetData>
      <sheetData sheetId="8889">
        <row r="7">
          <cell r="AI7">
            <v>10000</v>
          </cell>
        </row>
      </sheetData>
      <sheetData sheetId="8890">
        <row r="7">
          <cell r="AI7">
            <v>10000</v>
          </cell>
        </row>
      </sheetData>
      <sheetData sheetId="8891">
        <row r="7">
          <cell r="AI7">
            <v>10000</v>
          </cell>
        </row>
      </sheetData>
      <sheetData sheetId="8892">
        <row r="7">
          <cell r="AI7">
            <v>10000</v>
          </cell>
        </row>
      </sheetData>
      <sheetData sheetId="8893">
        <row r="7">
          <cell r="AI7">
            <v>10000</v>
          </cell>
        </row>
      </sheetData>
      <sheetData sheetId="8894">
        <row r="7">
          <cell r="AI7">
            <v>10000</v>
          </cell>
        </row>
      </sheetData>
      <sheetData sheetId="8895">
        <row r="7">
          <cell r="AI7">
            <v>10000</v>
          </cell>
        </row>
      </sheetData>
      <sheetData sheetId="8896">
        <row r="7">
          <cell r="AI7">
            <v>10000</v>
          </cell>
        </row>
      </sheetData>
      <sheetData sheetId="8897">
        <row r="7">
          <cell r="AI7">
            <v>10000</v>
          </cell>
        </row>
      </sheetData>
      <sheetData sheetId="8898">
        <row r="7">
          <cell r="AI7">
            <v>10000</v>
          </cell>
        </row>
      </sheetData>
      <sheetData sheetId="8899">
        <row r="7">
          <cell r="AI7">
            <v>10000</v>
          </cell>
        </row>
      </sheetData>
      <sheetData sheetId="8900">
        <row r="7">
          <cell r="AI7">
            <v>10000</v>
          </cell>
        </row>
      </sheetData>
      <sheetData sheetId="8901">
        <row r="7">
          <cell r="AI7">
            <v>10000</v>
          </cell>
        </row>
      </sheetData>
      <sheetData sheetId="8902">
        <row r="7">
          <cell r="AI7">
            <v>10000</v>
          </cell>
        </row>
      </sheetData>
      <sheetData sheetId="8903">
        <row r="7">
          <cell r="AI7">
            <v>10000</v>
          </cell>
        </row>
      </sheetData>
      <sheetData sheetId="8904">
        <row r="7">
          <cell r="AI7">
            <v>10000</v>
          </cell>
        </row>
      </sheetData>
      <sheetData sheetId="8905">
        <row r="7">
          <cell r="AI7">
            <v>10000</v>
          </cell>
        </row>
      </sheetData>
      <sheetData sheetId="8906">
        <row r="7">
          <cell r="AI7">
            <v>10000</v>
          </cell>
        </row>
      </sheetData>
      <sheetData sheetId="8907">
        <row r="7">
          <cell r="AI7">
            <v>10000</v>
          </cell>
        </row>
      </sheetData>
      <sheetData sheetId="8908">
        <row r="7">
          <cell r="AI7">
            <v>10000</v>
          </cell>
        </row>
      </sheetData>
      <sheetData sheetId="8909">
        <row r="7">
          <cell r="AI7">
            <v>10000</v>
          </cell>
        </row>
      </sheetData>
      <sheetData sheetId="8910">
        <row r="7">
          <cell r="AI7">
            <v>10000</v>
          </cell>
        </row>
      </sheetData>
      <sheetData sheetId="8911">
        <row r="7">
          <cell r="AI7">
            <v>10000</v>
          </cell>
        </row>
      </sheetData>
      <sheetData sheetId="8912">
        <row r="7">
          <cell r="AI7">
            <v>10000</v>
          </cell>
        </row>
      </sheetData>
      <sheetData sheetId="8913">
        <row r="7">
          <cell r="AI7">
            <v>10000</v>
          </cell>
        </row>
      </sheetData>
      <sheetData sheetId="8914">
        <row r="7">
          <cell r="AI7">
            <v>10000</v>
          </cell>
        </row>
      </sheetData>
      <sheetData sheetId="8915">
        <row r="7">
          <cell r="AI7">
            <v>10000</v>
          </cell>
        </row>
      </sheetData>
      <sheetData sheetId="8916">
        <row r="7">
          <cell r="AI7">
            <v>10000</v>
          </cell>
        </row>
      </sheetData>
      <sheetData sheetId="8917">
        <row r="7">
          <cell r="AI7">
            <v>10000</v>
          </cell>
        </row>
      </sheetData>
      <sheetData sheetId="8918">
        <row r="7">
          <cell r="AI7">
            <v>10000</v>
          </cell>
        </row>
      </sheetData>
      <sheetData sheetId="8919">
        <row r="7">
          <cell r="AI7">
            <v>10000</v>
          </cell>
        </row>
      </sheetData>
      <sheetData sheetId="8920">
        <row r="7">
          <cell r="AI7">
            <v>10000</v>
          </cell>
        </row>
      </sheetData>
      <sheetData sheetId="8921">
        <row r="7">
          <cell r="AI7">
            <v>10000</v>
          </cell>
        </row>
      </sheetData>
      <sheetData sheetId="8922">
        <row r="7">
          <cell r="AI7">
            <v>10000</v>
          </cell>
        </row>
      </sheetData>
      <sheetData sheetId="8923">
        <row r="7">
          <cell r="AI7">
            <v>10000</v>
          </cell>
        </row>
      </sheetData>
      <sheetData sheetId="8924">
        <row r="7">
          <cell r="AI7">
            <v>10000</v>
          </cell>
        </row>
      </sheetData>
      <sheetData sheetId="8925">
        <row r="7">
          <cell r="AI7">
            <v>10000</v>
          </cell>
        </row>
      </sheetData>
      <sheetData sheetId="8926">
        <row r="7">
          <cell r="AI7">
            <v>10000</v>
          </cell>
        </row>
      </sheetData>
      <sheetData sheetId="8927">
        <row r="7">
          <cell r="AI7">
            <v>10000</v>
          </cell>
        </row>
      </sheetData>
      <sheetData sheetId="8928">
        <row r="7">
          <cell r="AI7">
            <v>10000</v>
          </cell>
        </row>
      </sheetData>
      <sheetData sheetId="8929">
        <row r="7">
          <cell r="AI7">
            <v>10000</v>
          </cell>
        </row>
      </sheetData>
      <sheetData sheetId="8930">
        <row r="7">
          <cell r="AI7">
            <v>10000</v>
          </cell>
        </row>
      </sheetData>
      <sheetData sheetId="8931">
        <row r="7">
          <cell r="AI7">
            <v>10000</v>
          </cell>
        </row>
      </sheetData>
      <sheetData sheetId="8932">
        <row r="7">
          <cell r="AI7">
            <v>10000</v>
          </cell>
        </row>
      </sheetData>
      <sheetData sheetId="8933">
        <row r="7">
          <cell r="AI7">
            <v>10000</v>
          </cell>
        </row>
      </sheetData>
      <sheetData sheetId="8934">
        <row r="7">
          <cell r="AI7">
            <v>10000</v>
          </cell>
        </row>
      </sheetData>
      <sheetData sheetId="8935">
        <row r="7">
          <cell r="AI7">
            <v>10000</v>
          </cell>
        </row>
      </sheetData>
      <sheetData sheetId="8936">
        <row r="7">
          <cell r="AI7">
            <v>10000</v>
          </cell>
        </row>
      </sheetData>
      <sheetData sheetId="8937">
        <row r="7">
          <cell r="AI7">
            <v>10000</v>
          </cell>
        </row>
      </sheetData>
      <sheetData sheetId="8938">
        <row r="7">
          <cell r="AI7">
            <v>10000</v>
          </cell>
        </row>
      </sheetData>
      <sheetData sheetId="8939">
        <row r="7">
          <cell r="AI7">
            <v>10000</v>
          </cell>
        </row>
      </sheetData>
      <sheetData sheetId="8940">
        <row r="7">
          <cell r="AI7">
            <v>10000</v>
          </cell>
        </row>
      </sheetData>
      <sheetData sheetId="8941">
        <row r="7">
          <cell r="AI7">
            <v>10000</v>
          </cell>
        </row>
      </sheetData>
      <sheetData sheetId="8942">
        <row r="7">
          <cell r="AI7">
            <v>10000</v>
          </cell>
        </row>
      </sheetData>
      <sheetData sheetId="8943">
        <row r="7">
          <cell r="AI7">
            <v>10000</v>
          </cell>
        </row>
      </sheetData>
      <sheetData sheetId="8944">
        <row r="7">
          <cell r="AI7">
            <v>10000</v>
          </cell>
        </row>
      </sheetData>
      <sheetData sheetId="8945">
        <row r="7">
          <cell r="AI7">
            <v>10000</v>
          </cell>
        </row>
      </sheetData>
      <sheetData sheetId="8946">
        <row r="7">
          <cell r="AI7">
            <v>10000</v>
          </cell>
        </row>
      </sheetData>
      <sheetData sheetId="8947">
        <row r="7">
          <cell r="AI7">
            <v>10000</v>
          </cell>
        </row>
      </sheetData>
      <sheetData sheetId="8948">
        <row r="7">
          <cell r="AI7">
            <v>10000</v>
          </cell>
        </row>
      </sheetData>
      <sheetData sheetId="8949">
        <row r="7">
          <cell r="AI7">
            <v>10000</v>
          </cell>
        </row>
      </sheetData>
      <sheetData sheetId="8950">
        <row r="7">
          <cell r="AI7">
            <v>10000</v>
          </cell>
        </row>
      </sheetData>
      <sheetData sheetId="8951">
        <row r="7">
          <cell r="AI7">
            <v>10000</v>
          </cell>
        </row>
      </sheetData>
      <sheetData sheetId="8952">
        <row r="7">
          <cell r="AI7">
            <v>10000</v>
          </cell>
        </row>
      </sheetData>
      <sheetData sheetId="8953">
        <row r="7">
          <cell r="AI7">
            <v>10000</v>
          </cell>
        </row>
      </sheetData>
      <sheetData sheetId="8954">
        <row r="7">
          <cell r="AI7">
            <v>10000</v>
          </cell>
        </row>
      </sheetData>
      <sheetData sheetId="8955">
        <row r="7">
          <cell r="AI7">
            <v>10000</v>
          </cell>
        </row>
      </sheetData>
      <sheetData sheetId="8956">
        <row r="7">
          <cell r="AI7">
            <v>10000</v>
          </cell>
        </row>
      </sheetData>
      <sheetData sheetId="8957">
        <row r="7">
          <cell r="AI7">
            <v>10000</v>
          </cell>
        </row>
      </sheetData>
      <sheetData sheetId="8958">
        <row r="7">
          <cell r="AI7">
            <v>10000</v>
          </cell>
        </row>
      </sheetData>
      <sheetData sheetId="8959">
        <row r="7">
          <cell r="AI7">
            <v>10000</v>
          </cell>
        </row>
      </sheetData>
      <sheetData sheetId="8960">
        <row r="7">
          <cell r="AI7">
            <v>10000</v>
          </cell>
        </row>
      </sheetData>
      <sheetData sheetId="8961">
        <row r="7">
          <cell r="AI7">
            <v>10000</v>
          </cell>
        </row>
      </sheetData>
      <sheetData sheetId="8962">
        <row r="7">
          <cell r="AI7">
            <v>10000</v>
          </cell>
        </row>
      </sheetData>
      <sheetData sheetId="8963">
        <row r="7">
          <cell r="AI7">
            <v>10000</v>
          </cell>
        </row>
      </sheetData>
      <sheetData sheetId="8964">
        <row r="7">
          <cell r="AI7">
            <v>10000</v>
          </cell>
        </row>
      </sheetData>
      <sheetData sheetId="8965">
        <row r="7">
          <cell r="AI7">
            <v>10000</v>
          </cell>
        </row>
      </sheetData>
      <sheetData sheetId="8966">
        <row r="7">
          <cell r="AI7">
            <v>10000</v>
          </cell>
        </row>
      </sheetData>
      <sheetData sheetId="8967">
        <row r="7">
          <cell r="AI7">
            <v>10000</v>
          </cell>
        </row>
      </sheetData>
      <sheetData sheetId="8968">
        <row r="7">
          <cell r="AI7">
            <v>10000</v>
          </cell>
        </row>
      </sheetData>
      <sheetData sheetId="8969">
        <row r="7">
          <cell r="AI7">
            <v>10000</v>
          </cell>
        </row>
      </sheetData>
      <sheetData sheetId="8970">
        <row r="7">
          <cell r="AI7">
            <v>10000</v>
          </cell>
        </row>
      </sheetData>
      <sheetData sheetId="8971">
        <row r="7">
          <cell r="AI7">
            <v>10000</v>
          </cell>
        </row>
      </sheetData>
      <sheetData sheetId="8972">
        <row r="7">
          <cell r="AI7">
            <v>10000</v>
          </cell>
        </row>
      </sheetData>
      <sheetData sheetId="8973">
        <row r="7">
          <cell r="AI7">
            <v>10000</v>
          </cell>
        </row>
      </sheetData>
      <sheetData sheetId="8974">
        <row r="7">
          <cell r="AI7">
            <v>10000</v>
          </cell>
        </row>
      </sheetData>
      <sheetData sheetId="8975">
        <row r="7">
          <cell r="AI7">
            <v>10000</v>
          </cell>
        </row>
      </sheetData>
      <sheetData sheetId="8976">
        <row r="7">
          <cell r="AI7">
            <v>10000</v>
          </cell>
        </row>
      </sheetData>
      <sheetData sheetId="8977">
        <row r="7">
          <cell r="AI7">
            <v>10000</v>
          </cell>
        </row>
      </sheetData>
      <sheetData sheetId="8978">
        <row r="7">
          <cell r="AI7">
            <v>10000</v>
          </cell>
        </row>
      </sheetData>
      <sheetData sheetId="8979">
        <row r="7">
          <cell r="AI7">
            <v>10000</v>
          </cell>
        </row>
      </sheetData>
      <sheetData sheetId="8980">
        <row r="7">
          <cell r="AI7">
            <v>10000</v>
          </cell>
        </row>
      </sheetData>
      <sheetData sheetId="8981">
        <row r="7">
          <cell r="AI7">
            <v>10000</v>
          </cell>
        </row>
      </sheetData>
      <sheetData sheetId="8982">
        <row r="7">
          <cell r="AI7">
            <v>10000</v>
          </cell>
        </row>
      </sheetData>
      <sheetData sheetId="8983">
        <row r="7">
          <cell r="AI7">
            <v>10000</v>
          </cell>
        </row>
      </sheetData>
      <sheetData sheetId="8984">
        <row r="7">
          <cell r="AI7">
            <v>10000</v>
          </cell>
        </row>
      </sheetData>
      <sheetData sheetId="8985">
        <row r="7">
          <cell r="AI7">
            <v>10000</v>
          </cell>
        </row>
      </sheetData>
      <sheetData sheetId="8986">
        <row r="7">
          <cell r="AI7">
            <v>10000</v>
          </cell>
        </row>
      </sheetData>
      <sheetData sheetId="8987">
        <row r="7">
          <cell r="AI7">
            <v>10000</v>
          </cell>
        </row>
      </sheetData>
      <sheetData sheetId="8988">
        <row r="7">
          <cell r="AI7">
            <v>10000</v>
          </cell>
        </row>
      </sheetData>
      <sheetData sheetId="8989">
        <row r="7">
          <cell r="AI7">
            <v>10000</v>
          </cell>
        </row>
      </sheetData>
      <sheetData sheetId="8990">
        <row r="7">
          <cell r="AI7">
            <v>10000</v>
          </cell>
        </row>
      </sheetData>
      <sheetData sheetId="8991">
        <row r="7">
          <cell r="AI7">
            <v>10000</v>
          </cell>
        </row>
      </sheetData>
      <sheetData sheetId="8992">
        <row r="7">
          <cell r="AI7">
            <v>10000</v>
          </cell>
        </row>
      </sheetData>
      <sheetData sheetId="8993">
        <row r="7">
          <cell r="AI7">
            <v>10000</v>
          </cell>
        </row>
      </sheetData>
      <sheetData sheetId="8994">
        <row r="7">
          <cell r="AI7">
            <v>10000</v>
          </cell>
        </row>
      </sheetData>
      <sheetData sheetId="8995">
        <row r="7">
          <cell r="AI7">
            <v>10000</v>
          </cell>
        </row>
      </sheetData>
      <sheetData sheetId="8996">
        <row r="7">
          <cell r="AI7">
            <v>10000</v>
          </cell>
        </row>
      </sheetData>
      <sheetData sheetId="8997">
        <row r="7">
          <cell r="AI7">
            <v>10000</v>
          </cell>
        </row>
      </sheetData>
      <sheetData sheetId="8998">
        <row r="7">
          <cell r="AI7">
            <v>10000</v>
          </cell>
        </row>
      </sheetData>
      <sheetData sheetId="8999">
        <row r="7">
          <cell r="AI7">
            <v>10000</v>
          </cell>
        </row>
      </sheetData>
      <sheetData sheetId="9000">
        <row r="7">
          <cell r="AI7">
            <v>10000</v>
          </cell>
        </row>
      </sheetData>
      <sheetData sheetId="9001">
        <row r="7">
          <cell r="AI7">
            <v>10000</v>
          </cell>
        </row>
      </sheetData>
      <sheetData sheetId="9002">
        <row r="7">
          <cell r="AI7">
            <v>10000</v>
          </cell>
        </row>
      </sheetData>
      <sheetData sheetId="9003">
        <row r="7">
          <cell r="AI7">
            <v>10000</v>
          </cell>
        </row>
      </sheetData>
      <sheetData sheetId="9004">
        <row r="7">
          <cell r="AI7">
            <v>10000</v>
          </cell>
        </row>
      </sheetData>
      <sheetData sheetId="9005">
        <row r="7">
          <cell r="AI7">
            <v>10000</v>
          </cell>
        </row>
      </sheetData>
      <sheetData sheetId="9006">
        <row r="7">
          <cell r="AI7">
            <v>10000</v>
          </cell>
        </row>
      </sheetData>
      <sheetData sheetId="9007">
        <row r="7">
          <cell r="AI7">
            <v>10000</v>
          </cell>
        </row>
      </sheetData>
      <sheetData sheetId="9008">
        <row r="7">
          <cell r="AI7">
            <v>10000</v>
          </cell>
        </row>
      </sheetData>
      <sheetData sheetId="9009">
        <row r="7">
          <cell r="AI7">
            <v>10000</v>
          </cell>
        </row>
      </sheetData>
      <sheetData sheetId="9010">
        <row r="7">
          <cell r="AI7">
            <v>10000</v>
          </cell>
        </row>
      </sheetData>
      <sheetData sheetId="9011">
        <row r="7">
          <cell r="AI7">
            <v>10000</v>
          </cell>
        </row>
      </sheetData>
      <sheetData sheetId="9012">
        <row r="7">
          <cell r="AI7">
            <v>10000</v>
          </cell>
        </row>
      </sheetData>
      <sheetData sheetId="9013">
        <row r="7">
          <cell r="AI7">
            <v>10000</v>
          </cell>
        </row>
      </sheetData>
      <sheetData sheetId="9014">
        <row r="7">
          <cell r="AI7">
            <v>10000</v>
          </cell>
        </row>
      </sheetData>
      <sheetData sheetId="9015">
        <row r="7">
          <cell r="AI7">
            <v>10000</v>
          </cell>
        </row>
      </sheetData>
      <sheetData sheetId="9016">
        <row r="7">
          <cell r="AI7">
            <v>10000</v>
          </cell>
        </row>
      </sheetData>
      <sheetData sheetId="9017">
        <row r="7">
          <cell r="AI7">
            <v>10000</v>
          </cell>
        </row>
      </sheetData>
      <sheetData sheetId="9018">
        <row r="7">
          <cell r="AI7">
            <v>10000</v>
          </cell>
        </row>
      </sheetData>
      <sheetData sheetId="9019">
        <row r="7">
          <cell r="AI7">
            <v>10000</v>
          </cell>
        </row>
      </sheetData>
      <sheetData sheetId="9020">
        <row r="7">
          <cell r="AI7">
            <v>10000</v>
          </cell>
        </row>
      </sheetData>
      <sheetData sheetId="9021">
        <row r="7">
          <cell r="AI7">
            <v>10000</v>
          </cell>
        </row>
      </sheetData>
      <sheetData sheetId="9022">
        <row r="7">
          <cell r="AI7">
            <v>10000</v>
          </cell>
        </row>
      </sheetData>
      <sheetData sheetId="9023">
        <row r="7">
          <cell r="AI7">
            <v>10000</v>
          </cell>
        </row>
      </sheetData>
      <sheetData sheetId="9024">
        <row r="7">
          <cell r="AI7">
            <v>10000</v>
          </cell>
        </row>
      </sheetData>
      <sheetData sheetId="9025">
        <row r="7">
          <cell r="AI7">
            <v>10000</v>
          </cell>
        </row>
      </sheetData>
      <sheetData sheetId="9026">
        <row r="7">
          <cell r="AI7">
            <v>10000</v>
          </cell>
        </row>
      </sheetData>
      <sheetData sheetId="9027">
        <row r="7">
          <cell r="AI7">
            <v>10000</v>
          </cell>
        </row>
      </sheetData>
      <sheetData sheetId="9028">
        <row r="7">
          <cell r="AI7">
            <v>10000</v>
          </cell>
        </row>
      </sheetData>
      <sheetData sheetId="9029">
        <row r="7">
          <cell r="AI7">
            <v>10000</v>
          </cell>
        </row>
      </sheetData>
      <sheetData sheetId="9030">
        <row r="7">
          <cell r="AI7">
            <v>10000</v>
          </cell>
        </row>
      </sheetData>
      <sheetData sheetId="9031">
        <row r="7">
          <cell r="AI7">
            <v>10000</v>
          </cell>
        </row>
      </sheetData>
      <sheetData sheetId="9032">
        <row r="7">
          <cell r="AI7">
            <v>10000</v>
          </cell>
        </row>
      </sheetData>
      <sheetData sheetId="9033">
        <row r="7">
          <cell r="AI7">
            <v>10000</v>
          </cell>
        </row>
      </sheetData>
      <sheetData sheetId="9034">
        <row r="7">
          <cell r="AI7">
            <v>10000</v>
          </cell>
        </row>
      </sheetData>
      <sheetData sheetId="9035">
        <row r="7">
          <cell r="AI7">
            <v>10000</v>
          </cell>
        </row>
      </sheetData>
      <sheetData sheetId="9036">
        <row r="7">
          <cell r="AI7">
            <v>10000</v>
          </cell>
        </row>
      </sheetData>
      <sheetData sheetId="9037">
        <row r="7">
          <cell r="AI7">
            <v>10000</v>
          </cell>
        </row>
      </sheetData>
      <sheetData sheetId="9038">
        <row r="7">
          <cell r="AI7">
            <v>10000</v>
          </cell>
        </row>
      </sheetData>
      <sheetData sheetId="9039">
        <row r="7">
          <cell r="AI7">
            <v>10000</v>
          </cell>
        </row>
      </sheetData>
      <sheetData sheetId="9040">
        <row r="7">
          <cell r="AI7">
            <v>10000</v>
          </cell>
        </row>
      </sheetData>
      <sheetData sheetId="9041">
        <row r="7">
          <cell r="AI7">
            <v>10000</v>
          </cell>
        </row>
      </sheetData>
      <sheetData sheetId="9042">
        <row r="7">
          <cell r="AI7">
            <v>10000</v>
          </cell>
        </row>
      </sheetData>
      <sheetData sheetId="9043">
        <row r="7">
          <cell r="AI7">
            <v>10000</v>
          </cell>
        </row>
      </sheetData>
      <sheetData sheetId="9044">
        <row r="7">
          <cell r="AI7">
            <v>10000</v>
          </cell>
        </row>
      </sheetData>
      <sheetData sheetId="9045">
        <row r="7">
          <cell r="AI7">
            <v>10000</v>
          </cell>
        </row>
      </sheetData>
      <sheetData sheetId="9046">
        <row r="7">
          <cell r="AI7">
            <v>10000</v>
          </cell>
        </row>
      </sheetData>
      <sheetData sheetId="9047">
        <row r="7">
          <cell r="AI7">
            <v>10000</v>
          </cell>
        </row>
      </sheetData>
      <sheetData sheetId="9048">
        <row r="7">
          <cell r="AI7">
            <v>10000</v>
          </cell>
        </row>
      </sheetData>
      <sheetData sheetId="9049">
        <row r="7">
          <cell r="AI7">
            <v>10000</v>
          </cell>
        </row>
      </sheetData>
      <sheetData sheetId="9050">
        <row r="7">
          <cell r="AI7">
            <v>10000</v>
          </cell>
        </row>
      </sheetData>
      <sheetData sheetId="9051">
        <row r="7">
          <cell r="AI7">
            <v>10000</v>
          </cell>
        </row>
      </sheetData>
      <sheetData sheetId="9052">
        <row r="7">
          <cell r="AI7">
            <v>10000</v>
          </cell>
        </row>
      </sheetData>
      <sheetData sheetId="9053">
        <row r="7">
          <cell r="AI7">
            <v>10000</v>
          </cell>
        </row>
      </sheetData>
      <sheetData sheetId="9054">
        <row r="7">
          <cell r="AI7">
            <v>10000</v>
          </cell>
        </row>
      </sheetData>
      <sheetData sheetId="9055">
        <row r="7">
          <cell r="AI7">
            <v>10000</v>
          </cell>
        </row>
      </sheetData>
      <sheetData sheetId="9056">
        <row r="7">
          <cell r="AI7">
            <v>10000</v>
          </cell>
        </row>
      </sheetData>
      <sheetData sheetId="9057">
        <row r="7">
          <cell r="AI7">
            <v>10000</v>
          </cell>
        </row>
      </sheetData>
      <sheetData sheetId="9058">
        <row r="7">
          <cell r="AI7">
            <v>10000</v>
          </cell>
        </row>
      </sheetData>
      <sheetData sheetId="9059">
        <row r="7">
          <cell r="AI7">
            <v>10000</v>
          </cell>
        </row>
      </sheetData>
      <sheetData sheetId="9060">
        <row r="7">
          <cell r="AI7">
            <v>10000</v>
          </cell>
        </row>
      </sheetData>
      <sheetData sheetId="9061">
        <row r="7">
          <cell r="AI7">
            <v>10000</v>
          </cell>
        </row>
      </sheetData>
      <sheetData sheetId="9062">
        <row r="7">
          <cell r="AI7">
            <v>10000</v>
          </cell>
        </row>
      </sheetData>
      <sheetData sheetId="9063">
        <row r="7">
          <cell r="AI7">
            <v>10000</v>
          </cell>
        </row>
      </sheetData>
      <sheetData sheetId="9064">
        <row r="7">
          <cell r="AI7">
            <v>10000</v>
          </cell>
        </row>
      </sheetData>
      <sheetData sheetId="9065">
        <row r="7">
          <cell r="AI7">
            <v>10000</v>
          </cell>
        </row>
      </sheetData>
      <sheetData sheetId="9066">
        <row r="7">
          <cell r="AI7">
            <v>10000</v>
          </cell>
        </row>
      </sheetData>
      <sheetData sheetId="9067">
        <row r="7">
          <cell r="AI7">
            <v>10000</v>
          </cell>
        </row>
      </sheetData>
      <sheetData sheetId="9068">
        <row r="7">
          <cell r="AI7">
            <v>10000</v>
          </cell>
        </row>
      </sheetData>
      <sheetData sheetId="9069">
        <row r="7">
          <cell r="AI7">
            <v>10000</v>
          </cell>
        </row>
      </sheetData>
      <sheetData sheetId="9070">
        <row r="7">
          <cell r="AI7">
            <v>10000</v>
          </cell>
        </row>
      </sheetData>
      <sheetData sheetId="9071">
        <row r="7">
          <cell r="AI7">
            <v>10000</v>
          </cell>
        </row>
      </sheetData>
      <sheetData sheetId="9072">
        <row r="7">
          <cell r="AI7">
            <v>10000</v>
          </cell>
        </row>
      </sheetData>
      <sheetData sheetId="9073">
        <row r="7">
          <cell r="AI7">
            <v>10000</v>
          </cell>
        </row>
      </sheetData>
      <sheetData sheetId="9074">
        <row r="7">
          <cell r="AI7">
            <v>10000</v>
          </cell>
        </row>
      </sheetData>
      <sheetData sheetId="9075">
        <row r="7">
          <cell r="AI7">
            <v>10000</v>
          </cell>
        </row>
      </sheetData>
      <sheetData sheetId="9076">
        <row r="7">
          <cell r="AI7">
            <v>10000</v>
          </cell>
        </row>
      </sheetData>
      <sheetData sheetId="9077">
        <row r="7">
          <cell r="AI7">
            <v>10000</v>
          </cell>
        </row>
      </sheetData>
      <sheetData sheetId="9078">
        <row r="7">
          <cell r="AI7">
            <v>10000</v>
          </cell>
        </row>
      </sheetData>
      <sheetData sheetId="9079">
        <row r="7">
          <cell r="AI7">
            <v>10000</v>
          </cell>
        </row>
      </sheetData>
      <sheetData sheetId="9080">
        <row r="7">
          <cell r="AI7">
            <v>10000</v>
          </cell>
        </row>
      </sheetData>
      <sheetData sheetId="9081">
        <row r="7">
          <cell r="AI7">
            <v>10000</v>
          </cell>
        </row>
      </sheetData>
      <sheetData sheetId="9082">
        <row r="7">
          <cell r="AI7">
            <v>10000</v>
          </cell>
        </row>
      </sheetData>
      <sheetData sheetId="9083">
        <row r="7">
          <cell r="AI7">
            <v>10000</v>
          </cell>
        </row>
      </sheetData>
      <sheetData sheetId="9084">
        <row r="7">
          <cell r="AI7">
            <v>10000</v>
          </cell>
        </row>
      </sheetData>
      <sheetData sheetId="9085">
        <row r="7">
          <cell r="AI7">
            <v>10000</v>
          </cell>
        </row>
      </sheetData>
      <sheetData sheetId="9086">
        <row r="7">
          <cell r="AI7">
            <v>10000</v>
          </cell>
        </row>
      </sheetData>
      <sheetData sheetId="9087">
        <row r="7">
          <cell r="AI7">
            <v>10000</v>
          </cell>
        </row>
      </sheetData>
      <sheetData sheetId="9088">
        <row r="7">
          <cell r="AI7">
            <v>10000</v>
          </cell>
        </row>
      </sheetData>
      <sheetData sheetId="9089">
        <row r="7">
          <cell r="AI7">
            <v>10000</v>
          </cell>
        </row>
      </sheetData>
      <sheetData sheetId="9090">
        <row r="7">
          <cell r="AI7">
            <v>10000</v>
          </cell>
        </row>
      </sheetData>
      <sheetData sheetId="9091">
        <row r="7">
          <cell r="AI7">
            <v>10000</v>
          </cell>
        </row>
      </sheetData>
      <sheetData sheetId="9092">
        <row r="7">
          <cell r="AI7">
            <v>10000</v>
          </cell>
        </row>
      </sheetData>
      <sheetData sheetId="9093">
        <row r="7">
          <cell r="AI7">
            <v>10000</v>
          </cell>
        </row>
      </sheetData>
      <sheetData sheetId="9094">
        <row r="7">
          <cell r="AI7">
            <v>10000</v>
          </cell>
        </row>
      </sheetData>
      <sheetData sheetId="9095">
        <row r="7">
          <cell r="AI7">
            <v>10000</v>
          </cell>
        </row>
      </sheetData>
      <sheetData sheetId="9096">
        <row r="7">
          <cell r="AI7">
            <v>10000</v>
          </cell>
        </row>
      </sheetData>
      <sheetData sheetId="9097">
        <row r="7">
          <cell r="AI7">
            <v>10000</v>
          </cell>
        </row>
      </sheetData>
      <sheetData sheetId="9098">
        <row r="7">
          <cell r="AI7">
            <v>10000</v>
          </cell>
        </row>
      </sheetData>
      <sheetData sheetId="9099">
        <row r="7">
          <cell r="AI7">
            <v>10000</v>
          </cell>
        </row>
      </sheetData>
      <sheetData sheetId="9100">
        <row r="7">
          <cell r="AI7">
            <v>10000</v>
          </cell>
        </row>
      </sheetData>
      <sheetData sheetId="9101">
        <row r="7">
          <cell r="AI7">
            <v>10000</v>
          </cell>
        </row>
      </sheetData>
      <sheetData sheetId="9102">
        <row r="7">
          <cell r="AI7">
            <v>10000</v>
          </cell>
        </row>
      </sheetData>
      <sheetData sheetId="9103">
        <row r="7">
          <cell r="AI7">
            <v>10000</v>
          </cell>
        </row>
      </sheetData>
      <sheetData sheetId="9104">
        <row r="7">
          <cell r="AI7">
            <v>10000</v>
          </cell>
        </row>
      </sheetData>
      <sheetData sheetId="9105">
        <row r="7">
          <cell r="AI7">
            <v>10000</v>
          </cell>
        </row>
      </sheetData>
      <sheetData sheetId="9106">
        <row r="7">
          <cell r="AI7">
            <v>10000</v>
          </cell>
        </row>
      </sheetData>
      <sheetData sheetId="9107">
        <row r="7">
          <cell r="AI7">
            <v>10000</v>
          </cell>
        </row>
      </sheetData>
      <sheetData sheetId="9108">
        <row r="7">
          <cell r="AI7">
            <v>10000</v>
          </cell>
        </row>
      </sheetData>
      <sheetData sheetId="9109">
        <row r="7">
          <cell r="AI7">
            <v>10000</v>
          </cell>
        </row>
      </sheetData>
      <sheetData sheetId="9110">
        <row r="7">
          <cell r="AI7">
            <v>10000</v>
          </cell>
        </row>
      </sheetData>
      <sheetData sheetId="9111">
        <row r="7">
          <cell r="AI7">
            <v>10000</v>
          </cell>
        </row>
      </sheetData>
      <sheetData sheetId="9112">
        <row r="7">
          <cell r="AI7">
            <v>10000</v>
          </cell>
        </row>
      </sheetData>
      <sheetData sheetId="9113">
        <row r="7">
          <cell r="AI7">
            <v>10000</v>
          </cell>
        </row>
      </sheetData>
      <sheetData sheetId="9114">
        <row r="7">
          <cell r="AI7">
            <v>10000</v>
          </cell>
        </row>
      </sheetData>
      <sheetData sheetId="9115">
        <row r="7">
          <cell r="AI7">
            <v>10000</v>
          </cell>
        </row>
      </sheetData>
      <sheetData sheetId="9116">
        <row r="7">
          <cell r="AI7">
            <v>10000</v>
          </cell>
        </row>
      </sheetData>
      <sheetData sheetId="9117">
        <row r="7">
          <cell r="AI7">
            <v>10000</v>
          </cell>
        </row>
      </sheetData>
      <sheetData sheetId="9118">
        <row r="7">
          <cell r="AI7">
            <v>10000</v>
          </cell>
        </row>
      </sheetData>
      <sheetData sheetId="9119">
        <row r="7">
          <cell r="AI7">
            <v>10000</v>
          </cell>
        </row>
      </sheetData>
      <sheetData sheetId="9120">
        <row r="7">
          <cell r="AI7">
            <v>10000</v>
          </cell>
        </row>
      </sheetData>
      <sheetData sheetId="9121">
        <row r="7">
          <cell r="AI7">
            <v>10000</v>
          </cell>
        </row>
      </sheetData>
      <sheetData sheetId="9122">
        <row r="7">
          <cell r="AI7">
            <v>10000</v>
          </cell>
        </row>
      </sheetData>
      <sheetData sheetId="9123">
        <row r="7">
          <cell r="AI7">
            <v>10000</v>
          </cell>
        </row>
      </sheetData>
      <sheetData sheetId="9124">
        <row r="7">
          <cell r="AI7">
            <v>10000</v>
          </cell>
        </row>
      </sheetData>
      <sheetData sheetId="9125">
        <row r="7">
          <cell r="AI7">
            <v>10000</v>
          </cell>
        </row>
      </sheetData>
      <sheetData sheetId="9126">
        <row r="7">
          <cell r="AI7">
            <v>10000</v>
          </cell>
        </row>
      </sheetData>
      <sheetData sheetId="9127">
        <row r="7">
          <cell r="AI7">
            <v>10000</v>
          </cell>
        </row>
      </sheetData>
      <sheetData sheetId="9128">
        <row r="7">
          <cell r="AI7">
            <v>10000</v>
          </cell>
        </row>
      </sheetData>
      <sheetData sheetId="9129">
        <row r="7">
          <cell r="AI7">
            <v>10000</v>
          </cell>
        </row>
      </sheetData>
      <sheetData sheetId="9130">
        <row r="7">
          <cell r="AI7">
            <v>10000</v>
          </cell>
        </row>
      </sheetData>
      <sheetData sheetId="9131">
        <row r="7">
          <cell r="AI7">
            <v>10000</v>
          </cell>
        </row>
      </sheetData>
      <sheetData sheetId="9132">
        <row r="7">
          <cell r="AI7">
            <v>10000</v>
          </cell>
        </row>
      </sheetData>
      <sheetData sheetId="9133">
        <row r="7">
          <cell r="AI7">
            <v>10000</v>
          </cell>
        </row>
      </sheetData>
      <sheetData sheetId="9134">
        <row r="7">
          <cell r="AI7">
            <v>10000</v>
          </cell>
        </row>
      </sheetData>
      <sheetData sheetId="9135">
        <row r="7">
          <cell r="AI7">
            <v>10000</v>
          </cell>
        </row>
      </sheetData>
      <sheetData sheetId="9136">
        <row r="7">
          <cell r="AI7">
            <v>10000</v>
          </cell>
        </row>
      </sheetData>
      <sheetData sheetId="9137">
        <row r="7">
          <cell r="AI7">
            <v>10000</v>
          </cell>
        </row>
      </sheetData>
      <sheetData sheetId="9138">
        <row r="7">
          <cell r="AI7">
            <v>10000</v>
          </cell>
        </row>
      </sheetData>
      <sheetData sheetId="9139">
        <row r="7">
          <cell r="AI7">
            <v>10000</v>
          </cell>
        </row>
      </sheetData>
      <sheetData sheetId="9140">
        <row r="7">
          <cell r="AI7">
            <v>10000</v>
          </cell>
        </row>
      </sheetData>
      <sheetData sheetId="9141">
        <row r="7">
          <cell r="AI7">
            <v>10000</v>
          </cell>
        </row>
      </sheetData>
      <sheetData sheetId="9142">
        <row r="7">
          <cell r="AI7">
            <v>10000</v>
          </cell>
        </row>
      </sheetData>
      <sheetData sheetId="9143">
        <row r="7">
          <cell r="AI7">
            <v>10000</v>
          </cell>
        </row>
      </sheetData>
      <sheetData sheetId="9144">
        <row r="7">
          <cell r="AI7">
            <v>10000</v>
          </cell>
        </row>
      </sheetData>
      <sheetData sheetId="9145">
        <row r="7">
          <cell r="AI7">
            <v>10000</v>
          </cell>
        </row>
      </sheetData>
      <sheetData sheetId="9146">
        <row r="7">
          <cell r="AI7">
            <v>10000</v>
          </cell>
        </row>
      </sheetData>
      <sheetData sheetId="9147">
        <row r="7">
          <cell r="AI7">
            <v>10000</v>
          </cell>
        </row>
      </sheetData>
      <sheetData sheetId="9148">
        <row r="7">
          <cell r="AI7">
            <v>10000</v>
          </cell>
        </row>
      </sheetData>
      <sheetData sheetId="9149">
        <row r="7">
          <cell r="AI7">
            <v>10000</v>
          </cell>
        </row>
      </sheetData>
      <sheetData sheetId="9150">
        <row r="7">
          <cell r="AI7">
            <v>10000</v>
          </cell>
        </row>
      </sheetData>
      <sheetData sheetId="9151">
        <row r="7">
          <cell r="AI7">
            <v>10000</v>
          </cell>
        </row>
      </sheetData>
      <sheetData sheetId="9152">
        <row r="7">
          <cell r="AI7">
            <v>10000</v>
          </cell>
        </row>
      </sheetData>
      <sheetData sheetId="9153">
        <row r="7">
          <cell r="AI7">
            <v>10000</v>
          </cell>
        </row>
      </sheetData>
      <sheetData sheetId="9154">
        <row r="7">
          <cell r="AI7">
            <v>10000</v>
          </cell>
        </row>
      </sheetData>
      <sheetData sheetId="9155">
        <row r="7">
          <cell r="AI7">
            <v>10000</v>
          </cell>
        </row>
      </sheetData>
      <sheetData sheetId="9156">
        <row r="7">
          <cell r="AI7">
            <v>10000</v>
          </cell>
        </row>
      </sheetData>
      <sheetData sheetId="9157">
        <row r="7">
          <cell r="AI7">
            <v>10000</v>
          </cell>
        </row>
      </sheetData>
      <sheetData sheetId="9158">
        <row r="7">
          <cell r="AI7">
            <v>10000</v>
          </cell>
        </row>
      </sheetData>
      <sheetData sheetId="9159">
        <row r="7">
          <cell r="AI7">
            <v>10000</v>
          </cell>
        </row>
      </sheetData>
      <sheetData sheetId="9160">
        <row r="7">
          <cell r="AI7">
            <v>10000</v>
          </cell>
        </row>
      </sheetData>
      <sheetData sheetId="9161">
        <row r="7">
          <cell r="AI7">
            <v>10000</v>
          </cell>
        </row>
      </sheetData>
      <sheetData sheetId="9162">
        <row r="7">
          <cell r="AI7">
            <v>10000</v>
          </cell>
        </row>
      </sheetData>
      <sheetData sheetId="9163">
        <row r="7">
          <cell r="AI7">
            <v>10000</v>
          </cell>
        </row>
      </sheetData>
      <sheetData sheetId="9164">
        <row r="7">
          <cell r="AI7">
            <v>10000</v>
          </cell>
        </row>
      </sheetData>
      <sheetData sheetId="9165">
        <row r="7">
          <cell r="AI7">
            <v>10000</v>
          </cell>
        </row>
      </sheetData>
      <sheetData sheetId="9166">
        <row r="7">
          <cell r="AI7">
            <v>10000</v>
          </cell>
        </row>
      </sheetData>
      <sheetData sheetId="9167">
        <row r="7">
          <cell r="AI7">
            <v>10000</v>
          </cell>
        </row>
      </sheetData>
      <sheetData sheetId="9168">
        <row r="7">
          <cell r="AI7">
            <v>10000</v>
          </cell>
        </row>
      </sheetData>
      <sheetData sheetId="9169">
        <row r="7">
          <cell r="AI7">
            <v>10000</v>
          </cell>
        </row>
      </sheetData>
      <sheetData sheetId="9170">
        <row r="7">
          <cell r="AI7">
            <v>10000</v>
          </cell>
        </row>
      </sheetData>
      <sheetData sheetId="9171">
        <row r="7">
          <cell r="AI7">
            <v>10000</v>
          </cell>
        </row>
      </sheetData>
      <sheetData sheetId="9172">
        <row r="7">
          <cell r="AI7">
            <v>10000</v>
          </cell>
        </row>
      </sheetData>
      <sheetData sheetId="9173">
        <row r="7">
          <cell r="AI7">
            <v>10000</v>
          </cell>
        </row>
      </sheetData>
      <sheetData sheetId="9174">
        <row r="7">
          <cell r="AI7">
            <v>10000</v>
          </cell>
        </row>
      </sheetData>
      <sheetData sheetId="9175">
        <row r="7">
          <cell r="AI7">
            <v>10000</v>
          </cell>
        </row>
      </sheetData>
      <sheetData sheetId="9176">
        <row r="7">
          <cell r="AI7">
            <v>10000</v>
          </cell>
        </row>
      </sheetData>
      <sheetData sheetId="9177">
        <row r="7">
          <cell r="AI7">
            <v>10000</v>
          </cell>
        </row>
      </sheetData>
      <sheetData sheetId="9178">
        <row r="7">
          <cell r="AI7">
            <v>10000</v>
          </cell>
        </row>
      </sheetData>
      <sheetData sheetId="9179">
        <row r="7">
          <cell r="AI7">
            <v>10000</v>
          </cell>
        </row>
      </sheetData>
      <sheetData sheetId="9180">
        <row r="7">
          <cell r="AI7">
            <v>10000</v>
          </cell>
        </row>
      </sheetData>
      <sheetData sheetId="9181">
        <row r="7">
          <cell r="AI7">
            <v>10000</v>
          </cell>
        </row>
      </sheetData>
      <sheetData sheetId="9182">
        <row r="7">
          <cell r="AI7">
            <v>10000</v>
          </cell>
        </row>
      </sheetData>
      <sheetData sheetId="9183">
        <row r="7">
          <cell r="AI7">
            <v>10000</v>
          </cell>
        </row>
      </sheetData>
      <sheetData sheetId="9184">
        <row r="7">
          <cell r="AI7">
            <v>10000</v>
          </cell>
        </row>
      </sheetData>
      <sheetData sheetId="9185">
        <row r="7">
          <cell r="AI7">
            <v>10000</v>
          </cell>
        </row>
      </sheetData>
      <sheetData sheetId="9186">
        <row r="7">
          <cell r="AI7">
            <v>10000</v>
          </cell>
        </row>
      </sheetData>
      <sheetData sheetId="9187">
        <row r="7">
          <cell r="AI7">
            <v>10000</v>
          </cell>
        </row>
      </sheetData>
      <sheetData sheetId="9188">
        <row r="7">
          <cell r="AI7">
            <v>10000</v>
          </cell>
        </row>
      </sheetData>
      <sheetData sheetId="9189">
        <row r="7">
          <cell r="AI7">
            <v>10000</v>
          </cell>
        </row>
      </sheetData>
      <sheetData sheetId="9190">
        <row r="7">
          <cell r="AI7">
            <v>10000</v>
          </cell>
        </row>
      </sheetData>
      <sheetData sheetId="9191">
        <row r="7">
          <cell r="AI7">
            <v>10000</v>
          </cell>
        </row>
      </sheetData>
      <sheetData sheetId="9192">
        <row r="7">
          <cell r="AI7">
            <v>10000</v>
          </cell>
        </row>
      </sheetData>
      <sheetData sheetId="9193">
        <row r="7">
          <cell r="AI7">
            <v>10000</v>
          </cell>
        </row>
      </sheetData>
      <sheetData sheetId="9194">
        <row r="7">
          <cell r="AI7">
            <v>10000</v>
          </cell>
        </row>
      </sheetData>
      <sheetData sheetId="9195">
        <row r="7">
          <cell r="AI7">
            <v>10000</v>
          </cell>
        </row>
      </sheetData>
      <sheetData sheetId="9196">
        <row r="7">
          <cell r="AI7">
            <v>10000</v>
          </cell>
        </row>
      </sheetData>
      <sheetData sheetId="9197">
        <row r="7">
          <cell r="AI7">
            <v>10000</v>
          </cell>
        </row>
      </sheetData>
      <sheetData sheetId="9198">
        <row r="7">
          <cell r="AI7">
            <v>10000</v>
          </cell>
        </row>
      </sheetData>
      <sheetData sheetId="9199">
        <row r="7">
          <cell r="AI7">
            <v>10000</v>
          </cell>
        </row>
      </sheetData>
      <sheetData sheetId="9200">
        <row r="7">
          <cell r="AI7">
            <v>10000</v>
          </cell>
        </row>
      </sheetData>
      <sheetData sheetId="9201">
        <row r="7">
          <cell r="AI7">
            <v>10000</v>
          </cell>
        </row>
      </sheetData>
      <sheetData sheetId="9202">
        <row r="7">
          <cell r="AI7">
            <v>10000</v>
          </cell>
        </row>
      </sheetData>
      <sheetData sheetId="9203">
        <row r="7">
          <cell r="AI7">
            <v>10000</v>
          </cell>
        </row>
      </sheetData>
      <sheetData sheetId="9204">
        <row r="7">
          <cell r="AI7">
            <v>10000</v>
          </cell>
        </row>
      </sheetData>
      <sheetData sheetId="9205">
        <row r="7">
          <cell r="AI7">
            <v>10000</v>
          </cell>
        </row>
      </sheetData>
      <sheetData sheetId="9206">
        <row r="7">
          <cell r="AI7">
            <v>10000</v>
          </cell>
        </row>
      </sheetData>
      <sheetData sheetId="9207">
        <row r="7">
          <cell r="AI7">
            <v>10000</v>
          </cell>
        </row>
      </sheetData>
      <sheetData sheetId="9208">
        <row r="7">
          <cell r="AI7">
            <v>10000</v>
          </cell>
        </row>
      </sheetData>
      <sheetData sheetId="9209">
        <row r="7">
          <cell r="AI7">
            <v>10000</v>
          </cell>
        </row>
      </sheetData>
      <sheetData sheetId="9210">
        <row r="7">
          <cell r="AI7">
            <v>10000</v>
          </cell>
        </row>
      </sheetData>
      <sheetData sheetId="9211">
        <row r="7">
          <cell r="AI7">
            <v>10000</v>
          </cell>
        </row>
      </sheetData>
      <sheetData sheetId="9212">
        <row r="7">
          <cell r="AI7">
            <v>10000</v>
          </cell>
        </row>
      </sheetData>
      <sheetData sheetId="9213">
        <row r="7">
          <cell r="AI7">
            <v>10000</v>
          </cell>
        </row>
      </sheetData>
      <sheetData sheetId="9214">
        <row r="7">
          <cell r="AI7">
            <v>10000</v>
          </cell>
        </row>
      </sheetData>
      <sheetData sheetId="9215">
        <row r="7">
          <cell r="AI7">
            <v>10000</v>
          </cell>
        </row>
      </sheetData>
      <sheetData sheetId="9216">
        <row r="7">
          <cell r="AI7">
            <v>10000</v>
          </cell>
        </row>
      </sheetData>
      <sheetData sheetId="9217">
        <row r="7">
          <cell r="AI7">
            <v>10000</v>
          </cell>
        </row>
      </sheetData>
      <sheetData sheetId="9218">
        <row r="7">
          <cell r="AI7">
            <v>10000</v>
          </cell>
        </row>
      </sheetData>
      <sheetData sheetId="9219">
        <row r="7">
          <cell r="AI7">
            <v>10000</v>
          </cell>
        </row>
      </sheetData>
      <sheetData sheetId="9220">
        <row r="7">
          <cell r="AI7">
            <v>10000</v>
          </cell>
        </row>
      </sheetData>
      <sheetData sheetId="9221">
        <row r="7">
          <cell r="AI7">
            <v>10000</v>
          </cell>
        </row>
      </sheetData>
      <sheetData sheetId="9222">
        <row r="7">
          <cell r="AI7">
            <v>10000</v>
          </cell>
        </row>
      </sheetData>
      <sheetData sheetId="9223">
        <row r="7">
          <cell r="AI7">
            <v>10000</v>
          </cell>
        </row>
      </sheetData>
      <sheetData sheetId="9224">
        <row r="7">
          <cell r="AI7">
            <v>10000</v>
          </cell>
        </row>
      </sheetData>
      <sheetData sheetId="9225">
        <row r="7">
          <cell r="AI7">
            <v>10000</v>
          </cell>
        </row>
      </sheetData>
      <sheetData sheetId="9226">
        <row r="7">
          <cell r="AI7">
            <v>10000</v>
          </cell>
        </row>
      </sheetData>
      <sheetData sheetId="9227">
        <row r="7">
          <cell r="AI7">
            <v>10000</v>
          </cell>
        </row>
      </sheetData>
      <sheetData sheetId="9228">
        <row r="7">
          <cell r="AI7">
            <v>10000</v>
          </cell>
        </row>
      </sheetData>
      <sheetData sheetId="9229">
        <row r="7">
          <cell r="AI7">
            <v>10000</v>
          </cell>
        </row>
      </sheetData>
      <sheetData sheetId="9230">
        <row r="7">
          <cell r="AI7">
            <v>10000</v>
          </cell>
        </row>
      </sheetData>
      <sheetData sheetId="9231">
        <row r="7">
          <cell r="AI7">
            <v>10000</v>
          </cell>
        </row>
      </sheetData>
      <sheetData sheetId="9232">
        <row r="7">
          <cell r="AI7">
            <v>10000</v>
          </cell>
        </row>
      </sheetData>
      <sheetData sheetId="9233">
        <row r="7">
          <cell r="AI7">
            <v>10000</v>
          </cell>
        </row>
      </sheetData>
      <sheetData sheetId="9234">
        <row r="7">
          <cell r="AI7">
            <v>10000</v>
          </cell>
        </row>
      </sheetData>
      <sheetData sheetId="9235">
        <row r="7">
          <cell r="AI7">
            <v>10000</v>
          </cell>
        </row>
      </sheetData>
      <sheetData sheetId="9236">
        <row r="7">
          <cell r="AI7">
            <v>10000</v>
          </cell>
        </row>
      </sheetData>
      <sheetData sheetId="9237">
        <row r="7">
          <cell r="AI7">
            <v>10000</v>
          </cell>
        </row>
      </sheetData>
      <sheetData sheetId="9238">
        <row r="7">
          <cell r="AI7">
            <v>10000</v>
          </cell>
        </row>
      </sheetData>
      <sheetData sheetId="9239">
        <row r="7">
          <cell r="AI7">
            <v>10000</v>
          </cell>
        </row>
      </sheetData>
      <sheetData sheetId="9240">
        <row r="7">
          <cell r="AI7">
            <v>10000</v>
          </cell>
        </row>
      </sheetData>
      <sheetData sheetId="9241">
        <row r="7">
          <cell r="AI7">
            <v>10000</v>
          </cell>
        </row>
      </sheetData>
      <sheetData sheetId="9242">
        <row r="7">
          <cell r="AI7">
            <v>10000</v>
          </cell>
        </row>
      </sheetData>
      <sheetData sheetId="9243">
        <row r="7">
          <cell r="AI7">
            <v>10000</v>
          </cell>
        </row>
      </sheetData>
      <sheetData sheetId="9244">
        <row r="7">
          <cell r="AI7">
            <v>10000</v>
          </cell>
        </row>
      </sheetData>
      <sheetData sheetId="9245">
        <row r="7">
          <cell r="AI7">
            <v>10000</v>
          </cell>
        </row>
      </sheetData>
      <sheetData sheetId="9246">
        <row r="7">
          <cell r="AI7">
            <v>10000</v>
          </cell>
        </row>
      </sheetData>
      <sheetData sheetId="9247">
        <row r="7">
          <cell r="AI7">
            <v>10000</v>
          </cell>
        </row>
      </sheetData>
      <sheetData sheetId="9248">
        <row r="7">
          <cell r="AI7">
            <v>10000</v>
          </cell>
        </row>
      </sheetData>
      <sheetData sheetId="9249">
        <row r="7">
          <cell r="AI7">
            <v>10000</v>
          </cell>
        </row>
      </sheetData>
      <sheetData sheetId="9250">
        <row r="7">
          <cell r="AI7">
            <v>10000</v>
          </cell>
        </row>
      </sheetData>
      <sheetData sheetId="9251">
        <row r="7">
          <cell r="AI7">
            <v>10000</v>
          </cell>
        </row>
      </sheetData>
      <sheetData sheetId="9252">
        <row r="7">
          <cell r="AI7">
            <v>10000</v>
          </cell>
        </row>
      </sheetData>
      <sheetData sheetId="9253">
        <row r="7">
          <cell r="AI7">
            <v>10000</v>
          </cell>
        </row>
      </sheetData>
      <sheetData sheetId="9254">
        <row r="7">
          <cell r="AI7">
            <v>10000</v>
          </cell>
        </row>
      </sheetData>
      <sheetData sheetId="9255">
        <row r="7">
          <cell r="AI7">
            <v>10000</v>
          </cell>
        </row>
      </sheetData>
      <sheetData sheetId="9256">
        <row r="7">
          <cell r="AI7">
            <v>10000</v>
          </cell>
        </row>
      </sheetData>
      <sheetData sheetId="9257">
        <row r="7">
          <cell r="AI7">
            <v>10000</v>
          </cell>
        </row>
      </sheetData>
      <sheetData sheetId="9258">
        <row r="7">
          <cell r="AI7">
            <v>10000</v>
          </cell>
        </row>
      </sheetData>
      <sheetData sheetId="9259">
        <row r="7">
          <cell r="AI7">
            <v>10000</v>
          </cell>
        </row>
      </sheetData>
      <sheetData sheetId="9260">
        <row r="7">
          <cell r="AI7">
            <v>10000</v>
          </cell>
        </row>
      </sheetData>
      <sheetData sheetId="9261">
        <row r="7">
          <cell r="AI7">
            <v>10000</v>
          </cell>
        </row>
      </sheetData>
      <sheetData sheetId="9262">
        <row r="7">
          <cell r="AI7">
            <v>10000</v>
          </cell>
        </row>
      </sheetData>
      <sheetData sheetId="9263">
        <row r="7">
          <cell r="AI7">
            <v>10000</v>
          </cell>
        </row>
      </sheetData>
      <sheetData sheetId="9264">
        <row r="7">
          <cell r="AI7">
            <v>10000</v>
          </cell>
        </row>
      </sheetData>
      <sheetData sheetId="9265">
        <row r="7">
          <cell r="AI7">
            <v>10000</v>
          </cell>
        </row>
      </sheetData>
      <sheetData sheetId="9266">
        <row r="7">
          <cell r="AI7">
            <v>10000</v>
          </cell>
        </row>
      </sheetData>
      <sheetData sheetId="9267">
        <row r="7">
          <cell r="AI7">
            <v>10000</v>
          </cell>
        </row>
      </sheetData>
      <sheetData sheetId="9268">
        <row r="7">
          <cell r="AI7">
            <v>10000</v>
          </cell>
        </row>
      </sheetData>
      <sheetData sheetId="9269">
        <row r="7">
          <cell r="AI7">
            <v>10000</v>
          </cell>
        </row>
      </sheetData>
      <sheetData sheetId="9270">
        <row r="7">
          <cell r="AI7">
            <v>10000</v>
          </cell>
        </row>
      </sheetData>
      <sheetData sheetId="9271">
        <row r="7">
          <cell r="AI7">
            <v>10000</v>
          </cell>
        </row>
      </sheetData>
      <sheetData sheetId="9272">
        <row r="7">
          <cell r="AI7">
            <v>10000</v>
          </cell>
        </row>
      </sheetData>
      <sheetData sheetId="9273">
        <row r="7">
          <cell r="AI7">
            <v>10000</v>
          </cell>
        </row>
      </sheetData>
      <sheetData sheetId="9274">
        <row r="7">
          <cell r="AI7">
            <v>10000</v>
          </cell>
        </row>
      </sheetData>
      <sheetData sheetId="9275">
        <row r="7">
          <cell r="AI7">
            <v>10000</v>
          </cell>
        </row>
      </sheetData>
      <sheetData sheetId="9276">
        <row r="7">
          <cell r="AI7">
            <v>10000</v>
          </cell>
        </row>
      </sheetData>
      <sheetData sheetId="9277">
        <row r="7">
          <cell r="AI7">
            <v>10000</v>
          </cell>
        </row>
      </sheetData>
      <sheetData sheetId="9278">
        <row r="7">
          <cell r="AI7">
            <v>10000</v>
          </cell>
        </row>
      </sheetData>
      <sheetData sheetId="9279">
        <row r="7">
          <cell r="AI7">
            <v>10000</v>
          </cell>
        </row>
      </sheetData>
      <sheetData sheetId="9280">
        <row r="7">
          <cell r="AI7">
            <v>10000</v>
          </cell>
        </row>
      </sheetData>
      <sheetData sheetId="9281">
        <row r="7">
          <cell r="AI7">
            <v>10000</v>
          </cell>
        </row>
      </sheetData>
      <sheetData sheetId="9282">
        <row r="7">
          <cell r="AI7">
            <v>10000</v>
          </cell>
        </row>
      </sheetData>
      <sheetData sheetId="9283">
        <row r="7">
          <cell r="AI7">
            <v>10000</v>
          </cell>
        </row>
      </sheetData>
      <sheetData sheetId="9284">
        <row r="7">
          <cell r="AI7">
            <v>10000</v>
          </cell>
        </row>
      </sheetData>
      <sheetData sheetId="9285">
        <row r="7">
          <cell r="AI7">
            <v>10000</v>
          </cell>
        </row>
      </sheetData>
      <sheetData sheetId="9286">
        <row r="7">
          <cell r="AI7">
            <v>10000</v>
          </cell>
        </row>
      </sheetData>
      <sheetData sheetId="9287">
        <row r="7">
          <cell r="AI7">
            <v>10000</v>
          </cell>
        </row>
      </sheetData>
      <sheetData sheetId="9288">
        <row r="7">
          <cell r="AI7">
            <v>10000</v>
          </cell>
        </row>
      </sheetData>
      <sheetData sheetId="9289">
        <row r="7">
          <cell r="AI7">
            <v>10000</v>
          </cell>
        </row>
      </sheetData>
      <sheetData sheetId="9290">
        <row r="7">
          <cell r="AI7">
            <v>10000</v>
          </cell>
        </row>
      </sheetData>
      <sheetData sheetId="9291">
        <row r="7">
          <cell r="AI7">
            <v>10000</v>
          </cell>
        </row>
      </sheetData>
      <sheetData sheetId="9292">
        <row r="7">
          <cell r="AI7">
            <v>10000</v>
          </cell>
        </row>
      </sheetData>
      <sheetData sheetId="9293">
        <row r="7">
          <cell r="AI7">
            <v>10000</v>
          </cell>
        </row>
      </sheetData>
      <sheetData sheetId="9294">
        <row r="7">
          <cell r="AI7">
            <v>10000</v>
          </cell>
        </row>
      </sheetData>
      <sheetData sheetId="9295">
        <row r="7">
          <cell r="AI7">
            <v>10000</v>
          </cell>
        </row>
      </sheetData>
      <sheetData sheetId="9296">
        <row r="7">
          <cell r="AI7">
            <v>10000</v>
          </cell>
        </row>
      </sheetData>
      <sheetData sheetId="9297">
        <row r="7">
          <cell r="AI7">
            <v>10000</v>
          </cell>
        </row>
      </sheetData>
      <sheetData sheetId="9298">
        <row r="7">
          <cell r="AI7">
            <v>10000</v>
          </cell>
        </row>
      </sheetData>
      <sheetData sheetId="9299">
        <row r="7">
          <cell r="AI7">
            <v>10000</v>
          </cell>
        </row>
      </sheetData>
      <sheetData sheetId="9300">
        <row r="7">
          <cell r="AI7">
            <v>10000</v>
          </cell>
        </row>
      </sheetData>
      <sheetData sheetId="9301">
        <row r="7">
          <cell r="AI7">
            <v>10000</v>
          </cell>
        </row>
      </sheetData>
      <sheetData sheetId="9302">
        <row r="7">
          <cell r="AI7">
            <v>10000</v>
          </cell>
        </row>
      </sheetData>
      <sheetData sheetId="9303">
        <row r="7">
          <cell r="AI7">
            <v>10000</v>
          </cell>
        </row>
      </sheetData>
      <sheetData sheetId="9304">
        <row r="7">
          <cell r="AI7">
            <v>10000</v>
          </cell>
        </row>
      </sheetData>
      <sheetData sheetId="9305">
        <row r="7">
          <cell r="AI7">
            <v>10000</v>
          </cell>
        </row>
      </sheetData>
      <sheetData sheetId="9306">
        <row r="7">
          <cell r="AI7">
            <v>10000</v>
          </cell>
        </row>
      </sheetData>
      <sheetData sheetId="9307">
        <row r="7">
          <cell r="AI7">
            <v>10000</v>
          </cell>
        </row>
      </sheetData>
      <sheetData sheetId="9308">
        <row r="7">
          <cell r="AI7">
            <v>10000</v>
          </cell>
        </row>
      </sheetData>
      <sheetData sheetId="9309">
        <row r="7">
          <cell r="AI7">
            <v>10000</v>
          </cell>
        </row>
      </sheetData>
      <sheetData sheetId="9310">
        <row r="7">
          <cell r="AI7">
            <v>10000</v>
          </cell>
        </row>
      </sheetData>
      <sheetData sheetId="9311">
        <row r="7">
          <cell r="AI7">
            <v>10000</v>
          </cell>
        </row>
      </sheetData>
      <sheetData sheetId="9312">
        <row r="7">
          <cell r="AI7">
            <v>10000</v>
          </cell>
        </row>
      </sheetData>
      <sheetData sheetId="9313">
        <row r="7">
          <cell r="AI7">
            <v>10000</v>
          </cell>
        </row>
      </sheetData>
      <sheetData sheetId="9314">
        <row r="7">
          <cell r="AI7">
            <v>10000</v>
          </cell>
        </row>
      </sheetData>
      <sheetData sheetId="9315">
        <row r="7">
          <cell r="AI7">
            <v>10000</v>
          </cell>
        </row>
      </sheetData>
      <sheetData sheetId="9316">
        <row r="7">
          <cell r="AI7">
            <v>10000</v>
          </cell>
        </row>
      </sheetData>
      <sheetData sheetId="9317">
        <row r="7">
          <cell r="AI7">
            <v>10000</v>
          </cell>
        </row>
      </sheetData>
      <sheetData sheetId="9318">
        <row r="7">
          <cell r="AI7">
            <v>10000</v>
          </cell>
        </row>
      </sheetData>
      <sheetData sheetId="9319">
        <row r="7">
          <cell r="AI7">
            <v>10000</v>
          </cell>
        </row>
      </sheetData>
      <sheetData sheetId="9320">
        <row r="7">
          <cell r="AI7">
            <v>10000</v>
          </cell>
        </row>
      </sheetData>
      <sheetData sheetId="9321">
        <row r="7">
          <cell r="AI7">
            <v>10000</v>
          </cell>
        </row>
      </sheetData>
      <sheetData sheetId="9322">
        <row r="7">
          <cell r="AI7">
            <v>10000</v>
          </cell>
        </row>
      </sheetData>
      <sheetData sheetId="9323">
        <row r="7">
          <cell r="AI7">
            <v>10000</v>
          </cell>
        </row>
      </sheetData>
      <sheetData sheetId="9324">
        <row r="7">
          <cell r="AI7">
            <v>10000</v>
          </cell>
        </row>
      </sheetData>
      <sheetData sheetId="9325">
        <row r="7">
          <cell r="AI7">
            <v>10000</v>
          </cell>
        </row>
      </sheetData>
      <sheetData sheetId="9326">
        <row r="7">
          <cell r="AI7">
            <v>10000</v>
          </cell>
        </row>
      </sheetData>
      <sheetData sheetId="9327">
        <row r="7">
          <cell r="AI7">
            <v>10000</v>
          </cell>
        </row>
      </sheetData>
      <sheetData sheetId="9328">
        <row r="7">
          <cell r="AI7">
            <v>10000</v>
          </cell>
        </row>
      </sheetData>
      <sheetData sheetId="9329">
        <row r="7">
          <cell r="AI7">
            <v>10000</v>
          </cell>
        </row>
      </sheetData>
      <sheetData sheetId="9330">
        <row r="7">
          <cell r="AI7">
            <v>10000</v>
          </cell>
        </row>
      </sheetData>
      <sheetData sheetId="9331">
        <row r="7">
          <cell r="AI7">
            <v>10000</v>
          </cell>
        </row>
      </sheetData>
      <sheetData sheetId="9332">
        <row r="7">
          <cell r="AI7">
            <v>10000</v>
          </cell>
        </row>
      </sheetData>
      <sheetData sheetId="9333">
        <row r="7">
          <cell r="AI7">
            <v>10000</v>
          </cell>
        </row>
      </sheetData>
      <sheetData sheetId="9334">
        <row r="7">
          <cell r="AI7">
            <v>10000</v>
          </cell>
        </row>
      </sheetData>
      <sheetData sheetId="9335">
        <row r="7">
          <cell r="AI7">
            <v>10000</v>
          </cell>
        </row>
      </sheetData>
      <sheetData sheetId="9336">
        <row r="7">
          <cell r="AI7">
            <v>10000</v>
          </cell>
        </row>
      </sheetData>
      <sheetData sheetId="9337">
        <row r="7">
          <cell r="AI7">
            <v>10000</v>
          </cell>
        </row>
      </sheetData>
      <sheetData sheetId="9338">
        <row r="7">
          <cell r="AI7">
            <v>10000</v>
          </cell>
        </row>
      </sheetData>
      <sheetData sheetId="9339">
        <row r="7">
          <cell r="AI7">
            <v>10000</v>
          </cell>
        </row>
      </sheetData>
      <sheetData sheetId="9340">
        <row r="7">
          <cell r="AI7">
            <v>10000</v>
          </cell>
        </row>
      </sheetData>
      <sheetData sheetId="9341">
        <row r="7">
          <cell r="AI7">
            <v>10000</v>
          </cell>
        </row>
      </sheetData>
      <sheetData sheetId="9342">
        <row r="7">
          <cell r="AI7">
            <v>10000</v>
          </cell>
        </row>
      </sheetData>
      <sheetData sheetId="9343">
        <row r="7">
          <cell r="AI7">
            <v>10000</v>
          </cell>
        </row>
      </sheetData>
      <sheetData sheetId="9344">
        <row r="7">
          <cell r="AI7">
            <v>10000</v>
          </cell>
        </row>
      </sheetData>
      <sheetData sheetId="9345">
        <row r="7">
          <cell r="AI7">
            <v>10000</v>
          </cell>
        </row>
      </sheetData>
      <sheetData sheetId="9346">
        <row r="7">
          <cell r="AI7">
            <v>10000</v>
          </cell>
        </row>
      </sheetData>
      <sheetData sheetId="9347">
        <row r="7">
          <cell r="AI7">
            <v>10000</v>
          </cell>
        </row>
      </sheetData>
      <sheetData sheetId="9348">
        <row r="7">
          <cell r="AI7">
            <v>10000</v>
          </cell>
        </row>
      </sheetData>
      <sheetData sheetId="9349">
        <row r="7">
          <cell r="AI7">
            <v>10000</v>
          </cell>
        </row>
      </sheetData>
      <sheetData sheetId="9350">
        <row r="7">
          <cell r="AI7">
            <v>10000</v>
          </cell>
        </row>
      </sheetData>
      <sheetData sheetId="9351">
        <row r="7">
          <cell r="AI7">
            <v>10000</v>
          </cell>
        </row>
      </sheetData>
      <sheetData sheetId="9352">
        <row r="7">
          <cell r="AI7">
            <v>10000</v>
          </cell>
        </row>
      </sheetData>
      <sheetData sheetId="9353">
        <row r="7">
          <cell r="AI7">
            <v>10000</v>
          </cell>
        </row>
      </sheetData>
      <sheetData sheetId="9354">
        <row r="7">
          <cell r="AI7">
            <v>10000</v>
          </cell>
        </row>
      </sheetData>
      <sheetData sheetId="9355">
        <row r="7">
          <cell r="AI7">
            <v>10000</v>
          </cell>
        </row>
      </sheetData>
      <sheetData sheetId="9356">
        <row r="7">
          <cell r="AI7">
            <v>10000</v>
          </cell>
        </row>
      </sheetData>
      <sheetData sheetId="9357">
        <row r="7">
          <cell r="AI7">
            <v>10000</v>
          </cell>
        </row>
      </sheetData>
      <sheetData sheetId="9358">
        <row r="7">
          <cell r="AI7">
            <v>10000</v>
          </cell>
        </row>
      </sheetData>
      <sheetData sheetId="9359">
        <row r="7">
          <cell r="AI7">
            <v>10000</v>
          </cell>
        </row>
      </sheetData>
      <sheetData sheetId="9360">
        <row r="7">
          <cell r="AI7">
            <v>10000</v>
          </cell>
        </row>
      </sheetData>
      <sheetData sheetId="9361">
        <row r="7">
          <cell r="AI7">
            <v>10000</v>
          </cell>
        </row>
      </sheetData>
      <sheetData sheetId="9362">
        <row r="7">
          <cell r="AI7">
            <v>10000</v>
          </cell>
        </row>
      </sheetData>
      <sheetData sheetId="9363">
        <row r="7">
          <cell r="AI7">
            <v>10000</v>
          </cell>
        </row>
      </sheetData>
      <sheetData sheetId="9364">
        <row r="7">
          <cell r="AI7">
            <v>10000</v>
          </cell>
        </row>
      </sheetData>
      <sheetData sheetId="9365">
        <row r="7">
          <cell r="AI7">
            <v>10000</v>
          </cell>
        </row>
      </sheetData>
      <sheetData sheetId="9366">
        <row r="7">
          <cell r="AI7">
            <v>10000</v>
          </cell>
        </row>
      </sheetData>
      <sheetData sheetId="9367">
        <row r="7">
          <cell r="AI7">
            <v>10000</v>
          </cell>
        </row>
      </sheetData>
      <sheetData sheetId="9368">
        <row r="7">
          <cell r="AI7">
            <v>10000</v>
          </cell>
        </row>
      </sheetData>
      <sheetData sheetId="9369">
        <row r="7">
          <cell r="AI7">
            <v>10000</v>
          </cell>
        </row>
      </sheetData>
      <sheetData sheetId="9370">
        <row r="7">
          <cell r="AI7">
            <v>10000</v>
          </cell>
        </row>
      </sheetData>
      <sheetData sheetId="9371">
        <row r="7">
          <cell r="AI7">
            <v>10000</v>
          </cell>
        </row>
      </sheetData>
      <sheetData sheetId="9372">
        <row r="7">
          <cell r="AI7">
            <v>10000</v>
          </cell>
        </row>
      </sheetData>
      <sheetData sheetId="9373">
        <row r="7">
          <cell r="AI7">
            <v>10000</v>
          </cell>
        </row>
      </sheetData>
      <sheetData sheetId="9374">
        <row r="7">
          <cell r="AI7">
            <v>10000</v>
          </cell>
        </row>
      </sheetData>
      <sheetData sheetId="9375">
        <row r="7">
          <cell r="AI7">
            <v>10000</v>
          </cell>
        </row>
      </sheetData>
      <sheetData sheetId="9376">
        <row r="7">
          <cell r="AI7">
            <v>10000</v>
          </cell>
        </row>
      </sheetData>
      <sheetData sheetId="9377">
        <row r="7">
          <cell r="AI7">
            <v>10000</v>
          </cell>
        </row>
      </sheetData>
      <sheetData sheetId="9378">
        <row r="7">
          <cell r="AI7">
            <v>10000</v>
          </cell>
        </row>
      </sheetData>
      <sheetData sheetId="9379">
        <row r="7">
          <cell r="AI7">
            <v>10000</v>
          </cell>
        </row>
      </sheetData>
      <sheetData sheetId="9380">
        <row r="7">
          <cell r="AI7">
            <v>10000</v>
          </cell>
        </row>
      </sheetData>
      <sheetData sheetId="9381">
        <row r="7">
          <cell r="AI7">
            <v>10000</v>
          </cell>
        </row>
      </sheetData>
      <sheetData sheetId="9382">
        <row r="7">
          <cell r="AI7">
            <v>10000</v>
          </cell>
        </row>
      </sheetData>
      <sheetData sheetId="9383">
        <row r="7">
          <cell r="AI7">
            <v>10000</v>
          </cell>
        </row>
      </sheetData>
      <sheetData sheetId="9384">
        <row r="7">
          <cell r="AI7">
            <v>10000</v>
          </cell>
        </row>
      </sheetData>
      <sheetData sheetId="9385">
        <row r="7">
          <cell r="AI7">
            <v>10000</v>
          </cell>
        </row>
      </sheetData>
      <sheetData sheetId="9386">
        <row r="7">
          <cell r="AI7">
            <v>10000</v>
          </cell>
        </row>
      </sheetData>
      <sheetData sheetId="9387">
        <row r="7">
          <cell r="AI7">
            <v>10000</v>
          </cell>
        </row>
      </sheetData>
      <sheetData sheetId="9388">
        <row r="7">
          <cell r="AI7">
            <v>10000</v>
          </cell>
        </row>
      </sheetData>
      <sheetData sheetId="9389">
        <row r="7">
          <cell r="AI7">
            <v>10000</v>
          </cell>
        </row>
      </sheetData>
      <sheetData sheetId="9390">
        <row r="7">
          <cell r="AI7">
            <v>10000</v>
          </cell>
        </row>
      </sheetData>
      <sheetData sheetId="9391">
        <row r="7">
          <cell r="AI7">
            <v>10000</v>
          </cell>
        </row>
      </sheetData>
      <sheetData sheetId="9392">
        <row r="7">
          <cell r="AI7">
            <v>10000</v>
          </cell>
        </row>
      </sheetData>
      <sheetData sheetId="9393">
        <row r="7">
          <cell r="AI7">
            <v>10000</v>
          </cell>
        </row>
      </sheetData>
      <sheetData sheetId="9394">
        <row r="7">
          <cell r="AI7">
            <v>10000</v>
          </cell>
        </row>
      </sheetData>
      <sheetData sheetId="9395">
        <row r="7">
          <cell r="AI7">
            <v>10000</v>
          </cell>
        </row>
      </sheetData>
      <sheetData sheetId="9396">
        <row r="7">
          <cell r="AI7">
            <v>10000</v>
          </cell>
        </row>
      </sheetData>
      <sheetData sheetId="9397">
        <row r="7">
          <cell r="AI7">
            <v>10000</v>
          </cell>
        </row>
      </sheetData>
      <sheetData sheetId="9398">
        <row r="7">
          <cell r="AI7">
            <v>10000</v>
          </cell>
        </row>
      </sheetData>
      <sheetData sheetId="9399">
        <row r="7">
          <cell r="AI7">
            <v>10000</v>
          </cell>
        </row>
      </sheetData>
      <sheetData sheetId="9400">
        <row r="7">
          <cell r="AI7">
            <v>10000</v>
          </cell>
        </row>
      </sheetData>
      <sheetData sheetId="9401">
        <row r="7">
          <cell r="AI7">
            <v>10000</v>
          </cell>
        </row>
      </sheetData>
      <sheetData sheetId="9402">
        <row r="7">
          <cell r="AI7">
            <v>10000</v>
          </cell>
        </row>
      </sheetData>
      <sheetData sheetId="9403">
        <row r="7">
          <cell r="AI7">
            <v>10000</v>
          </cell>
        </row>
      </sheetData>
      <sheetData sheetId="9404">
        <row r="7">
          <cell r="AI7">
            <v>10000</v>
          </cell>
        </row>
      </sheetData>
      <sheetData sheetId="9405">
        <row r="7">
          <cell r="AI7">
            <v>10000</v>
          </cell>
        </row>
      </sheetData>
      <sheetData sheetId="9406">
        <row r="7">
          <cell r="AI7">
            <v>10000</v>
          </cell>
        </row>
      </sheetData>
      <sheetData sheetId="9407">
        <row r="7">
          <cell r="AI7">
            <v>10000</v>
          </cell>
        </row>
      </sheetData>
      <sheetData sheetId="9408">
        <row r="7">
          <cell r="AI7">
            <v>10000</v>
          </cell>
        </row>
      </sheetData>
      <sheetData sheetId="9409">
        <row r="7">
          <cell r="AI7">
            <v>10000</v>
          </cell>
        </row>
      </sheetData>
      <sheetData sheetId="9410">
        <row r="7">
          <cell r="AI7">
            <v>10000</v>
          </cell>
        </row>
      </sheetData>
      <sheetData sheetId="9411">
        <row r="7">
          <cell r="AI7">
            <v>10000</v>
          </cell>
        </row>
      </sheetData>
      <sheetData sheetId="9412">
        <row r="7">
          <cell r="AI7">
            <v>10000</v>
          </cell>
        </row>
      </sheetData>
      <sheetData sheetId="9413">
        <row r="7">
          <cell r="AI7">
            <v>10000</v>
          </cell>
        </row>
      </sheetData>
      <sheetData sheetId="9414">
        <row r="7">
          <cell r="AI7">
            <v>10000</v>
          </cell>
        </row>
      </sheetData>
      <sheetData sheetId="9415">
        <row r="7">
          <cell r="AI7">
            <v>10000</v>
          </cell>
        </row>
      </sheetData>
      <sheetData sheetId="9416">
        <row r="7">
          <cell r="AI7">
            <v>10000</v>
          </cell>
        </row>
      </sheetData>
      <sheetData sheetId="9417">
        <row r="7">
          <cell r="AI7">
            <v>10000</v>
          </cell>
        </row>
      </sheetData>
      <sheetData sheetId="9418">
        <row r="7">
          <cell r="AI7">
            <v>10000</v>
          </cell>
        </row>
      </sheetData>
      <sheetData sheetId="9419">
        <row r="7">
          <cell r="AI7">
            <v>10000</v>
          </cell>
        </row>
      </sheetData>
      <sheetData sheetId="9420">
        <row r="7">
          <cell r="AI7">
            <v>10000</v>
          </cell>
        </row>
      </sheetData>
      <sheetData sheetId="9421">
        <row r="7">
          <cell r="AI7">
            <v>10000</v>
          </cell>
        </row>
      </sheetData>
      <sheetData sheetId="9422">
        <row r="7">
          <cell r="AI7">
            <v>10000</v>
          </cell>
        </row>
      </sheetData>
      <sheetData sheetId="9423">
        <row r="7">
          <cell r="AI7">
            <v>10000</v>
          </cell>
        </row>
      </sheetData>
      <sheetData sheetId="9424">
        <row r="7">
          <cell r="AI7">
            <v>10000</v>
          </cell>
        </row>
      </sheetData>
      <sheetData sheetId="9425">
        <row r="7">
          <cell r="AI7">
            <v>10000</v>
          </cell>
        </row>
      </sheetData>
      <sheetData sheetId="9426">
        <row r="7">
          <cell r="AI7">
            <v>10000</v>
          </cell>
        </row>
      </sheetData>
      <sheetData sheetId="9427">
        <row r="7">
          <cell r="AI7">
            <v>10000</v>
          </cell>
        </row>
      </sheetData>
      <sheetData sheetId="9428">
        <row r="7">
          <cell r="AI7">
            <v>10000</v>
          </cell>
        </row>
      </sheetData>
      <sheetData sheetId="9429">
        <row r="7">
          <cell r="AI7">
            <v>10000</v>
          </cell>
        </row>
      </sheetData>
      <sheetData sheetId="9430">
        <row r="7">
          <cell r="AI7">
            <v>10000</v>
          </cell>
        </row>
      </sheetData>
      <sheetData sheetId="9431">
        <row r="7">
          <cell r="AI7">
            <v>10000</v>
          </cell>
        </row>
      </sheetData>
      <sheetData sheetId="9432">
        <row r="7">
          <cell r="AI7">
            <v>10000</v>
          </cell>
        </row>
      </sheetData>
      <sheetData sheetId="9433">
        <row r="7">
          <cell r="AI7">
            <v>10000</v>
          </cell>
        </row>
      </sheetData>
      <sheetData sheetId="9434">
        <row r="7">
          <cell r="AI7">
            <v>10000</v>
          </cell>
        </row>
      </sheetData>
      <sheetData sheetId="9435">
        <row r="7">
          <cell r="AI7">
            <v>10000</v>
          </cell>
        </row>
      </sheetData>
      <sheetData sheetId="9436">
        <row r="7">
          <cell r="AI7">
            <v>10000</v>
          </cell>
        </row>
      </sheetData>
      <sheetData sheetId="9437">
        <row r="7">
          <cell r="AI7">
            <v>10000</v>
          </cell>
        </row>
      </sheetData>
      <sheetData sheetId="9438">
        <row r="7">
          <cell r="AI7">
            <v>10000</v>
          </cell>
        </row>
      </sheetData>
      <sheetData sheetId="9439">
        <row r="7">
          <cell r="AI7">
            <v>10000</v>
          </cell>
        </row>
      </sheetData>
      <sheetData sheetId="9440">
        <row r="7">
          <cell r="AI7">
            <v>10000</v>
          </cell>
        </row>
      </sheetData>
      <sheetData sheetId="9441">
        <row r="7">
          <cell r="AI7">
            <v>10000</v>
          </cell>
        </row>
      </sheetData>
      <sheetData sheetId="9442">
        <row r="7">
          <cell r="AI7">
            <v>10000</v>
          </cell>
        </row>
      </sheetData>
      <sheetData sheetId="9443">
        <row r="7">
          <cell r="AI7">
            <v>10000</v>
          </cell>
        </row>
      </sheetData>
      <sheetData sheetId="9444">
        <row r="7">
          <cell r="AI7">
            <v>10000</v>
          </cell>
        </row>
      </sheetData>
      <sheetData sheetId="9445">
        <row r="7">
          <cell r="AI7">
            <v>10000</v>
          </cell>
        </row>
      </sheetData>
      <sheetData sheetId="9446">
        <row r="7">
          <cell r="AI7">
            <v>10000</v>
          </cell>
        </row>
      </sheetData>
      <sheetData sheetId="9447">
        <row r="7">
          <cell r="AI7">
            <v>10000</v>
          </cell>
        </row>
      </sheetData>
      <sheetData sheetId="9448">
        <row r="7">
          <cell r="AI7">
            <v>10000</v>
          </cell>
        </row>
      </sheetData>
      <sheetData sheetId="9449">
        <row r="7">
          <cell r="AI7">
            <v>10000</v>
          </cell>
        </row>
      </sheetData>
      <sheetData sheetId="9450">
        <row r="7">
          <cell r="AI7">
            <v>10000</v>
          </cell>
        </row>
      </sheetData>
      <sheetData sheetId="9451">
        <row r="7">
          <cell r="AI7">
            <v>10000</v>
          </cell>
        </row>
      </sheetData>
      <sheetData sheetId="9452">
        <row r="7">
          <cell r="AI7">
            <v>10000</v>
          </cell>
        </row>
      </sheetData>
      <sheetData sheetId="9453">
        <row r="7">
          <cell r="AI7">
            <v>10000</v>
          </cell>
        </row>
      </sheetData>
      <sheetData sheetId="9454">
        <row r="7">
          <cell r="AI7">
            <v>10000</v>
          </cell>
        </row>
      </sheetData>
      <sheetData sheetId="9455">
        <row r="7">
          <cell r="AI7">
            <v>10000</v>
          </cell>
        </row>
      </sheetData>
      <sheetData sheetId="9456">
        <row r="7">
          <cell r="AI7">
            <v>10000</v>
          </cell>
        </row>
      </sheetData>
      <sheetData sheetId="9457">
        <row r="7">
          <cell r="AI7">
            <v>10000</v>
          </cell>
        </row>
      </sheetData>
      <sheetData sheetId="9458">
        <row r="7">
          <cell r="AI7">
            <v>10000</v>
          </cell>
        </row>
      </sheetData>
      <sheetData sheetId="9459">
        <row r="7">
          <cell r="AI7">
            <v>10000</v>
          </cell>
        </row>
      </sheetData>
      <sheetData sheetId="9460">
        <row r="7">
          <cell r="AI7">
            <v>10000</v>
          </cell>
        </row>
      </sheetData>
      <sheetData sheetId="9461">
        <row r="7">
          <cell r="AI7">
            <v>10000</v>
          </cell>
        </row>
      </sheetData>
      <sheetData sheetId="9462">
        <row r="7">
          <cell r="AI7">
            <v>10000</v>
          </cell>
        </row>
      </sheetData>
      <sheetData sheetId="9463">
        <row r="7">
          <cell r="AI7">
            <v>10000</v>
          </cell>
        </row>
      </sheetData>
      <sheetData sheetId="9464">
        <row r="7">
          <cell r="AI7">
            <v>10000</v>
          </cell>
        </row>
      </sheetData>
      <sheetData sheetId="9465">
        <row r="7">
          <cell r="AI7">
            <v>10000</v>
          </cell>
        </row>
      </sheetData>
      <sheetData sheetId="9466">
        <row r="7">
          <cell r="AI7">
            <v>10000</v>
          </cell>
        </row>
      </sheetData>
      <sheetData sheetId="9467">
        <row r="7">
          <cell r="AI7">
            <v>10000</v>
          </cell>
        </row>
      </sheetData>
      <sheetData sheetId="9468">
        <row r="7">
          <cell r="AI7">
            <v>10000</v>
          </cell>
        </row>
      </sheetData>
      <sheetData sheetId="9469">
        <row r="7">
          <cell r="AI7">
            <v>10000</v>
          </cell>
        </row>
      </sheetData>
      <sheetData sheetId="9470">
        <row r="7">
          <cell r="AI7">
            <v>10000</v>
          </cell>
        </row>
      </sheetData>
      <sheetData sheetId="9471">
        <row r="7">
          <cell r="AI7">
            <v>10000</v>
          </cell>
        </row>
      </sheetData>
      <sheetData sheetId="9472">
        <row r="7">
          <cell r="AI7">
            <v>10000</v>
          </cell>
        </row>
      </sheetData>
      <sheetData sheetId="9473">
        <row r="7">
          <cell r="AI7">
            <v>10000</v>
          </cell>
        </row>
      </sheetData>
      <sheetData sheetId="9474">
        <row r="7">
          <cell r="AI7">
            <v>10000</v>
          </cell>
        </row>
      </sheetData>
      <sheetData sheetId="9475">
        <row r="7">
          <cell r="AI7">
            <v>10000</v>
          </cell>
        </row>
      </sheetData>
      <sheetData sheetId="9476">
        <row r="7">
          <cell r="AI7">
            <v>10000</v>
          </cell>
        </row>
      </sheetData>
      <sheetData sheetId="9477">
        <row r="7">
          <cell r="AI7">
            <v>10000</v>
          </cell>
        </row>
      </sheetData>
      <sheetData sheetId="9478">
        <row r="7">
          <cell r="AI7">
            <v>10000</v>
          </cell>
        </row>
      </sheetData>
      <sheetData sheetId="9479">
        <row r="7">
          <cell r="AI7">
            <v>10000</v>
          </cell>
        </row>
      </sheetData>
      <sheetData sheetId="9480">
        <row r="7">
          <cell r="AI7">
            <v>10000</v>
          </cell>
        </row>
      </sheetData>
      <sheetData sheetId="9481">
        <row r="7">
          <cell r="AI7">
            <v>10000</v>
          </cell>
        </row>
      </sheetData>
      <sheetData sheetId="9482">
        <row r="7">
          <cell r="AI7">
            <v>10000</v>
          </cell>
        </row>
      </sheetData>
      <sheetData sheetId="9483">
        <row r="7">
          <cell r="AI7">
            <v>10000</v>
          </cell>
        </row>
      </sheetData>
      <sheetData sheetId="9484">
        <row r="7">
          <cell r="AI7">
            <v>10000</v>
          </cell>
        </row>
      </sheetData>
      <sheetData sheetId="9485">
        <row r="7">
          <cell r="AI7">
            <v>10000</v>
          </cell>
        </row>
      </sheetData>
      <sheetData sheetId="9486">
        <row r="7">
          <cell r="AI7">
            <v>10000</v>
          </cell>
        </row>
      </sheetData>
      <sheetData sheetId="9487">
        <row r="7">
          <cell r="AI7">
            <v>10000</v>
          </cell>
        </row>
      </sheetData>
      <sheetData sheetId="9488">
        <row r="7">
          <cell r="AI7">
            <v>10000</v>
          </cell>
        </row>
      </sheetData>
      <sheetData sheetId="9489">
        <row r="7">
          <cell r="AI7">
            <v>10000</v>
          </cell>
        </row>
      </sheetData>
      <sheetData sheetId="9490">
        <row r="7">
          <cell r="AI7">
            <v>10000</v>
          </cell>
        </row>
      </sheetData>
      <sheetData sheetId="9491">
        <row r="7">
          <cell r="AI7">
            <v>10000</v>
          </cell>
        </row>
      </sheetData>
      <sheetData sheetId="9492">
        <row r="7">
          <cell r="AI7">
            <v>10000</v>
          </cell>
        </row>
      </sheetData>
      <sheetData sheetId="9493">
        <row r="7">
          <cell r="AI7">
            <v>10000</v>
          </cell>
        </row>
      </sheetData>
      <sheetData sheetId="9494">
        <row r="7">
          <cell r="AI7">
            <v>10000</v>
          </cell>
        </row>
      </sheetData>
      <sheetData sheetId="9495">
        <row r="7">
          <cell r="AI7">
            <v>10000</v>
          </cell>
        </row>
      </sheetData>
      <sheetData sheetId="9496">
        <row r="7">
          <cell r="AI7">
            <v>10000</v>
          </cell>
        </row>
      </sheetData>
      <sheetData sheetId="9497">
        <row r="7">
          <cell r="AI7">
            <v>10000</v>
          </cell>
        </row>
      </sheetData>
      <sheetData sheetId="9498">
        <row r="7">
          <cell r="AI7">
            <v>10000</v>
          </cell>
        </row>
      </sheetData>
      <sheetData sheetId="9499">
        <row r="7">
          <cell r="AI7">
            <v>10000</v>
          </cell>
        </row>
      </sheetData>
      <sheetData sheetId="9500">
        <row r="7">
          <cell r="AI7">
            <v>10000</v>
          </cell>
        </row>
      </sheetData>
      <sheetData sheetId="9501">
        <row r="7">
          <cell r="AI7">
            <v>10000</v>
          </cell>
        </row>
      </sheetData>
      <sheetData sheetId="9502">
        <row r="7">
          <cell r="AI7">
            <v>10000</v>
          </cell>
        </row>
      </sheetData>
      <sheetData sheetId="9503">
        <row r="7">
          <cell r="AI7">
            <v>10000</v>
          </cell>
        </row>
      </sheetData>
      <sheetData sheetId="9504">
        <row r="7">
          <cell r="AI7">
            <v>10000</v>
          </cell>
        </row>
      </sheetData>
      <sheetData sheetId="9505">
        <row r="7">
          <cell r="AI7">
            <v>10000</v>
          </cell>
        </row>
      </sheetData>
      <sheetData sheetId="9506">
        <row r="7">
          <cell r="AI7">
            <v>10000</v>
          </cell>
        </row>
      </sheetData>
      <sheetData sheetId="9507">
        <row r="7">
          <cell r="AI7">
            <v>10000</v>
          </cell>
        </row>
      </sheetData>
      <sheetData sheetId="9508">
        <row r="7">
          <cell r="AI7">
            <v>10000</v>
          </cell>
        </row>
      </sheetData>
      <sheetData sheetId="9509">
        <row r="7">
          <cell r="AI7">
            <v>10000</v>
          </cell>
        </row>
      </sheetData>
      <sheetData sheetId="9510">
        <row r="7">
          <cell r="AI7">
            <v>10000</v>
          </cell>
        </row>
      </sheetData>
      <sheetData sheetId="9511">
        <row r="7">
          <cell r="AI7">
            <v>10000</v>
          </cell>
        </row>
      </sheetData>
      <sheetData sheetId="9512">
        <row r="7">
          <cell r="AI7">
            <v>10000</v>
          </cell>
        </row>
      </sheetData>
      <sheetData sheetId="9513">
        <row r="7">
          <cell r="AI7">
            <v>10000</v>
          </cell>
        </row>
      </sheetData>
      <sheetData sheetId="9514">
        <row r="7">
          <cell r="AI7">
            <v>10000</v>
          </cell>
        </row>
      </sheetData>
      <sheetData sheetId="9515">
        <row r="7">
          <cell r="AI7">
            <v>10000</v>
          </cell>
        </row>
      </sheetData>
      <sheetData sheetId="9516">
        <row r="7">
          <cell r="AI7">
            <v>10000</v>
          </cell>
        </row>
      </sheetData>
      <sheetData sheetId="9517">
        <row r="7">
          <cell r="AI7">
            <v>10000</v>
          </cell>
        </row>
      </sheetData>
      <sheetData sheetId="9518">
        <row r="7">
          <cell r="AI7">
            <v>10000</v>
          </cell>
        </row>
      </sheetData>
      <sheetData sheetId="9519">
        <row r="7">
          <cell r="AI7">
            <v>10000</v>
          </cell>
        </row>
      </sheetData>
      <sheetData sheetId="9520">
        <row r="7">
          <cell r="AI7">
            <v>10000</v>
          </cell>
        </row>
      </sheetData>
      <sheetData sheetId="9521">
        <row r="7">
          <cell r="AI7">
            <v>10000</v>
          </cell>
        </row>
      </sheetData>
      <sheetData sheetId="9522">
        <row r="7">
          <cell r="AI7">
            <v>10000</v>
          </cell>
        </row>
      </sheetData>
      <sheetData sheetId="9523">
        <row r="7">
          <cell r="AI7">
            <v>10000</v>
          </cell>
        </row>
      </sheetData>
      <sheetData sheetId="9524">
        <row r="7">
          <cell r="AI7">
            <v>10000</v>
          </cell>
        </row>
      </sheetData>
      <sheetData sheetId="9525">
        <row r="7">
          <cell r="AI7">
            <v>10000</v>
          </cell>
        </row>
      </sheetData>
      <sheetData sheetId="9526">
        <row r="7">
          <cell r="AI7">
            <v>10000</v>
          </cell>
        </row>
      </sheetData>
      <sheetData sheetId="9527">
        <row r="7">
          <cell r="AI7">
            <v>10000</v>
          </cell>
        </row>
      </sheetData>
      <sheetData sheetId="9528">
        <row r="7">
          <cell r="AI7">
            <v>10000</v>
          </cell>
        </row>
      </sheetData>
      <sheetData sheetId="9529">
        <row r="7">
          <cell r="AI7">
            <v>10000</v>
          </cell>
        </row>
      </sheetData>
      <sheetData sheetId="9530">
        <row r="7">
          <cell r="AI7">
            <v>10000</v>
          </cell>
        </row>
      </sheetData>
      <sheetData sheetId="9531">
        <row r="7">
          <cell r="AI7">
            <v>10000</v>
          </cell>
        </row>
      </sheetData>
      <sheetData sheetId="9532">
        <row r="7">
          <cell r="AI7">
            <v>10000</v>
          </cell>
        </row>
      </sheetData>
      <sheetData sheetId="9533">
        <row r="7">
          <cell r="AI7">
            <v>10000</v>
          </cell>
        </row>
      </sheetData>
      <sheetData sheetId="9534">
        <row r="7">
          <cell r="AI7">
            <v>10000</v>
          </cell>
        </row>
      </sheetData>
      <sheetData sheetId="9535">
        <row r="7">
          <cell r="AI7">
            <v>10000</v>
          </cell>
        </row>
      </sheetData>
      <sheetData sheetId="9536">
        <row r="7">
          <cell r="AI7">
            <v>10000</v>
          </cell>
        </row>
      </sheetData>
      <sheetData sheetId="9537">
        <row r="7">
          <cell r="AI7">
            <v>10000</v>
          </cell>
        </row>
      </sheetData>
      <sheetData sheetId="9538">
        <row r="7">
          <cell r="AI7">
            <v>10000</v>
          </cell>
        </row>
      </sheetData>
      <sheetData sheetId="9539">
        <row r="7">
          <cell r="AI7">
            <v>10000</v>
          </cell>
        </row>
      </sheetData>
      <sheetData sheetId="9540">
        <row r="7">
          <cell r="AI7">
            <v>10000</v>
          </cell>
        </row>
      </sheetData>
      <sheetData sheetId="9541">
        <row r="7">
          <cell r="AI7">
            <v>10000</v>
          </cell>
        </row>
      </sheetData>
      <sheetData sheetId="9542">
        <row r="7">
          <cell r="AI7">
            <v>10000</v>
          </cell>
        </row>
      </sheetData>
      <sheetData sheetId="9543">
        <row r="7">
          <cell r="AI7">
            <v>10000</v>
          </cell>
        </row>
      </sheetData>
      <sheetData sheetId="9544">
        <row r="7">
          <cell r="AI7">
            <v>10000</v>
          </cell>
        </row>
      </sheetData>
      <sheetData sheetId="9545">
        <row r="7">
          <cell r="AI7">
            <v>10000</v>
          </cell>
        </row>
      </sheetData>
      <sheetData sheetId="9546">
        <row r="7">
          <cell r="AI7">
            <v>10000</v>
          </cell>
        </row>
      </sheetData>
      <sheetData sheetId="9547">
        <row r="7">
          <cell r="AI7">
            <v>10000</v>
          </cell>
        </row>
      </sheetData>
      <sheetData sheetId="9548">
        <row r="7">
          <cell r="AI7">
            <v>10000</v>
          </cell>
        </row>
      </sheetData>
      <sheetData sheetId="9549">
        <row r="7">
          <cell r="AI7">
            <v>10000</v>
          </cell>
        </row>
      </sheetData>
      <sheetData sheetId="9550">
        <row r="7">
          <cell r="AI7">
            <v>10000</v>
          </cell>
        </row>
      </sheetData>
      <sheetData sheetId="9551">
        <row r="7">
          <cell r="AI7">
            <v>10000</v>
          </cell>
        </row>
      </sheetData>
      <sheetData sheetId="9552">
        <row r="7">
          <cell r="AI7">
            <v>10000</v>
          </cell>
        </row>
      </sheetData>
      <sheetData sheetId="9553">
        <row r="7">
          <cell r="AI7">
            <v>10000</v>
          </cell>
        </row>
      </sheetData>
      <sheetData sheetId="9554">
        <row r="7">
          <cell r="AI7">
            <v>10000</v>
          </cell>
        </row>
      </sheetData>
      <sheetData sheetId="9555">
        <row r="7">
          <cell r="AI7">
            <v>10000</v>
          </cell>
        </row>
      </sheetData>
      <sheetData sheetId="9556">
        <row r="7">
          <cell r="AI7">
            <v>10000</v>
          </cell>
        </row>
      </sheetData>
      <sheetData sheetId="9557">
        <row r="7">
          <cell r="AI7">
            <v>10000</v>
          </cell>
        </row>
      </sheetData>
      <sheetData sheetId="9558">
        <row r="7">
          <cell r="AI7">
            <v>10000</v>
          </cell>
        </row>
      </sheetData>
      <sheetData sheetId="9559">
        <row r="7">
          <cell r="AI7">
            <v>10000</v>
          </cell>
        </row>
      </sheetData>
      <sheetData sheetId="9560">
        <row r="7">
          <cell r="AI7">
            <v>10000</v>
          </cell>
        </row>
      </sheetData>
      <sheetData sheetId="9561">
        <row r="7">
          <cell r="AI7">
            <v>10000</v>
          </cell>
        </row>
      </sheetData>
      <sheetData sheetId="9562">
        <row r="7">
          <cell r="AI7">
            <v>10000</v>
          </cell>
        </row>
      </sheetData>
      <sheetData sheetId="9563">
        <row r="7">
          <cell r="AI7">
            <v>10000</v>
          </cell>
        </row>
      </sheetData>
      <sheetData sheetId="9564">
        <row r="7">
          <cell r="AI7">
            <v>10000</v>
          </cell>
        </row>
      </sheetData>
      <sheetData sheetId="9565">
        <row r="7">
          <cell r="AI7">
            <v>10000</v>
          </cell>
        </row>
      </sheetData>
      <sheetData sheetId="9566">
        <row r="7">
          <cell r="AI7">
            <v>10000</v>
          </cell>
        </row>
      </sheetData>
      <sheetData sheetId="9567">
        <row r="7">
          <cell r="AI7">
            <v>10000</v>
          </cell>
        </row>
      </sheetData>
      <sheetData sheetId="9568">
        <row r="7">
          <cell r="AI7">
            <v>10000</v>
          </cell>
        </row>
      </sheetData>
      <sheetData sheetId="9569">
        <row r="7">
          <cell r="AI7">
            <v>10000</v>
          </cell>
        </row>
      </sheetData>
      <sheetData sheetId="9570">
        <row r="7">
          <cell r="AI7">
            <v>10000</v>
          </cell>
        </row>
      </sheetData>
      <sheetData sheetId="9571">
        <row r="7">
          <cell r="AI7">
            <v>10000</v>
          </cell>
        </row>
      </sheetData>
      <sheetData sheetId="9572">
        <row r="7">
          <cell r="AI7">
            <v>10000</v>
          </cell>
        </row>
      </sheetData>
      <sheetData sheetId="9573">
        <row r="7">
          <cell r="AI7">
            <v>10000</v>
          </cell>
        </row>
      </sheetData>
      <sheetData sheetId="9574">
        <row r="7">
          <cell r="AI7">
            <v>10000</v>
          </cell>
        </row>
      </sheetData>
      <sheetData sheetId="9575">
        <row r="7">
          <cell r="AI7">
            <v>10000</v>
          </cell>
        </row>
      </sheetData>
      <sheetData sheetId="9576">
        <row r="7">
          <cell r="AI7">
            <v>10000</v>
          </cell>
        </row>
      </sheetData>
      <sheetData sheetId="9577">
        <row r="7">
          <cell r="AI7">
            <v>10000</v>
          </cell>
        </row>
      </sheetData>
      <sheetData sheetId="9578">
        <row r="7">
          <cell r="AI7">
            <v>10000</v>
          </cell>
        </row>
      </sheetData>
      <sheetData sheetId="9579">
        <row r="7">
          <cell r="AI7">
            <v>10000</v>
          </cell>
        </row>
      </sheetData>
      <sheetData sheetId="9580">
        <row r="7">
          <cell r="AI7">
            <v>10000</v>
          </cell>
        </row>
      </sheetData>
      <sheetData sheetId="9581">
        <row r="7">
          <cell r="AI7">
            <v>10000</v>
          </cell>
        </row>
      </sheetData>
      <sheetData sheetId="9582">
        <row r="7">
          <cell r="AI7">
            <v>10000</v>
          </cell>
        </row>
      </sheetData>
      <sheetData sheetId="9583">
        <row r="7">
          <cell r="AI7">
            <v>10000</v>
          </cell>
        </row>
      </sheetData>
      <sheetData sheetId="9584">
        <row r="7">
          <cell r="AI7">
            <v>10000</v>
          </cell>
        </row>
      </sheetData>
      <sheetData sheetId="9585">
        <row r="7">
          <cell r="AI7">
            <v>10000</v>
          </cell>
        </row>
      </sheetData>
      <sheetData sheetId="9586">
        <row r="7">
          <cell r="AI7">
            <v>10000</v>
          </cell>
        </row>
      </sheetData>
      <sheetData sheetId="9587">
        <row r="7">
          <cell r="AI7">
            <v>10000</v>
          </cell>
        </row>
      </sheetData>
      <sheetData sheetId="9588">
        <row r="7">
          <cell r="AI7">
            <v>10000</v>
          </cell>
        </row>
      </sheetData>
      <sheetData sheetId="9589">
        <row r="7">
          <cell r="AI7">
            <v>10000</v>
          </cell>
        </row>
      </sheetData>
      <sheetData sheetId="9590">
        <row r="7">
          <cell r="AI7">
            <v>10000</v>
          </cell>
        </row>
      </sheetData>
      <sheetData sheetId="9591">
        <row r="7">
          <cell r="AI7">
            <v>10000</v>
          </cell>
        </row>
      </sheetData>
      <sheetData sheetId="9592">
        <row r="7">
          <cell r="AI7">
            <v>10000</v>
          </cell>
        </row>
      </sheetData>
      <sheetData sheetId="9593">
        <row r="7">
          <cell r="AI7">
            <v>10000</v>
          </cell>
        </row>
      </sheetData>
      <sheetData sheetId="9594">
        <row r="7">
          <cell r="AI7">
            <v>10000</v>
          </cell>
        </row>
      </sheetData>
      <sheetData sheetId="9595">
        <row r="7">
          <cell r="AI7">
            <v>10000</v>
          </cell>
        </row>
      </sheetData>
      <sheetData sheetId="9596">
        <row r="7">
          <cell r="AI7">
            <v>10000</v>
          </cell>
        </row>
      </sheetData>
      <sheetData sheetId="9597">
        <row r="7">
          <cell r="AI7">
            <v>10000</v>
          </cell>
        </row>
      </sheetData>
      <sheetData sheetId="9598">
        <row r="7">
          <cell r="AI7">
            <v>10000</v>
          </cell>
        </row>
      </sheetData>
      <sheetData sheetId="9599">
        <row r="7">
          <cell r="AI7">
            <v>10000</v>
          </cell>
        </row>
      </sheetData>
      <sheetData sheetId="9600">
        <row r="7">
          <cell r="AI7">
            <v>10000</v>
          </cell>
        </row>
      </sheetData>
      <sheetData sheetId="9601">
        <row r="7">
          <cell r="AI7">
            <v>10000</v>
          </cell>
        </row>
      </sheetData>
      <sheetData sheetId="9602">
        <row r="7">
          <cell r="AI7">
            <v>10000</v>
          </cell>
        </row>
      </sheetData>
      <sheetData sheetId="9603">
        <row r="7">
          <cell r="AI7">
            <v>10000</v>
          </cell>
        </row>
      </sheetData>
      <sheetData sheetId="9604">
        <row r="7">
          <cell r="AI7">
            <v>10000</v>
          </cell>
        </row>
      </sheetData>
      <sheetData sheetId="9605">
        <row r="7">
          <cell r="AI7">
            <v>10000</v>
          </cell>
        </row>
      </sheetData>
      <sheetData sheetId="9606">
        <row r="7">
          <cell r="AI7">
            <v>10000</v>
          </cell>
        </row>
      </sheetData>
      <sheetData sheetId="9607">
        <row r="7">
          <cell r="AI7">
            <v>10000</v>
          </cell>
        </row>
      </sheetData>
      <sheetData sheetId="9608">
        <row r="7">
          <cell r="AI7">
            <v>10000</v>
          </cell>
        </row>
      </sheetData>
      <sheetData sheetId="9609">
        <row r="7">
          <cell r="AI7">
            <v>10000</v>
          </cell>
        </row>
      </sheetData>
      <sheetData sheetId="9610">
        <row r="7">
          <cell r="AI7">
            <v>10000</v>
          </cell>
        </row>
      </sheetData>
      <sheetData sheetId="9611">
        <row r="7">
          <cell r="AI7">
            <v>10000</v>
          </cell>
        </row>
      </sheetData>
      <sheetData sheetId="9612">
        <row r="7">
          <cell r="AI7">
            <v>10000</v>
          </cell>
        </row>
      </sheetData>
      <sheetData sheetId="9613">
        <row r="7">
          <cell r="AI7">
            <v>10000</v>
          </cell>
        </row>
      </sheetData>
      <sheetData sheetId="9614">
        <row r="7">
          <cell r="AI7">
            <v>10000</v>
          </cell>
        </row>
      </sheetData>
      <sheetData sheetId="9615">
        <row r="7">
          <cell r="AI7">
            <v>10000</v>
          </cell>
        </row>
      </sheetData>
      <sheetData sheetId="9616">
        <row r="7">
          <cell r="AI7">
            <v>10000</v>
          </cell>
        </row>
      </sheetData>
      <sheetData sheetId="9617">
        <row r="7">
          <cell r="AI7">
            <v>10000</v>
          </cell>
        </row>
      </sheetData>
      <sheetData sheetId="9618">
        <row r="7">
          <cell r="AI7">
            <v>10000</v>
          </cell>
        </row>
      </sheetData>
      <sheetData sheetId="9619">
        <row r="7">
          <cell r="AI7">
            <v>10000</v>
          </cell>
        </row>
      </sheetData>
      <sheetData sheetId="9620">
        <row r="7">
          <cell r="AI7">
            <v>10000</v>
          </cell>
        </row>
      </sheetData>
      <sheetData sheetId="9621">
        <row r="7">
          <cell r="AI7">
            <v>10000</v>
          </cell>
        </row>
      </sheetData>
      <sheetData sheetId="9622">
        <row r="7">
          <cell r="AI7">
            <v>10000</v>
          </cell>
        </row>
      </sheetData>
      <sheetData sheetId="9623">
        <row r="7">
          <cell r="AI7">
            <v>10000</v>
          </cell>
        </row>
      </sheetData>
      <sheetData sheetId="9624">
        <row r="7">
          <cell r="AI7">
            <v>10000</v>
          </cell>
        </row>
      </sheetData>
      <sheetData sheetId="9625">
        <row r="7">
          <cell r="AI7">
            <v>10000</v>
          </cell>
        </row>
      </sheetData>
      <sheetData sheetId="9626">
        <row r="7">
          <cell r="AI7">
            <v>10000</v>
          </cell>
        </row>
      </sheetData>
      <sheetData sheetId="9627">
        <row r="7">
          <cell r="AI7">
            <v>10000</v>
          </cell>
        </row>
      </sheetData>
      <sheetData sheetId="9628">
        <row r="7">
          <cell r="AI7">
            <v>10000</v>
          </cell>
        </row>
      </sheetData>
      <sheetData sheetId="9629">
        <row r="7">
          <cell r="AI7">
            <v>10000</v>
          </cell>
        </row>
      </sheetData>
      <sheetData sheetId="9630">
        <row r="7">
          <cell r="AI7">
            <v>10000</v>
          </cell>
        </row>
      </sheetData>
      <sheetData sheetId="9631">
        <row r="7">
          <cell r="AI7">
            <v>10000</v>
          </cell>
        </row>
      </sheetData>
      <sheetData sheetId="9632">
        <row r="7">
          <cell r="AI7">
            <v>10000</v>
          </cell>
        </row>
      </sheetData>
      <sheetData sheetId="9633">
        <row r="7">
          <cell r="AI7">
            <v>10000</v>
          </cell>
        </row>
      </sheetData>
      <sheetData sheetId="9634">
        <row r="7">
          <cell r="AI7">
            <v>10000</v>
          </cell>
        </row>
      </sheetData>
      <sheetData sheetId="9635">
        <row r="7">
          <cell r="AI7">
            <v>10000</v>
          </cell>
        </row>
      </sheetData>
      <sheetData sheetId="9636">
        <row r="7">
          <cell r="AI7">
            <v>10000</v>
          </cell>
        </row>
      </sheetData>
      <sheetData sheetId="9637">
        <row r="7">
          <cell r="AI7">
            <v>10000</v>
          </cell>
        </row>
      </sheetData>
      <sheetData sheetId="9638">
        <row r="7">
          <cell r="AI7">
            <v>10000</v>
          </cell>
        </row>
      </sheetData>
      <sheetData sheetId="9639">
        <row r="7">
          <cell r="AI7">
            <v>10000</v>
          </cell>
        </row>
      </sheetData>
      <sheetData sheetId="9640">
        <row r="7">
          <cell r="AI7">
            <v>10000</v>
          </cell>
        </row>
      </sheetData>
      <sheetData sheetId="9641">
        <row r="7">
          <cell r="AI7">
            <v>10000</v>
          </cell>
        </row>
      </sheetData>
      <sheetData sheetId="9642">
        <row r="7">
          <cell r="AI7">
            <v>10000</v>
          </cell>
        </row>
      </sheetData>
      <sheetData sheetId="9643">
        <row r="7">
          <cell r="AI7">
            <v>10000</v>
          </cell>
        </row>
      </sheetData>
      <sheetData sheetId="9644">
        <row r="7">
          <cell r="AI7">
            <v>10000</v>
          </cell>
        </row>
      </sheetData>
      <sheetData sheetId="9645">
        <row r="7">
          <cell r="AI7">
            <v>10000</v>
          </cell>
        </row>
      </sheetData>
      <sheetData sheetId="9646">
        <row r="7">
          <cell r="AI7">
            <v>10000</v>
          </cell>
        </row>
      </sheetData>
      <sheetData sheetId="9647">
        <row r="7">
          <cell r="AI7">
            <v>10000</v>
          </cell>
        </row>
      </sheetData>
      <sheetData sheetId="9648">
        <row r="7">
          <cell r="AI7">
            <v>10000</v>
          </cell>
        </row>
      </sheetData>
      <sheetData sheetId="9649">
        <row r="7">
          <cell r="AI7">
            <v>10000</v>
          </cell>
        </row>
      </sheetData>
      <sheetData sheetId="9650">
        <row r="7">
          <cell r="AI7">
            <v>10000</v>
          </cell>
        </row>
      </sheetData>
      <sheetData sheetId="9651">
        <row r="7">
          <cell r="AI7">
            <v>10000</v>
          </cell>
        </row>
      </sheetData>
      <sheetData sheetId="9652">
        <row r="7">
          <cell r="AI7">
            <v>10000</v>
          </cell>
        </row>
      </sheetData>
      <sheetData sheetId="9653">
        <row r="7">
          <cell r="AI7">
            <v>10000</v>
          </cell>
        </row>
      </sheetData>
      <sheetData sheetId="9654">
        <row r="7">
          <cell r="AI7">
            <v>10000</v>
          </cell>
        </row>
      </sheetData>
      <sheetData sheetId="9655">
        <row r="7">
          <cell r="AI7">
            <v>10000</v>
          </cell>
        </row>
      </sheetData>
      <sheetData sheetId="9656">
        <row r="7">
          <cell r="AI7">
            <v>10000</v>
          </cell>
        </row>
      </sheetData>
      <sheetData sheetId="9657">
        <row r="7">
          <cell r="AI7">
            <v>10000</v>
          </cell>
        </row>
      </sheetData>
      <sheetData sheetId="9658">
        <row r="7">
          <cell r="AI7">
            <v>10000</v>
          </cell>
        </row>
      </sheetData>
      <sheetData sheetId="9659">
        <row r="7">
          <cell r="AI7">
            <v>10000</v>
          </cell>
        </row>
      </sheetData>
      <sheetData sheetId="9660">
        <row r="7">
          <cell r="AI7">
            <v>10000</v>
          </cell>
        </row>
      </sheetData>
      <sheetData sheetId="9661">
        <row r="7">
          <cell r="AI7">
            <v>10000</v>
          </cell>
        </row>
      </sheetData>
      <sheetData sheetId="9662">
        <row r="7">
          <cell r="AI7">
            <v>10000</v>
          </cell>
        </row>
      </sheetData>
      <sheetData sheetId="9663">
        <row r="7">
          <cell r="AI7">
            <v>10000</v>
          </cell>
        </row>
      </sheetData>
      <sheetData sheetId="9664">
        <row r="7">
          <cell r="AI7">
            <v>10000</v>
          </cell>
        </row>
      </sheetData>
      <sheetData sheetId="9665">
        <row r="7">
          <cell r="AI7">
            <v>10000</v>
          </cell>
        </row>
      </sheetData>
      <sheetData sheetId="9666">
        <row r="7">
          <cell r="AI7">
            <v>10000</v>
          </cell>
        </row>
      </sheetData>
      <sheetData sheetId="9667">
        <row r="7">
          <cell r="AI7">
            <v>10000</v>
          </cell>
        </row>
      </sheetData>
      <sheetData sheetId="9668">
        <row r="7">
          <cell r="AI7">
            <v>10000</v>
          </cell>
        </row>
      </sheetData>
      <sheetData sheetId="9669">
        <row r="7">
          <cell r="AI7">
            <v>10000</v>
          </cell>
        </row>
      </sheetData>
      <sheetData sheetId="9670">
        <row r="7">
          <cell r="AI7">
            <v>10000</v>
          </cell>
        </row>
      </sheetData>
      <sheetData sheetId="9671">
        <row r="7">
          <cell r="AI7">
            <v>10000</v>
          </cell>
        </row>
      </sheetData>
      <sheetData sheetId="9672">
        <row r="7">
          <cell r="AI7">
            <v>10000</v>
          </cell>
        </row>
      </sheetData>
      <sheetData sheetId="9673">
        <row r="7">
          <cell r="AI7">
            <v>10000</v>
          </cell>
        </row>
      </sheetData>
      <sheetData sheetId="9674">
        <row r="7">
          <cell r="AI7">
            <v>10000</v>
          </cell>
        </row>
      </sheetData>
      <sheetData sheetId="9675">
        <row r="7">
          <cell r="AI7">
            <v>10000</v>
          </cell>
        </row>
      </sheetData>
      <sheetData sheetId="9676">
        <row r="7">
          <cell r="AI7">
            <v>10000</v>
          </cell>
        </row>
      </sheetData>
      <sheetData sheetId="9677">
        <row r="7">
          <cell r="AI7">
            <v>10000</v>
          </cell>
        </row>
      </sheetData>
      <sheetData sheetId="9678">
        <row r="7">
          <cell r="AI7">
            <v>10000</v>
          </cell>
        </row>
      </sheetData>
      <sheetData sheetId="9679">
        <row r="7">
          <cell r="AI7">
            <v>10000</v>
          </cell>
        </row>
      </sheetData>
      <sheetData sheetId="9680">
        <row r="7">
          <cell r="AI7">
            <v>10000</v>
          </cell>
        </row>
      </sheetData>
      <sheetData sheetId="9681">
        <row r="7">
          <cell r="AI7">
            <v>10000</v>
          </cell>
        </row>
      </sheetData>
      <sheetData sheetId="9682">
        <row r="7">
          <cell r="AI7">
            <v>10000</v>
          </cell>
        </row>
      </sheetData>
      <sheetData sheetId="9683">
        <row r="7">
          <cell r="AI7">
            <v>10000</v>
          </cell>
        </row>
      </sheetData>
      <sheetData sheetId="9684">
        <row r="7">
          <cell r="AI7">
            <v>10000</v>
          </cell>
        </row>
      </sheetData>
      <sheetData sheetId="9685">
        <row r="7">
          <cell r="AI7">
            <v>10000</v>
          </cell>
        </row>
      </sheetData>
      <sheetData sheetId="9686">
        <row r="7">
          <cell r="AI7">
            <v>10000</v>
          </cell>
        </row>
      </sheetData>
      <sheetData sheetId="9687">
        <row r="7">
          <cell r="AI7">
            <v>10000</v>
          </cell>
        </row>
      </sheetData>
      <sheetData sheetId="9688">
        <row r="7">
          <cell r="AI7">
            <v>10000</v>
          </cell>
        </row>
      </sheetData>
      <sheetData sheetId="9689">
        <row r="7">
          <cell r="AI7">
            <v>10000</v>
          </cell>
        </row>
      </sheetData>
      <sheetData sheetId="9690">
        <row r="7">
          <cell r="AI7">
            <v>10000</v>
          </cell>
        </row>
      </sheetData>
      <sheetData sheetId="9691">
        <row r="7">
          <cell r="AI7">
            <v>10000</v>
          </cell>
        </row>
      </sheetData>
      <sheetData sheetId="9692">
        <row r="7">
          <cell r="AI7">
            <v>10000</v>
          </cell>
        </row>
      </sheetData>
      <sheetData sheetId="9693">
        <row r="7">
          <cell r="AI7">
            <v>10000</v>
          </cell>
        </row>
      </sheetData>
      <sheetData sheetId="9694">
        <row r="7">
          <cell r="AI7">
            <v>10000</v>
          </cell>
        </row>
      </sheetData>
      <sheetData sheetId="9695">
        <row r="7">
          <cell r="AI7">
            <v>10000</v>
          </cell>
        </row>
      </sheetData>
      <sheetData sheetId="9696">
        <row r="7">
          <cell r="AI7">
            <v>10000</v>
          </cell>
        </row>
      </sheetData>
      <sheetData sheetId="9697">
        <row r="7">
          <cell r="AI7">
            <v>10000</v>
          </cell>
        </row>
      </sheetData>
      <sheetData sheetId="9698">
        <row r="7">
          <cell r="AI7">
            <v>10000</v>
          </cell>
        </row>
      </sheetData>
      <sheetData sheetId="9699">
        <row r="7">
          <cell r="AI7">
            <v>10000</v>
          </cell>
        </row>
      </sheetData>
      <sheetData sheetId="9700">
        <row r="7">
          <cell r="AI7">
            <v>10000</v>
          </cell>
        </row>
      </sheetData>
      <sheetData sheetId="9701">
        <row r="7">
          <cell r="AI7">
            <v>10000</v>
          </cell>
        </row>
      </sheetData>
      <sheetData sheetId="9702">
        <row r="7">
          <cell r="AI7">
            <v>10000</v>
          </cell>
        </row>
      </sheetData>
      <sheetData sheetId="9703">
        <row r="7">
          <cell r="AI7">
            <v>10000</v>
          </cell>
        </row>
      </sheetData>
      <sheetData sheetId="9704">
        <row r="7">
          <cell r="AI7">
            <v>10000</v>
          </cell>
        </row>
      </sheetData>
      <sheetData sheetId="9705">
        <row r="7">
          <cell r="AI7">
            <v>10000</v>
          </cell>
        </row>
      </sheetData>
      <sheetData sheetId="9706">
        <row r="7">
          <cell r="AI7">
            <v>10000</v>
          </cell>
        </row>
      </sheetData>
      <sheetData sheetId="9707">
        <row r="7">
          <cell r="AI7">
            <v>10000</v>
          </cell>
        </row>
      </sheetData>
      <sheetData sheetId="9708">
        <row r="7">
          <cell r="AI7">
            <v>10000</v>
          </cell>
        </row>
      </sheetData>
      <sheetData sheetId="9709">
        <row r="7">
          <cell r="AI7">
            <v>10000</v>
          </cell>
        </row>
      </sheetData>
      <sheetData sheetId="9710">
        <row r="7">
          <cell r="AI7">
            <v>10000</v>
          </cell>
        </row>
      </sheetData>
      <sheetData sheetId="9711">
        <row r="7">
          <cell r="AI7">
            <v>10000</v>
          </cell>
        </row>
      </sheetData>
      <sheetData sheetId="9712">
        <row r="7">
          <cell r="AI7">
            <v>10000</v>
          </cell>
        </row>
      </sheetData>
      <sheetData sheetId="9713">
        <row r="7">
          <cell r="AI7">
            <v>10000</v>
          </cell>
        </row>
      </sheetData>
      <sheetData sheetId="9714">
        <row r="7">
          <cell r="AI7">
            <v>10000</v>
          </cell>
        </row>
      </sheetData>
      <sheetData sheetId="9715">
        <row r="7">
          <cell r="AI7">
            <v>10000</v>
          </cell>
        </row>
      </sheetData>
      <sheetData sheetId="9716">
        <row r="7">
          <cell r="AI7">
            <v>10000</v>
          </cell>
        </row>
      </sheetData>
      <sheetData sheetId="9717">
        <row r="7">
          <cell r="AI7">
            <v>10000</v>
          </cell>
        </row>
      </sheetData>
      <sheetData sheetId="9718">
        <row r="7">
          <cell r="AI7">
            <v>10000</v>
          </cell>
        </row>
      </sheetData>
      <sheetData sheetId="9719">
        <row r="7">
          <cell r="AI7">
            <v>10000</v>
          </cell>
        </row>
      </sheetData>
      <sheetData sheetId="9720">
        <row r="7">
          <cell r="AI7">
            <v>10000</v>
          </cell>
        </row>
      </sheetData>
      <sheetData sheetId="9721">
        <row r="7">
          <cell r="AI7">
            <v>10000</v>
          </cell>
        </row>
      </sheetData>
      <sheetData sheetId="9722">
        <row r="7">
          <cell r="AI7">
            <v>10000</v>
          </cell>
        </row>
      </sheetData>
      <sheetData sheetId="9723">
        <row r="7">
          <cell r="AI7">
            <v>10000</v>
          </cell>
        </row>
      </sheetData>
      <sheetData sheetId="9724">
        <row r="7">
          <cell r="AI7">
            <v>10000</v>
          </cell>
        </row>
      </sheetData>
      <sheetData sheetId="9725">
        <row r="7">
          <cell r="AI7">
            <v>10000</v>
          </cell>
        </row>
      </sheetData>
      <sheetData sheetId="9726">
        <row r="7">
          <cell r="AI7">
            <v>10000</v>
          </cell>
        </row>
      </sheetData>
      <sheetData sheetId="9727">
        <row r="7">
          <cell r="AI7">
            <v>10000</v>
          </cell>
        </row>
      </sheetData>
      <sheetData sheetId="9728">
        <row r="7">
          <cell r="AI7">
            <v>10000</v>
          </cell>
        </row>
      </sheetData>
      <sheetData sheetId="9729">
        <row r="7">
          <cell r="AI7">
            <v>10000</v>
          </cell>
        </row>
      </sheetData>
      <sheetData sheetId="9730">
        <row r="7">
          <cell r="AI7">
            <v>10000</v>
          </cell>
        </row>
      </sheetData>
      <sheetData sheetId="9731">
        <row r="7">
          <cell r="AI7">
            <v>10000</v>
          </cell>
        </row>
      </sheetData>
      <sheetData sheetId="9732">
        <row r="7">
          <cell r="AI7">
            <v>10000</v>
          </cell>
        </row>
      </sheetData>
      <sheetData sheetId="9733">
        <row r="7">
          <cell r="AI7">
            <v>10000</v>
          </cell>
        </row>
      </sheetData>
      <sheetData sheetId="9734">
        <row r="7">
          <cell r="AI7">
            <v>10000</v>
          </cell>
        </row>
      </sheetData>
      <sheetData sheetId="9735">
        <row r="7">
          <cell r="AI7">
            <v>10000</v>
          </cell>
        </row>
      </sheetData>
      <sheetData sheetId="9736">
        <row r="7">
          <cell r="AI7">
            <v>10000</v>
          </cell>
        </row>
      </sheetData>
      <sheetData sheetId="9737">
        <row r="7">
          <cell r="AI7">
            <v>10000</v>
          </cell>
        </row>
      </sheetData>
      <sheetData sheetId="9738">
        <row r="7">
          <cell r="AI7">
            <v>10000</v>
          </cell>
        </row>
      </sheetData>
      <sheetData sheetId="9739">
        <row r="7">
          <cell r="AI7">
            <v>10000</v>
          </cell>
        </row>
      </sheetData>
      <sheetData sheetId="9740">
        <row r="7">
          <cell r="AI7">
            <v>10000</v>
          </cell>
        </row>
      </sheetData>
      <sheetData sheetId="9741">
        <row r="7">
          <cell r="AI7">
            <v>10000</v>
          </cell>
        </row>
      </sheetData>
      <sheetData sheetId="9742">
        <row r="7">
          <cell r="AI7">
            <v>10000</v>
          </cell>
        </row>
      </sheetData>
      <sheetData sheetId="9743">
        <row r="7">
          <cell r="AI7">
            <v>10000</v>
          </cell>
        </row>
      </sheetData>
      <sheetData sheetId="9744">
        <row r="7">
          <cell r="AI7">
            <v>10000</v>
          </cell>
        </row>
      </sheetData>
      <sheetData sheetId="9745">
        <row r="7">
          <cell r="AI7">
            <v>10000</v>
          </cell>
        </row>
      </sheetData>
      <sheetData sheetId="9746">
        <row r="7">
          <cell r="AI7">
            <v>10000</v>
          </cell>
        </row>
      </sheetData>
      <sheetData sheetId="9747">
        <row r="7">
          <cell r="AI7">
            <v>10000</v>
          </cell>
        </row>
      </sheetData>
      <sheetData sheetId="9748">
        <row r="7">
          <cell r="AI7">
            <v>10000</v>
          </cell>
        </row>
      </sheetData>
      <sheetData sheetId="9749">
        <row r="7">
          <cell r="AI7">
            <v>10000</v>
          </cell>
        </row>
      </sheetData>
      <sheetData sheetId="9750">
        <row r="7">
          <cell r="AI7">
            <v>10000</v>
          </cell>
        </row>
      </sheetData>
      <sheetData sheetId="9751">
        <row r="7">
          <cell r="AI7">
            <v>10000</v>
          </cell>
        </row>
      </sheetData>
      <sheetData sheetId="9752">
        <row r="7">
          <cell r="AI7">
            <v>10000</v>
          </cell>
        </row>
      </sheetData>
      <sheetData sheetId="9753">
        <row r="7">
          <cell r="AI7">
            <v>10000</v>
          </cell>
        </row>
      </sheetData>
      <sheetData sheetId="9754">
        <row r="7">
          <cell r="AI7">
            <v>10000</v>
          </cell>
        </row>
      </sheetData>
      <sheetData sheetId="9755">
        <row r="7">
          <cell r="AI7">
            <v>10000</v>
          </cell>
        </row>
      </sheetData>
      <sheetData sheetId="9756">
        <row r="7">
          <cell r="AI7">
            <v>10000</v>
          </cell>
        </row>
      </sheetData>
      <sheetData sheetId="9757">
        <row r="7">
          <cell r="AI7">
            <v>10000</v>
          </cell>
        </row>
      </sheetData>
      <sheetData sheetId="9758">
        <row r="7">
          <cell r="AI7">
            <v>10000</v>
          </cell>
        </row>
      </sheetData>
      <sheetData sheetId="9759">
        <row r="7">
          <cell r="AI7">
            <v>10000</v>
          </cell>
        </row>
      </sheetData>
      <sheetData sheetId="9760">
        <row r="7">
          <cell r="AI7">
            <v>10000</v>
          </cell>
        </row>
      </sheetData>
      <sheetData sheetId="9761">
        <row r="7">
          <cell r="AI7">
            <v>10000</v>
          </cell>
        </row>
      </sheetData>
      <sheetData sheetId="9762">
        <row r="7">
          <cell r="AI7">
            <v>10000</v>
          </cell>
        </row>
      </sheetData>
      <sheetData sheetId="9763">
        <row r="7">
          <cell r="AI7">
            <v>10000</v>
          </cell>
        </row>
      </sheetData>
      <sheetData sheetId="9764">
        <row r="7">
          <cell r="AI7">
            <v>10000</v>
          </cell>
        </row>
      </sheetData>
      <sheetData sheetId="9765">
        <row r="7">
          <cell r="AI7">
            <v>10000</v>
          </cell>
        </row>
      </sheetData>
      <sheetData sheetId="9766">
        <row r="7">
          <cell r="AI7">
            <v>10000</v>
          </cell>
        </row>
      </sheetData>
      <sheetData sheetId="9767">
        <row r="7">
          <cell r="AI7">
            <v>10000</v>
          </cell>
        </row>
      </sheetData>
      <sheetData sheetId="9768">
        <row r="7">
          <cell r="AI7">
            <v>10000</v>
          </cell>
        </row>
      </sheetData>
      <sheetData sheetId="9769">
        <row r="7">
          <cell r="AI7">
            <v>10000</v>
          </cell>
        </row>
      </sheetData>
      <sheetData sheetId="9770">
        <row r="7">
          <cell r="AI7">
            <v>10000</v>
          </cell>
        </row>
      </sheetData>
      <sheetData sheetId="9771">
        <row r="7">
          <cell r="AI7">
            <v>10000</v>
          </cell>
        </row>
      </sheetData>
      <sheetData sheetId="9772">
        <row r="7">
          <cell r="AI7">
            <v>10000</v>
          </cell>
        </row>
      </sheetData>
      <sheetData sheetId="9773">
        <row r="7">
          <cell r="AI7">
            <v>10000</v>
          </cell>
        </row>
      </sheetData>
      <sheetData sheetId="9774">
        <row r="7">
          <cell r="AI7">
            <v>10000</v>
          </cell>
        </row>
      </sheetData>
      <sheetData sheetId="9775">
        <row r="7">
          <cell r="AI7">
            <v>10000</v>
          </cell>
        </row>
      </sheetData>
      <sheetData sheetId="9776">
        <row r="7">
          <cell r="AI7">
            <v>10000</v>
          </cell>
        </row>
      </sheetData>
      <sheetData sheetId="9777">
        <row r="7">
          <cell r="AI7">
            <v>10000</v>
          </cell>
        </row>
      </sheetData>
      <sheetData sheetId="9778">
        <row r="7">
          <cell r="AI7">
            <v>10000</v>
          </cell>
        </row>
      </sheetData>
      <sheetData sheetId="9779">
        <row r="7">
          <cell r="AI7">
            <v>10000</v>
          </cell>
        </row>
      </sheetData>
      <sheetData sheetId="9780">
        <row r="7">
          <cell r="AI7">
            <v>10000</v>
          </cell>
        </row>
      </sheetData>
      <sheetData sheetId="9781">
        <row r="7">
          <cell r="AI7">
            <v>10000</v>
          </cell>
        </row>
      </sheetData>
      <sheetData sheetId="9782">
        <row r="7">
          <cell r="AI7">
            <v>10000</v>
          </cell>
        </row>
      </sheetData>
      <sheetData sheetId="9783">
        <row r="7">
          <cell r="AI7">
            <v>10000</v>
          </cell>
        </row>
      </sheetData>
      <sheetData sheetId="9784">
        <row r="7">
          <cell r="AI7">
            <v>10000</v>
          </cell>
        </row>
      </sheetData>
      <sheetData sheetId="9785">
        <row r="7">
          <cell r="AI7">
            <v>10000</v>
          </cell>
        </row>
      </sheetData>
      <sheetData sheetId="9786">
        <row r="7">
          <cell r="AI7">
            <v>10000</v>
          </cell>
        </row>
      </sheetData>
      <sheetData sheetId="9787">
        <row r="7">
          <cell r="AI7">
            <v>10000</v>
          </cell>
        </row>
      </sheetData>
      <sheetData sheetId="9788">
        <row r="7">
          <cell r="AI7">
            <v>10000</v>
          </cell>
        </row>
      </sheetData>
      <sheetData sheetId="9789">
        <row r="7">
          <cell r="AI7">
            <v>10000</v>
          </cell>
        </row>
      </sheetData>
      <sheetData sheetId="9790">
        <row r="7">
          <cell r="AI7">
            <v>10000</v>
          </cell>
        </row>
      </sheetData>
      <sheetData sheetId="9791">
        <row r="7">
          <cell r="AI7">
            <v>10000</v>
          </cell>
        </row>
      </sheetData>
      <sheetData sheetId="9792">
        <row r="7">
          <cell r="AI7">
            <v>10000</v>
          </cell>
        </row>
      </sheetData>
      <sheetData sheetId="9793">
        <row r="7">
          <cell r="AI7">
            <v>10000</v>
          </cell>
        </row>
      </sheetData>
      <sheetData sheetId="9794">
        <row r="7">
          <cell r="AI7">
            <v>10000</v>
          </cell>
        </row>
      </sheetData>
      <sheetData sheetId="9795">
        <row r="7">
          <cell r="AI7">
            <v>10000</v>
          </cell>
        </row>
      </sheetData>
      <sheetData sheetId="9796">
        <row r="7">
          <cell r="AI7">
            <v>10000</v>
          </cell>
        </row>
      </sheetData>
      <sheetData sheetId="9797">
        <row r="7">
          <cell r="AI7">
            <v>10000</v>
          </cell>
        </row>
      </sheetData>
      <sheetData sheetId="9798">
        <row r="7">
          <cell r="AI7">
            <v>10000</v>
          </cell>
        </row>
      </sheetData>
      <sheetData sheetId="9799">
        <row r="7">
          <cell r="AI7">
            <v>10000</v>
          </cell>
        </row>
      </sheetData>
      <sheetData sheetId="9800">
        <row r="7">
          <cell r="AI7">
            <v>10000</v>
          </cell>
        </row>
      </sheetData>
      <sheetData sheetId="9801">
        <row r="7">
          <cell r="AI7">
            <v>10000</v>
          </cell>
        </row>
      </sheetData>
      <sheetData sheetId="9802">
        <row r="7">
          <cell r="AI7">
            <v>10000</v>
          </cell>
        </row>
      </sheetData>
      <sheetData sheetId="9803">
        <row r="7">
          <cell r="AI7">
            <v>10000</v>
          </cell>
        </row>
      </sheetData>
      <sheetData sheetId="9804">
        <row r="7">
          <cell r="AI7">
            <v>10000</v>
          </cell>
        </row>
      </sheetData>
      <sheetData sheetId="9805">
        <row r="7">
          <cell r="AI7">
            <v>10000</v>
          </cell>
        </row>
      </sheetData>
      <sheetData sheetId="9806">
        <row r="7">
          <cell r="AI7">
            <v>10000</v>
          </cell>
        </row>
      </sheetData>
      <sheetData sheetId="9807">
        <row r="7">
          <cell r="AI7">
            <v>10000</v>
          </cell>
        </row>
      </sheetData>
      <sheetData sheetId="9808">
        <row r="7">
          <cell r="AI7">
            <v>10000</v>
          </cell>
        </row>
      </sheetData>
      <sheetData sheetId="9809">
        <row r="7">
          <cell r="AI7">
            <v>10000</v>
          </cell>
        </row>
      </sheetData>
      <sheetData sheetId="9810">
        <row r="7">
          <cell r="AI7">
            <v>10000</v>
          </cell>
        </row>
      </sheetData>
      <sheetData sheetId="9811">
        <row r="7">
          <cell r="AI7">
            <v>10000</v>
          </cell>
        </row>
      </sheetData>
      <sheetData sheetId="9812">
        <row r="7">
          <cell r="AI7">
            <v>10000</v>
          </cell>
        </row>
      </sheetData>
      <sheetData sheetId="9813">
        <row r="7">
          <cell r="AI7">
            <v>10000</v>
          </cell>
        </row>
      </sheetData>
      <sheetData sheetId="9814">
        <row r="7">
          <cell r="AI7">
            <v>10000</v>
          </cell>
        </row>
      </sheetData>
      <sheetData sheetId="9815">
        <row r="7">
          <cell r="AI7">
            <v>10000</v>
          </cell>
        </row>
      </sheetData>
      <sheetData sheetId="9816">
        <row r="7">
          <cell r="AI7">
            <v>10000</v>
          </cell>
        </row>
      </sheetData>
      <sheetData sheetId="9817">
        <row r="7">
          <cell r="AI7">
            <v>10000</v>
          </cell>
        </row>
      </sheetData>
      <sheetData sheetId="9818">
        <row r="7">
          <cell r="AI7">
            <v>10000</v>
          </cell>
        </row>
      </sheetData>
      <sheetData sheetId="9819">
        <row r="7">
          <cell r="AI7">
            <v>10000</v>
          </cell>
        </row>
      </sheetData>
      <sheetData sheetId="9820">
        <row r="7">
          <cell r="AI7">
            <v>10000</v>
          </cell>
        </row>
      </sheetData>
      <sheetData sheetId="9821">
        <row r="7">
          <cell r="AI7">
            <v>10000</v>
          </cell>
        </row>
      </sheetData>
      <sheetData sheetId="9822">
        <row r="7">
          <cell r="AI7">
            <v>10000</v>
          </cell>
        </row>
      </sheetData>
      <sheetData sheetId="9823">
        <row r="7">
          <cell r="AI7">
            <v>10000</v>
          </cell>
        </row>
      </sheetData>
      <sheetData sheetId="9824">
        <row r="7">
          <cell r="AI7">
            <v>10000</v>
          </cell>
        </row>
      </sheetData>
      <sheetData sheetId="9825">
        <row r="7">
          <cell r="AI7">
            <v>10000</v>
          </cell>
        </row>
      </sheetData>
      <sheetData sheetId="9826">
        <row r="7">
          <cell r="AI7">
            <v>10000</v>
          </cell>
        </row>
      </sheetData>
      <sheetData sheetId="9827">
        <row r="7">
          <cell r="AI7">
            <v>10000</v>
          </cell>
        </row>
      </sheetData>
      <sheetData sheetId="9828">
        <row r="7">
          <cell r="AI7">
            <v>10000</v>
          </cell>
        </row>
      </sheetData>
      <sheetData sheetId="9829">
        <row r="7">
          <cell r="AI7">
            <v>10000</v>
          </cell>
        </row>
      </sheetData>
      <sheetData sheetId="9830">
        <row r="7">
          <cell r="AI7">
            <v>10000</v>
          </cell>
        </row>
      </sheetData>
      <sheetData sheetId="9831">
        <row r="7">
          <cell r="AI7">
            <v>10000</v>
          </cell>
        </row>
      </sheetData>
      <sheetData sheetId="9832">
        <row r="7">
          <cell r="AI7">
            <v>10000</v>
          </cell>
        </row>
      </sheetData>
      <sheetData sheetId="9833">
        <row r="7">
          <cell r="AI7">
            <v>10000</v>
          </cell>
        </row>
      </sheetData>
      <sheetData sheetId="9834">
        <row r="7">
          <cell r="AI7">
            <v>10000</v>
          </cell>
        </row>
      </sheetData>
      <sheetData sheetId="9835">
        <row r="7">
          <cell r="AI7">
            <v>10000</v>
          </cell>
        </row>
      </sheetData>
      <sheetData sheetId="9836">
        <row r="7">
          <cell r="AI7">
            <v>10000</v>
          </cell>
        </row>
      </sheetData>
      <sheetData sheetId="9837">
        <row r="7">
          <cell r="AI7">
            <v>10000</v>
          </cell>
        </row>
      </sheetData>
      <sheetData sheetId="9838">
        <row r="7">
          <cell r="AI7">
            <v>10000</v>
          </cell>
        </row>
      </sheetData>
      <sheetData sheetId="9839">
        <row r="7">
          <cell r="AI7">
            <v>10000</v>
          </cell>
        </row>
      </sheetData>
      <sheetData sheetId="9840">
        <row r="7">
          <cell r="AI7">
            <v>10000</v>
          </cell>
        </row>
      </sheetData>
      <sheetData sheetId="9841">
        <row r="7">
          <cell r="AI7">
            <v>10000</v>
          </cell>
        </row>
      </sheetData>
      <sheetData sheetId="9842">
        <row r="7">
          <cell r="AI7">
            <v>10000</v>
          </cell>
        </row>
      </sheetData>
      <sheetData sheetId="9843">
        <row r="7">
          <cell r="AI7">
            <v>10000</v>
          </cell>
        </row>
      </sheetData>
      <sheetData sheetId="9844">
        <row r="7">
          <cell r="AI7">
            <v>10000</v>
          </cell>
        </row>
      </sheetData>
      <sheetData sheetId="9845">
        <row r="7">
          <cell r="AI7">
            <v>10000</v>
          </cell>
        </row>
      </sheetData>
      <sheetData sheetId="9846">
        <row r="7">
          <cell r="AI7">
            <v>10000</v>
          </cell>
        </row>
      </sheetData>
      <sheetData sheetId="9847">
        <row r="7">
          <cell r="AI7">
            <v>10000</v>
          </cell>
        </row>
      </sheetData>
      <sheetData sheetId="9848">
        <row r="7">
          <cell r="AI7">
            <v>10000</v>
          </cell>
        </row>
      </sheetData>
      <sheetData sheetId="9849">
        <row r="7">
          <cell r="AI7">
            <v>10000</v>
          </cell>
        </row>
      </sheetData>
      <sheetData sheetId="9850">
        <row r="7">
          <cell r="AI7">
            <v>10000</v>
          </cell>
        </row>
      </sheetData>
      <sheetData sheetId="9851">
        <row r="7">
          <cell r="AI7">
            <v>10000</v>
          </cell>
        </row>
      </sheetData>
      <sheetData sheetId="9852">
        <row r="7">
          <cell r="AI7">
            <v>10000</v>
          </cell>
        </row>
      </sheetData>
      <sheetData sheetId="9853">
        <row r="7">
          <cell r="AI7">
            <v>10000</v>
          </cell>
        </row>
      </sheetData>
      <sheetData sheetId="9854">
        <row r="7">
          <cell r="AI7">
            <v>10000</v>
          </cell>
        </row>
      </sheetData>
      <sheetData sheetId="9855">
        <row r="7">
          <cell r="AI7">
            <v>10000</v>
          </cell>
        </row>
      </sheetData>
      <sheetData sheetId="9856">
        <row r="7">
          <cell r="AI7">
            <v>10000</v>
          </cell>
        </row>
      </sheetData>
      <sheetData sheetId="9857">
        <row r="7">
          <cell r="AI7">
            <v>10000</v>
          </cell>
        </row>
      </sheetData>
      <sheetData sheetId="9858">
        <row r="7">
          <cell r="AI7">
            <v>10000</v>
          </cell>
        </row>
      </sheetData>
      <sheetData sheetId="9859">
        <row r="7">
          <cell r="AI7">
            <v>10000</v>
          </cell>
        </row>
      </sheetData>
      <sheetData sheetId="9860">
        <row r="7">
          <cell r="AI7">
            <v>10000</v>
          </cell>
        </row>
      </sheetData>
      <sheetData sheetId="9861">
        <row r="7">
          <cell r="AI7">
            <v>10000</v>
          </cell>
        </row>
      </sheetData>
      <sheetData sheetId="9862">
        <row r="7">
          <cell r="AI7">
            <v>10000</v>
          </cell>
        </row>
      </sheetData>
      <sheetData sheetId="9863">
        <row r="7">
          <cell r="AI7">
            <v>10000</v>
          </cell>
        </row>
      </sheetData>
      <sheetData sheetId="9864">
        <row r="7">
          <cell r="AI7">
            <v>10000</v>
          </cell>
        </row>
      </sheetData>
      <sheetData sheetId="9865">
        <row r="7">
          <cell r="AI7">
            <v>10000</v>
          </cell>
        </row>
      </sheetData>
      <sheetData sheetId="9866">
        <row r="7">
          <cell r="AI7">
            <v>10000</v>
          </cell>
        </row>
      </sheetData>
      <sheetData sheetId="9867">
        <row r="7">
          <cell r="AI7">
            <v>10000</v>
          </cell>
        </row>
      </sheetData>
      <sheetData sheetId="9868">
        <row r="7">
          <cell r="AI7">
            <v>10000</v>
          </cell>
        </row>
      </sheetData>
      <sheetData sheetId="9869">
        <row r="7">
          <cell r="AI7">
            <v>10000</v>
          </cell>
        </row>
      </sheetData>
      <sheetData sheetId="9870">
        <row r="7">
          <cell r="AI7">
            <v>10000</v>
          </cell>
        </row>
      </sheetData>
      <sheetData sheetId="9871">
        <row r="7">
          <cell r="AI7">
            <v>10000</v>
          </cell>
        </row>
      </sheetData>
      <sheetData sheetId="9872">
        <row r="7">
          <cell r="AI7">
            <v>10000</v>
          </cell>
        </row>
      </sheetData>
      <sheetData sheetId="9873">
        <row r="7">
          <cell r="AI7">
            <v>10000</v>
          </cell>
        </row>
      </sheetData>
      <sheetData sheetId="9874">
        <row r="7">
          <cell r="AI7">
            <v>10000</v>
          </cell>
        </row>
      </sheetData>
      <sheetData sheetId="9875">
        <row r="7">
          <cell r="AI7">
            <v>10000</v>
          </cell>
        </row>
      </sheetData>
      <sheetData sheetId="9876">
        <row r="7">
          <cell r="AI7">
            <v>10000</v>
          </cell>
        </row>
      </sheetData>
      <sheetData sheetId="9877">
        <row r="7">
          <cell r="AI7">
            <v>10000</v>
          </cell>
        </row>
      </sheetData>
      <sheetData sheetId="9878">
        <row r="7">
          <cell r="AI7">
            <v>10000</v>
          </cell>
        </row>
      </sheetData>
      <sheetData sheetId="9879">
        <row r="7">
          <cell r="AI7">
            <v>10000</v>
          </cell>
        </row>
      </sheetData>
      <sheetData sheetId="9880">
        <row r="7">
          <cell r="AI7">
            <v>10000</v>
          </cell>
        </row>
      </sheetData>
      <sheetData sheetId="9881">
        <row r="7">
          <cell r="AI7">
            <v>10000</v>
          </cell>
        </row>
      </sheetData>
      <sheetData sheetId="9882">
        <row r="7">
          <cell r="AI7">
            <v>10000</v>
          </cell>
        </row>
      </sheetData>
      <sheetData sheetId="9883">
        <row r="7">
          <cell r="AI7">
            <v>10000</v>
          </cell>
        </row>
      </sheetData>
      <sheetData sheetId="9884">
        <row r="7">
          <cell r="AI7">
            <v>10000</v>
          </cell>
        </row>
      </sheetData>
      <sheetData sheetId="9885">
        <row r="7">
          <cell r="AI7">
            <v>10000</v>
          </cell>
        </row>
      </sheetData>
      <sheetData sheetId="9886">
        <row r="7">
          <cell r="AI7">
            <v>10000</v>
          </cell>
        </row>
      </sheetData>
      <sheetData sheetId="9887">
        <row r="7">
          <cell r="AI7">
            <v>10000</v>
          </cell>
        </row>
      </sheetData>
      <sheetData sheetId="9888">
        <row r="7">
          <cell r="AI7">
            <v>10000</v>
          </cell>
        </row>
      </sheetData>
      <sheetData sheetId="9889">
        <row r="7">
          <cell r="AI7">
            <v>10000</v>
          </cell>
        </row>
      </sheetData>
      <sheetData sheetId="9890">
        <row r="7">
          <cell r="AI7">
            <v>10000</v>
          </cell>
        </row>
      </sheetData>
      <sheetData sheetId="9891">
        <row r="7">
          <cell r="AI7">
            <v>10000</v>
          </cell>
        </row>
      </sheetData>
      <sheetData sheetId="9892">
        <row r="7">
          <cell r="AI7">
            <v>10000</v>
          </cell>
        </row>
      </sheetData>
      <sheetData sheetId="9893">
        <row r="7">
          <cell r="AI7">
            <v>10000</v>
          </cell>
        </row>
      </sheetData>
      <sheetData sheetId="9894">
        <row r="7">
          <cell r="AI7">
            <v>10000</v>
          </cell>
        </row>
      </sheetData>
      <sheetData sheetId="9895">
        <row r="7">
          <cell r="AI7">
            <v>10000</v>
          </cell>
        </row>
      </sheetData>
      <sheetData sheetId="9896">
        <row r="7">
          <cell r="AI7">
            <v>10000</v>
          </cell>
        </row>
      </sheetData>
      <sheetData sheetId="9897">
        <row r="7">
          <cell r="AI7">
            <v>10000</v>
          </cell>
        </row>
      </sheetData>
      <sheetData sheetId="9898">
        <row r="7">
          <cell r="AI7">
            <v>10000</v>
          </cell>
        </row>
      </sheetData>
      <sheetData sheetId="9899">
        <row r="7">
          <cell r="AI7">
            <v>10000</v>
          </cell>
        </row>
      </sheetData>
      <sheetData sheetId="9900">
        <row r="7">
          <cell r="AI7">
            <v>10000</v>
          </cell>
        </row>
      </sheetData>
      <sheetData sheetId="9901">
        <row r="7">
          <cell r="AI7">
            <v>10000</v>
          </cell>
        </row>
      </sheetData>
      <sheetData sheetId="9902">
        <row r="7">
          <cell r="AI7">
            <v>10000</v>
          </cell>
        </row>
      </sheetData>
      <sheetData sheetId="9903">
        <row r="7">
          <cell r="AI7">
            <v>10000</v>
          </cell>
        </row>
      </sheetData>
      <sheetData sheetId="9904">
        <row r="7">
          <cell r="AI7">
            <v>10000</v>
          </cell>
        </row>
      </sheetData>
      <sheetData sheetId="9905">
        <row r="7">
          <cell r="AI7">
            <v>10000</v>
          </cell>
        </row>
      </sheetData>
      <sheetData sheetId="9906">
        <row r="7">
          <cell r="AI7">
            <v>10000</v>
          </cell>
        </row>
      </sheetData>
      <sheetData sheetId="9907">
        <row r="7">
          <cell r="AI7">
            <v>10000</v>
          </cell>
        </row>
      </sheetData>
      <sheetData sheetId="9908">
        <row r="7">
          <cell r="AI7">
            <v>10000</v>
          </cell>
        </row>
      </sheetData>
      <sheetData sheetId="9909">
        <row r="7">
          <cell r="AI7">
            <v>10000</v>
          </cell>
        </row>
      </sheetData>
      <sheetData sheetId="9910">
        <row r="7">
          <cell r="AI7">
            <v>10000</v>
          </cell>
        </row>
      </sheetData>
      <sheetData sheetId="9911">
        <row r="7">
          <cell r="AI7">
            <v>10000</v>
          </cell>
        </row>
      </sheetData>
      <sheetData sheetId="9912">
        <row r="7">
          <cell r="AI7">
            <v>10000</v>
          </cell>
        </row>
      </sheetData>
      <sheetData sheetId="9913">
        <row r="7">
          <cell r="AI7">
            <v>10000</v>
          </cell>
        </row>
      </sheetData>
      <sheetData sheetId="9914">
        <row r="7">
          <cell r="AI7">
            <v>10000</v>
          </cell>
        </row>
      </sheetData>
      <sheetData sheetId="9915">
        <row r="7">
          <cell r="AI7">
            <v>10000</v>
          </cell>
        </row>
      </sheetData>
      <sheetData sheetId="9916">
        <row r="7">
          <cell r="AI7">
            <v>10000</v>
          </cell>
        </row>
      </sheetData>
      <sheetData sheetId="9917">
        <row r="7">
          <cell r="AI7">
            <v>10000</v>
          </cell>
        </row>
      </sheetData>
      <sheetData sheetId="9918">
        <row r="7">
          <cell r="AI7">
            <v>10000</v>
          </cell>
        </row>
      </sheetData>
      <sheetData sheetId="9919">
        <row r="7">
          <cell r="AI7">
            <v>10000</v>
          </cell>
        </row>
      </sheetData>
      <sheetData sheetId="9920">
        <row r="7">
          <cell r="AI7">
            <v>10000</v>
          </cell>
        </row>
      </sheetData>
      <sheetData sheetId="9921">
        <row r="7">
          <cell r="AI7">
            <v>10000</v>
          </cell>
        </row>
      </sheetData>
      <sheetData sheetId="9922">
        <row r="7">
          <cell r="AI7">
            <v>10000</v>
          </cell>
        </row>
      </sheetData>
      <sheetData sheetId="9923">
        <row r="7">
          <cell r="AI7">
            <v>10000</v>
          </cell>
        </row>
      </sheetData>
      <sheetData sheetId="9924">
        <row r="7">
          <cell r="AI7">
            <v>10000</v>
          </cell>
        </row>
      </sheetData>
      <sheetData sheetId="9925">
        <row r="7">
          <cell r="AI7">
            <v>10000</v>
          </cell>
        </row>
      </sheetData>
      <sheetData sheetId="9926">
        <row r="7">
          <cell r="AI7">
            <v>10000</v>
          </cell>
        </row>
      </sheetData>
      <sheetData sheetId="9927">
        <row r="7">
          <cell r="AI7">
            <v>10000</v>
          </cell>
        </row>
      </sheetData>
      <sheetData sheetId="9928">
        <row r="7">
          <cell r="AI7">
            <v>10000</v>
          </cell>
        </row>
      </sheetData>
      <sheetData sheetId="9929">
        <row r="7">
          <cell r="AI7">
            <v>10000</v>
          </cell>
        </row>
      </sheetData>
      <sheetData sheetId="9930">
        <row r="7">
          <cell r="AI7">
            <v>10000</v>
          </cell>
        </row>
      </sheetData>
      <sheetData sheetId="9931">
        <row r="7">
          <cell r="AI7">
            <v>10000</v>
          </cell>
        </row>
      </sheetData>
      <sheetData sheetId="9932">
        <row r="7">
          <cell r="AI7">
            <v>10000</v>
          </cell>
        </row>
      </sheetData>
      <sheetData sheetId="9933">
        <row r="7">
          <cell r="AI7">
            <v>10000</v>
          </cell>
        </row>
      </sheetData>
      <sheetData sheetId="9934">
        <row r="7">
          <cell r="AI7">
            <v>10000</v>
          </cell>
        </row>
      </sheetData>
      <sheetData sheetId="9935">
        <row r="7">
          <cell r="AI7">
            <v>10000</v>
          </cell>
        </row>
      </sheetData>
      <sheetData sheetId="9936">
        <row r="7">
          <cell r="AI7">
            <v>10000</v>
          </cell>
        </row>
      </sheetData>
      <sheetData sheetId="9937">
        <row r="7">
          <cell r="AI7">
            <v>10000</v>
          </cell>
        </row>
      </sheetData>
      <sheetData sheetId="9938">
        <row r="7">
          <cell r="AI7">
            <v>10000</v>
          </cell>
        </row>
      </sheetData>
      <sheetData sheetId="9939">
        <row r="7">
          <cell r="AI7">
            <v>10000</v>
          </cell>
        </row>
      </sheetData>
      <sheetData sheetId="9940">
        <row r="7">
          <cell r="AI7">
            <v>10000</v>
          </cell>
        </row>
      </sheetData>
      <sheetData sheetId="9941">
        <row r="7">
          <cell r="AI7">
            <v>10000</v>
          </cell>
        </row>
      </sheetData>
      <sheetData sheetId="9942">
        <row r="7">
          <cell r="AI7">
            <v>10000</v>
          </cell>
        </row>
      </sheetData>
      <sheetData sheetId="9943">
        <row r="7">
          <cell r="AI7">
            <v>10000</v>
          </cell>
        </row>
      </sheetData>
      <sheetData sheetId="9944">
        <row r="7">
          <cell r="AI7">
            <v>10000</v>
          </cell>
        </row>
      </sheetData>
      <sheetData sheetId="9945">
        <row r="7">
          <cell r="AI7">
            <v>10000</v>
          </cell>
        </row>
      </sheetData>
      <sheetData sheetId="9946">
        <row r="7">
          <cell r="AI7">
            <v>10000</v>
          </cell>
        </row>
      </sheetData>
      <sheetData sheetId="9947">
        <row r="7">
          <cell r="AI7">
            <v>10000</v>
          </cell>
        </row>
      </sheetData>
      <sheetData sheetId="9948">
        <row r="7">
          <cell r="AI7">
            <v>10000</v>
          </cell>
        </row>
      </sheetData>
      <sheetData sheetId="9949">
        <row r="7">
          <cell r="AI7">
            <v>10000</v>
          </cell>
        </row>
      </sheetData>
      <sheetData sheetId="9950">
        <row r="7">
          <cell r="AI7">
            <v>10000</v>
          </cell>
        </row>
      </sheetData>
      <sheetData sheetId="9951">
        <row r="7">
          <cell r="AI7">
            <v>10000</v>
          </cell>
        </row>
      </sheetData>
      <sheetData sheetId="9952">
        <row r="7">
          <cell r="AI7">
            <v>10000</v>
          </cell>
        </row>
      </sheetData>
      <sheetData sheetId="9953">
        <row r="7">
          <cell r="AI7">
            <v>10000</v>
          </cell>
        </row>
      </sheetData>
      <sheetData sheetId="9954">
        <row r="7">
          <cell r="AI7">
            <v>10000</v>
          </cell>
        </row>
      </sheetData>
      <sheetData sheetId="9955">
        <row r="7">
          <cell r="AI7">
            <v>10000</v>
          </cell>
        </row>
      </sheetData>
      <sheetData sheetId="9956">
        <row r="7">
          <cell r="AI7">
            <v>10000</v>
          </cell>
        </row>
      </sheetData>
      <sheetData sheetId="9957">
        <row r="7">
          <cell r="AI7">
            <v>10000</v>
          </cell>
        </row>
      </sheetData>
      <sheetData sheetId="9958">
        <row r="7">
          <cell r="AI7">
            <v>10000</v>
          </cell>
        </row>
      </sheetData>
      <sheetData sheetId="9959">
        <row r="7">
          <cell r="AI7">
            <v>10000</v>
          </cell>
        </row>
      </sheetData>
      <sheetData sheetId="9960">
        <row r="7">
          <cell r="AI7">
            <v>10000</v>
          </cell>
        </row>
      </sheetData>
      <sheetData sheetId="9961">
        <row r="7">
          <cell r="AI7">
            <v>10000</v>
          </cell>
        </row>
      </sheetData>
      <sheetData sheetId="9962">
        <row r="7">
          <cell r="AI7">
            <v>10000</v>
          </cell>
        </row>
      </sheetData>
      <sheetData sheetId="9963">
        <row r="7">
          <cell r="AI7">
            <v>10000</v>
          </cell>
        </row>
      </sheetData>
      <sheetData sheetId="9964">
        <row r="7">
          <cell r="AI7">
            <v>10000</v>
          </cell>
        </row>
      </sheetData>
      <sheetData sheetId="9965">
        <row r="7">
          <cell r="AI7">
            <v>10000</v>
          </cell>
        </row>
      </sheetData>
      <sheetData sheetId="9966">
        <row r="7">
          <cell r="AI7">
            <v>10000</v>
          </cell>
        </row>
      </sheetData>
      <sheetData sheetId="9967">
        <row r="7">
          <cell r="AI7">
            <v>10000</v>
          </cell>
        </row>
      </sheetData>
      <sheetData sheetId="9968">
        <row r="7">
          <cell r="AI7">
            <v>10000</v>
          </cell>
        </row>
      </sheetData>
      <sheetData sheetId="9969">
        <row r="7">
          <cell r="AI7">
            <v>10000</v>
          </cell>
        </row>
      </sheetData>
      <sheetData sheetId="9970">
        <row r="7">
          <cell r="AI7">
            <v>10000</v>
          </cell>
        </row>
      </sheetData>
      <sheetData sheetId="9971">
        <row r="7">
          <cell r="AI7">
            <v>10000</v>
          </cell>
        </row>
      </sheetData>
      <sheetData sheetId="9972">
        <row r="7">
          <cell r="AI7">
            <v>10000</v>
          </cell>
        </row>
      </sheetData>
      <sheetData sheetId="9973">
        <row r="7">
          <cell r="AI7">
            <v>10000</v>
          </cell>
        </row>
      </sheetData>
      <sheetData sheetId="9974">
        <row r="7">
          <cell r="AI7">
            <v>10000</v>
          </cell>
        </row>
      </sheetData>
      <sheetData sheetId="9975">
        <row r="7">
          <cell r="AI7">
            <v>10000</v>
          </cell>
        </row>
      </sheetData>
      <sheetData sheetId="9976">
        <row r="7">
          <cell r="AI7">
            <v>10000</v>
          </cell>
        </row>
      </sheetData>
      <sheetData sheetId="9977">
        <row r="7">
          <cell r="AI7">
            <v>10000</v>
          </cell>
        </row>
      </sheetData>
      <sheetData sheetId="9978">
        <row r="7">
          <cell r="AI7">
            <v>10000</v>
          </cell>
        </row>
      </sheetData>
      <sheetData sheetId="9979">
        <row r="7">
          <cell r="AI7">
            <v>10000</v>
          </cell>
        </row>
      </sheetData>
      <sheetData sheetId="9980">
        <row r="7">
          <cell r="AI7">
            <v>10000</v>
          </cell>
        </row>
      </sheetData>
      <sheetData sheetId="9981">
        <row r="7">
          <cell r="AI7">
            <v>10000</v>
          </cell>
        </row>
      </sheetData>
      <sheetData sheetId="9982">
        <row r="7">
          <cell r="AI7">
            <v>10000</v>
          </cell>
        </row>
      </sheetData>
      <sheetData sheetId="9983">
        <row r="7">
          <cell r="AI7">
            <v>10000</v>
          </cell>
        </row>
      </sheetData>
      <sheetData sheetId="9984">
        <row r="7">
          <cell r="AI7">
            <v>10000</v>
          </cell>
        </row>
      </sheetData>
      <sheetData sheetId="9985">
        <row r="7">
          <cell r="AI7">
            <v>10000</v>
          </cell>
        </row>
      </sheetData>
      <sheetData sheetId="9986">
        <row r="7">
          <cell r="AI7">
            <v>10000</v>
          </cell>
        </row>
      </sheetData>
      <sheetData sheetId="9987">
        <row r="7">
          <cell r="AI7">
            <v>10000</v>
          </cell>
        </row>
      </sheetData>
      <sheetData sheetId="9988">
        <row r="7">
          <cell r="AI7">
            <v>10000</v>
          </cell>
        </row>
      </sheetData>
      <sheetData sheetId="9989">
        <row r="7">
          <cell r="AI7">
            <v>10000</v>
          </cell>
        </row>
      </sheetData>
      <sheetData sheetId="9990">
        <row r="7">
          <cell r="AI7">
            <v>10000</v>
          </cell>
        </row>
      </sheetData>
      <sheetData sheetId="9991">
        <row r="7">
          <cell r="AI7">
            <v>10000</v>
          </cell>
        </row>
      </sheetData>
      <sheetData sheetId="9992">
        <row r="7">
          <cell r="AI7">
            <v>10000</v>
          </cell>
        </row>
      </sheetData>
      <sheetData sheetId="9993">
        <row r="7">
          <cell r="AI7">
            <v>10000</v>
          </cell>
        </row>
      </sheetData>
      <sheetData sheetId="9994">
        <row r="7">
          <cell r="AI7">
            <v>10000</v>
          </cell>
        </row>
      </sheetData>
      <sheetData sheetId="9995">
        <row r="7">
          <cell r="AI7">
            <v>10000</v>
          </cell>
        </row>
      </sheetData>
      <sheetData sheetId="9996">
        <row r="7">
          <cell r="AI7">
            <v>10000</v>
          </cell>
        </row>
      </sheetData>
      <sheetData sheetId="9997">
        <row r="7">
          <cell r="AI7">
            <v>10000</v>
          </cell>
        </row>
      </sheetData>
      <sheetData sheetId="9998">
        <row r="7">
          <cell r="AI7">
            <v>10000</v>
          </cell>
        </row>
      </sheetData>
      <sheetData sheetId="9999">
        <row r="7">
          <cell r="AI7">
            <v>10000</v>
          </cell>
        </row>
      </sheetData>
      <sheetData sheetId="10000">
        <row r="7">
          <cell r="AI7">
            <v>10000</v>
          </cell>
        </row>
      </sheetData>
      <sheetData sheetId="10001">
        <row r="7">
          <cell r="AI7">
            <v>10000</v>
          </cell>
        </row>
      </sheetData>
      <sheetData sheetId="10002">
        <row r="7">
          <cell r="AI7">
            <v>10000</v>
          </cell>
        </row>
      </sheetData>
      <sheetData sheetId="10003">
        <row r="7">
          <cell r="AI7">
            <v>10000</v>
          </cell>
        </row>
      </sheetData>
      <sheetData sheetId="10004">
        <row r="7">
          <cell r="AI7">
            <v>10000</v>
          </cell>
        </row>
      </sheetData>
      <sheetData sheetId="10005">
        <row r="7">
          <cell r="AI7">
            <v>10000</v>
          </cell>
        </row>
      </sheetData>
      <sheetData sheetId="10006">
        <row r="7">
          <cell r="AI7">
            <v>10000</v>
          </cell>
        </row>
      </sheetData>
      <sheetData sheetId="10007">
        <row r="7">
          <cell r="AI7">
            <v>10000</v>
          </cell>
        </row>
      </sheetData>
      <sheetData sheetId="10008">
        <row r="7">
          <cell r="AI7">
            <v>10000</v>
          </cell>
        </row>
      </sheetData>
      <sheetData sheetId="10009">
        <row r="7">
          <cell r="AI7">
            <v>10000</v>
          </cell>
        </row>
      </sheetData>
      <sheetData sheetId="10010">
        <row r="7">
          <cell r="AI7">
            <v>10000</v>
          </cell>
        </row>
      </sheetData>
      <sheetData sheetId="10011">
        <row r="7">
          <cell r="AI7">
            <v>10000</v>
          </cell>
        </row>
      </sheetData>
      <sheetData sheetId="10012">
        <row r="7">
          <cell r="AI7">
            <v>10000</v>
          </cell>
        </row>
      </sheetData>
      <sheetData sheetId="10013">
        <row r="7">
          <cell r="AI7">
            <v>10000</v>
          </cell>
        </row>
      </sheetData>
      <sheetData sheetId="10014">
        <row r="7">
          <cell r="AI7">
            <v>10000</v>
          </cell>
        </row>
      </sheetData>
      <sheetData sheetId="10015">
        <row r="7">
          <cell r="AI7">
            <v>10000</v>
          </cell>
        </row>
      </sheetData>
      <sheetData sheetId="10016">
        <row r="7">
          <cell r="AI7">
            <v>10000</v>
          </cell>
        </row>
      </sheetData>
      <sheetData sheetId="10017">
        <row r="7">
          <cell r="AI7">
            <v>10000</v>
          </cell>
        </row>
      </sheetData>
      <sheetData sheetId="10018">
        <row r="7">
          <cell r="AI7">
            <v>10000</v>
          </cell>
        </row>
      </sheetData>
      <sheetData sheetId="10019">
        <row r="7">
          <cell r="AI7">
            <v>10000</v>
          </cell>
        </row>
      </sheetData>
      <sheetData sheetId="10020">
        <row r="7">
          <cell r="AI7">
            <v>10000</v>
          </cell>
        </row>
      </sheetData>
      <sheetData sheetId="10021">
        <row r="7">
          <cell r="AI7">
            <v>10000</v>
          </cell>
        </row>
      </sheetData>
      <sheetData sheetId="10022">
        <row r="7">
          <cell r="AI7">
            <v>10000</v>
          </cell>
        </row>
      </sheetData>
      <sheetData sheetId="10023">
        <row r="7">
          <cell r="AI7">
            <v>10000</v>
          </cell>
        </row>
      </sheetData>
      <sheetData sheetId="10024">
        <row r="7">
          <cell r="AI7">
            <v>10000</v>
          </cell>
        </row>
      </sheetData>
      <sheetData sheetId="10025">
        <row r="7">
          <cell r="AI7">
            <v>10000</v>
          </cell>
        </row>
      </sheetData>
      <sheetData sheetId="10026">
        <row r="7">
          <cell r="AI7">
            <v>10000</v>
          </cell>
        </row>
      </sheetData>
      <sheetData sheetId="10027">
        <row r="7">
          <cell r="AI7">
            <v>10000</v>
          </cell>
        </row>
      </sheetData>
      <sheetData sheetId="10028">
        <row r="7">
          <cell r="AI7">
            <v>10000</v>
          </cell>
        </row>
      </sheetData>
      <sheetData sheetId="10029">
        <row r="7">
          <cell r="AI7">
            <v>10000</v>
          </cell>
        </row>
      </sheetData>
      <sheetData sheetId="10030">
        <row r="7">
          <cell r="AI7">
            <v>10000</v>
          </cell>
        </row>
      </sheetData>
      <sheetData sheetId="10031">
        <row r="7">
          <cell r="AI7">
            <v>10000</v>
          </cell>
        </row>
      </sheetData>
      <sheetData sheetId="10032">
        <row r="7">
          <cell r="AI7">
            <v>10000</v>
          </cell>
        </row>
      </sheetData>
      <sheetData sheetId="10033">
        <row r="7">
          <cell r="AI7">
            <v>10000</v>
          </cell>
        </row>
      </sheetData>
      <sheetData sheetId="10034">
        <row r="7">
          <cell r="AI7">
            <v>10000</v>
          </cell>
        </row>
      </sheetData>
      <sheetData sheetId="10035">
        <row r="7">
          <cell r="AI7">
            <v>10000</v>
          </cell>
        </row>
      </sheetData>
      <sheetData sheetId="10036">
        <row r="7">
          <cell r="AI7">
            <v>10000</v>
          </cell>
        </row>
      </sheetData>
      <sheetData sheetId="10037">
        <row r="7">
          <cell r="AI7">
            <v>10000</v>
          </cell>
        </row>
      </sheetData>
      <sheetData sheetId="10038">
        <row r="7">
          <cell r="AI7">
            <v>10000</v>
          </cell>
        </row>
      </sheetData>
      <sheetData sheetId="10039">
        <row r="7">
          <cell r="AI7">
            <v>10000</v>
          </cell>
        </row>
      </sheetData>
      <sheetData sheetId="10040">
        <row r="7">
          <cell r="AI7">
            <v>10000</v>
          </cell>
        </row>
      </sheetData>
      <sheetData sheetId="10041">
        <row r="7">
          <cell r="AI7">
            <v>10000</v>
          </cell>
        </row>
      </sheetData>
      <sheetData sheetId="10042">
        <row r="7">
          <cell r="AI7">
            <v>10000</v>
          </cell>
        </row>
      </sheetData>
      <sheetData sheetId="10043">
        <row r="7">
          <cell r="AI7">
            <v>10000</v>
          </cell>
        </row>
      </sheetData>
      <sheetData sheetId="10044">
        <row r="7">
          <cell r="AI7">
            <v>10000</v>
          </cell>
        </row>
      </sheetData>
      <sheetData sheetId="10045">
        <row r="7">
          <cell r="AI7">
            <v>10000</v>
          </cell>
        </row>
      </sheetData>
      <sheetData sheetId="10046">
        <row r="7">
          <cell r="AI7">
            <v>10000</v>
          </cell>
        </row>
      </sheetData>
      <sheetData sheetId="10047">
        <row r="7">
          <cell r="AI7">
            <v>10000</v>
          </cell>
        </row>
      </sheetData>
      <sheetData sheetId="10048">
        <row r="7">
          <cell r="AI7">
            <v>10000</v>
          </cell>
        </row>
      </sheetData>
      <sheetData sheetId="10049">
        <row r="7">
          <cell r="AI7">
            <v>10000</v>
          </cell>
        </row>
      </sheetData>
      <sheetData sheetId="10050">
        <row r="7">
          <cell r="AI7">
            <v>10000</v>
          </cell>
        </row>
      </sheetData>
      <sheetData sheetId="10051">
        <row r="7">
          <cell r="AI7">
            <v>10000</v>
          </cell>
        </row>
      </sheetData>
      <sheetData sheetId="10052">
        <row r="7">
          <cell r="AI7">
            <v>10000</v>
          </cell>
        </row>
      </sheetData>
      <sheetData sheetId="10053">
        <row r="7">
          <cell r="AI7">
            <v>10000</v>
          </cell>
        </row>
      </sheetData>
      <sheetData sheetId="10054">
        <row r="7">
          <cell r="AI7">
            <v>10000</v>
          </cell>
        </row>
      </sheetData>
      <sheetData sheetId="10055">
        <row r="7">
          <cell r="AI7">
            <v>10000</v>
          </cell>
        </row>
      </sheetData>
      <sheetData sheetId="10056">
        <row r="7">
          <cell r="AI7">
            <v>10000</v>
          </cell>
        </row>
      </sheetData>
      <sheetData sheetId="10057">
        <row r="7">
          <cell r="AI7">
            <v>10000</v>
          </cell>
        </row>
      </sheetData>
      <sheetData sheetId="10058">
        <row r="7">
          <cell r="AI7">
            <v>10000</v>
          </cell>
        </row>
      </sheetData>
      <sheetData sheetId="10059">
        <row r="7">
          <cell r="AI7">
            <v>10000</v>
          </cell>
        </row>
      </sheetData>
      <sheetData sheetId="10060">
        <row r="7">
          <cell r="AI7">
            <v>10000</v>
          </cell>
        </row>
      </sheetData>
      <sheetData sheetId="10061">
        <row r="7">
          <cell r="AI7">
            <v>10000</v>
          </cell>
        </row>
      </sheetData>
      <sheetData sheetId="10062">
        <row r="7">
          <cell r="AI7">
            <v>10000</v>
          </cell>
        </row>
      </sheetData>
      <sheetData sheetId="10063">
        <row r="7">
          <cell r="AI7">
            <v>10000</v>
          </cell>
        </row>
      </sheetData>
      <sheetData sheetId="10064">
        <row r="7">
          <cell r="AI7">
            <v>10000</v>
          </cell>
        </row>
      </sheetData>
      <sheetData sheetId="10065">
        <row r="7">
          <cell r="AI7">
            <v>10000</v>
          </cell>
        </row>
      </sheetData>
      <sheetData sheetId="10066">
        <row r="7">
          <cell r="AI7">
            <v>10000</v>
          </cell>
        </row>
      </sheetData>
      <sheetData sheetId="10067">
        <row r="7">
          <cell r="AI7">
            <v>10000</v>
          </cell>
        </row>
      </sheetData>
      <sheetData sheetId="10068">
        <row r="7">
          <cell r="AI7">
            <v>10000</v>
          </cell>
        </row>
      </sheetData>
      <sheetData sheetId="10069">
        <row r="7">
          <cell r="AI7">
            <v>10000</v>
          </cell>
        </row>
      </sheetData>
      <sheetData sheetId="10070">
        <row r="7">
          <cell r="AI7">
            <v>10000</v>
          </cell>
        </row>
      </sheetData>
      <sheetData sheetId="10071">
        <row r="7">
          <cell r="AI7">
            <v>10000</v>
          </cell>
        </row>
      </sheetData>
      <sheetData sheetId="10072">
        <row r="7">
          <cell r="AI7">
            <v>10000</v>
          </cell>
        </row>
      </sheetData>
      <sheetData sheetId="10073">
        <row r="7">
          <cell r="AI7">
            <v>10000</v>
          </cell>
        </row>
      </sheetData>
      <sheetData sheetId="10074">
        <row r="7">
          <cell r="AI7">
            <v>10000</v>
          </cell>
        </row>
      </sheetData>
      <sheetData sheetId="10075">
        <row r="7">
          <cell r="AI7">
            <v>10000</v>
          </cell>
        </row>
      </sheetData>
      <sheetData sheetId="10076">
        <row r="7">
          <cell r="AI7">
            <v>10000</v>
          </cell>
        </row>
      </sheetData>
      <sheetData sheetId="10077">
        <row r="7">
          <cell r="AI7">
            <v>10000</v>
          </cell>
        </row>
      </sheetData>
      <sheetData sheetId="10078">
        <row r="7">
          <cell r="AI7">
            <v>10000</v>
          </cell>
        </row>
      </sheetData>
      <sheetData sheetId="10079">
        <row r="7">
          <cell r="AI7">
            <v>10000</v>
          </cell>
        </row>
      </sheetData>
      <sheetData sheetId="10080">
        <row r="7">
          <cell r="AI7">
            <v>10000</v>
          </cell>
        </row>
      </sheetData>
      <sheetData sheetId="10081">
        <row r="7">
          <cell r="AI7">
            <v>10000</v>
          </cell>
        </row>
      </sheetData>
      <sheetData sheetId="10082">
        <row r="7">
          <cell r="AI7">
            <v>10000</v>
          </cell>
        </row>
      </sheetData>
      <sheetData sheetId="10083">
        <row r="7">
          <cell r="AI7">
            <v>10000</v>
          </cell>
        </row>
      </sheetData>
      <sheetData sheetId="10084">
        <row r="7">
          <cell r="AI7">
            <v>10000</v>
          </cell>
        </row>
      </sheetData>
      <sheetData sheetId="10085">
        <row r="7">
          <cell r="AI7">
            <v>10000</v>
          </cell>
        </row>
      </sheetData>
      <sheetData sheetId="10086">
        <row r="7">
          <cell r="AI7">
            <v>10000</v>
          </cell>
        </row>
      </sheetData>
      <sheetData sheetId="10087">
        <row r="7">
          <cell r="AI7">
            <v>10000</v>
          </cell>
        </row>
      </sheetData>
      <sheetData sheetId="10088">
        <row r="7">
          <cell r="AI7">
            <v>10000</v>
          </cell>
        </row>
      </sheetData>
      <sheetData sheetId="10089">
        <row r="7">
          <cell r="AI7">
            <v>10000</v>
          </cell>
        </row>
      </sheetData>
      <sheetData sheetId="10090">
        <row r="7">
          <cell r="AI7">
            <v>10000</v>
          </cell>
        </row>
      </sheetData>
      <sheetData sheetId="10091">
        <row r="7">
          <cell r="AI7">
            <v>10000</v>
          </cell>
        </row>
      </sheetData>
      <sheetData sheetId="10092">
        <row r="7">
          <cell r="AI7">
            <v>10000</v>
          </cell>
        </row>
      </sheetData>
      <sheetData sheetId="10093">
        <row r="7">
          <cell r="AI7">
            <v>10000</v>
          </cell>
        </row>
      </sheetData>
      <sheetData sheetId="10094">
        <row r="7">
          <cell r="AI7">
            <v>10000</v>
          </cell>
        </row>
      </sheetData>
      <sheetData sheetId="10095">
        <row r="7">
          <cell r="AI7">
            <v>10000</v>
          </cell>
        </row>
      </sheetData>
      <sheetData sheetId="10096">
        <row r="7">
          <cell r="AI7">
            <v>10000</v>
          </cell>
        </row>
      </sheetData>
      <sheetData sheetId="10097">
        <row r="7">
          <cell r="AI7">
            <v>10000</v>
          </cell>
        </row>
      </sheetData>
      <sheetData sheetId="10098">
        <row r="7">
          <cell r="AI7">
            <v>10000</v>
          </cell>
        </row>
      </sheetData>
      <sheetData sheetId="10099">
        <row r="7">
          <cell r="AI7">
            <v>10000</v>
          </cell>
        </row>
      </sheetData>
      <sheetData sheetId="10100">
        <row r="7">
          <cell r="AI7">
            <v>10000</v>
          </cell>
        </row>
      </sheetData>
      <sheetData sheetId="10101">
        <row r="7">
          <cell r="AI7">
            <v>10000</v>
          </cell>
        </row>
      </sheetData>
      <sheetData sheetId="10102">
        <row r="7">
          <cell r="AI7">
            <v>10000</v>
          </cell>
        </row>
      </sheetData>
      <sheetData sheetId="10103">
        <row r="7">
          <cell r="AI7">
            <v>10000</v>
          </cell>
        </row>
      </sheetData>
      <sheetData sheetId="10104">
        <row r="7">
          <cell r="AI7">
            <v>10000</v>
          </cell>
        </row>
      </sheetData>
      <sheetData sheetId="10105">
        <row r="7">
          <cell r="AI7">
            <v>10000</v>
          </cell>
        </row>
      </sheetData>
      <sheetData sheetId="10106">
        <row r="7">
          <cell r="AI7">
            <v>10000</v>
          </cell>
        </row>
      </sheetData>
      <sheetData sheetId="10107">
        <row r="7">
          <cell r="AI7">
            <v>10000</v>
          </cell>
        </row>
      </sheetData>
      <sheetData sheetId="10108">
        <row r="7">
          <cell r="AI7">
            <v>10000</v>
          </cell>
        </row>
      </sheetData>
      <sheetData sheetId="10109">
        <row r="7">
          <cell r="AI7">
            <v>10000</v>
          </cell>
        </row>
      </sheetData>
      <sheetData sheetId="10110">
        <row r="7">
          <cell r="AI7">
            <v>10000</v>
          </cell>
        </row>
      </sheetData>
      <sheetData sheetId="10111">
        <row r="7">
          <cell r="AI7">
            <v>10000</v>
          </cell>
        </row>
      </sheetData>
      <sheetData sheetId="10112">
        <row r="7">
          <cell r="AI7">
            <v>10000</v>
          </cell>
        </row>
      </sheetData>
      <sheetData sheetId="10113">
        <row r="7">
          <cell r="AI7">
            <v>10000</v>
          </cell>
        </row>
      </sheetData>
      <sheetData sheetId="10114">
        <row r="7">
          <cell r="AI7">
            <v>10000</v>
          </cell>
        </row>
      </sheetData>
      <sheetData sheetId="10115">
        <row r="7">
          <cell r="AI7">
            <v>10000</v>
          </cell>
        </row>
      </sheetData>
      <sheetData sheetId="10116">
        <row r="7">
          <cell r="AI7">
            <v>10000</v>
          </cell>
        </row>
      </sheetData>
      <sheetData sheetId="10117">
        <row r="7">
          <cell r="AI7">
            <v>10000</v>
          </cell>
        </row>
      </sheetData>
      <sheetData sheetId="10118">
        <row r="7">
          <cell r="AI7">
            <v>10000</v>
          </cell>
        </row>
      </sheetData>
      <sheetData sheetId="10119">
        <row r="7">
          <cell r="AI7">
            <v>10000</v>
          </cell>
        </row>
      </sheetData>
      <sheetData sheetId="10120">
        <row r="7">
          <cell r="AI7">
            <v>10000</v>
          </cell>
        </row>
      </sheetData>
      <sheetData sheetId="10121">
        <row r="7">
          <cell r="AI7">
            <v>10000</v>
          </cell>
        </row>
      </sheetData>
      <sheetData sheetId="10122">
        <row r="7">
          <cell r="AI7">
            <v>10000</v>
          </cell>
        </row>
      </sheetData>
      <sheetData sheetId="10123">
        <row r="7">
          <cell r="AI7">
            <v>10000</v>
          </cell>
        </row>
      </sheetData>
      <sheetData sheetId="10124">
        <row r="7">
          <cell r="AI7">
            <v>10000</v>
          </cell>
        </row>
      </sheetData>
      <sheetData sheetId="10125">
        <row r="7">
          <cell r="AI7">
            <v>10000</v>
          </cell>
        </row>
      </sheetData>
      <sheetData sheetId="10126">
        <row r="7">
          <cell r="AI7">
            <v>10000</v>
          </cell>
        </row>
      </sheetData>
      <sheetData sheetId="10127">
        <row r="7">
          <cell r="AI7">
            <v>10000</v>
          </cell>
        </row>
      </sheetData>
      <sheetData sheetId="10128">
        <row r="7">
          <cell r="AI7">
            <v>10000</v>
          </cell>
        </row>
      </sheetData>
      <sheetData sheetId="10129">
        <row r="7">
          <cell r="AI7">
            <v>10000</v>
          </cell>
        </row>
      </sheetData>
      <sheetData sheetId="10130">
        <row r="7">
          <cell r="AI7">
            <v>10000</v>
          </cell>
        </row>
      </sheetData>
      <sheetData sheetId="10131">
        <row r="7">
          <cell r="AI7">
            <v>10000</v>
          </cell>
        </row>
      </sheetData>
      <sheetData sheetId="10132">
        <row r="7">
          <cell r="AI7">
            <v>10000</v>
          </cell>
        </row>
      </sheetData>
      <sheetData sheetId="10133">
        <row r="7">
          <cell r="AI7">
            <v>10000</v>
          </cell>
        </row>
      </sheetData>
      <sheetData sheetId="10134">
        <row r="7">
          <cell r="AI7">
            <v>10000</v>
          </cell>
        </row>
      </sheetData>
      <sheetData sheetId="10135">
        <row r="7">
          <cell r="AI7">
            <v>10000</v>
          </cell>
        </row>
      </sheetData>
      <sheetData sheetId="10136">
        <row r="7">
          <cell r="AI7">
            <v>10000</v>
          </cell>
        </row>
      </sheetData>
      <sheetData sheetId="10137">
        <row r="7">
          <cell r="AI7">
            <v>10000</v>
          </cell>
        </row>
      </sheetData>
      <sheetData sheetId="10138">
        <row r="7">
          <cell r="AI7">
            <v>10000</v>
          </cell>
        </row>
      </sheetData>
      <sheetData sheetId="10139">
        <row r="7">
          <cell r="AI7">
            <v>10000</v>
          </cell>
        </row>
      </sheetData>
      <sheetData sheetId="10140">
        <row r="7">
          <cell r="AI7">
            <v>10000</v>
          </cell>
        </row>
      </sheetData>
      <sheetData sheetId="10141">
        <row r="7">
          <cell r="AI7">
            <v>10000</v>
          </cell>
        </row>
      </sheetData>
      <sheetData sheetId="10142">
        <row r="7">
          <cell r="AI7">
            <v>10000</v>
          </cell>
        </row>
      </sheetData>
      <sheetData sheetId="10143">
        <row r="7">
          <cell r="AI7">
            <v>10000</v>
          </cell>
        </row>
      </sheetData>
      <sheetData sheetId="10144">
        <row r="7">
          <cell r="AI7">
            <v>10000</v>
          </cell>
        </row>
      </sheetData>
      <sheetData sheetId="10145">
        <row r="7">
          <cell r="AI7">
            <v>10000</v>
          </cell>
        </row>
      </sheetData>
      <sheetData sheetId="10146">
        <row r="7">
          <cell r="AI7">
            <v>10000</v>
          </cell>
        </row>
      </sheetData>
      <sheetData sheetId="10147">
        <row r="7">
          <cell r="AI7">
            <v>10000</v>
          </cell>
        </row>
      </sheetData>
      <sheetData sheetId="10148">
        <row r="7">
          <cell r="AI7">
            <v>10000</v>
          </cell>
        </row>
      </sheetData>
      <sheetData sheetId="10149">
        <row r="7">
          <cell r="AI7">
            <v>10000</v>
          </cell>
        </row>
      </sheetData>
      <sheetData sheetId="10150">
        <row r="7">
          <cell r="AI7">
            <v>10000</v>
          </cell>
        </row>
      </sheetData>
      <sheetData sheetId="10151">
        <row r="7">
          <cell r="AI7">
            <v>10000</v>
          </cell>
        </row>
      </sheetData>
      <sheetData sheetId="10152">
        <row r="7">
          <cell r="AI7">
            <v>10000</v>
          </cell>
        </row>
      </sheetData>
      <sheetData sheetId="10153">
        <row r="7">
          <cell r="AI7">
            <v>10000</v>
          </cell>
        </row>
      </sheetData>
      <sheetData sheetId="10154">
        <row r="7">
          <cell r="AI7">
            <v>10000</v>
          </cell>
        </row>
      </sheetData>
      <sheetData sheetId="10155">
        <row r="7">
          <cell r="AI7">
            <v>10000</v>
          </cell>
        </row>
      </sheetData>
      <sheetData sheetId="10156">
        <row r="7">
          <cell r="AI7">
            <v>10000</v>
          </cell>
        </row>
      </sheetData>
      <sheetData sheetId="10157">
        <row r="7">
          <cell r="AI7">
            <v>10000</v>
          </cell>
        </row>
      </sheetData>
      <sheetData sheetId="10158">
        <row r="7">
          <cell r="AI7">
            <v>10000</v>
          </cell>
        </row>
      </sheetData>
      <sheetData sheetId="10159">
        <row r="7">
          <cell r="AI7">
            <v>10000</v>
          </cell>
        </row>
      </sheetData>
      <sheetData sheetId="10160">
        <row r="7">
          <cell r="AI7">
            <v>10000</v>
          </cell>
        </row>
      </sheetData>
      <sheetData sheetId="10161">
        <row r="7">
          <cell r="AI7">
            <v>10000</v>
          </cell>
        </row>
      </sheetData>
      <sheetData sheetId="10162">
        <row r="7">
          <cell r="AI7">
            <v>10000</v>
          </cell>
        </row>
      </sheetData>
      <sheetData sheetId="10163">
        <row r="7">
          <cell r="AI7">
            <v>10000</v>
          </cell>
        </row>
      </sheetData>
      <sheetData sheetId="10164">
        <row r="7">
          <cell r="AI7">
            <v>10000</v>
          </cell>
        </row>
      </sheetData>
      <sheetData sheetId="10165">
        <row r="7">
          <cell r="AI7">
            <v>10000</v>
          </cell>
        </row>
      </sheetData>
      <sheetData sheetId="10166">
        <row r="7">
          <cell r="AI7">
            <v>10000</v>
          </cell>
        </row>
      </sheetData>
      <sheetData sheetId="10167">
        <row r="7">
          <cell r="AI7">
            <v>10000</v>
          </cell>
        </row>
      </sheetData>
      <sheetData sheetId="10168">
        <row r="7">
          <cell r="AI7">
            <v>10000</v>
          </cell>
        </row>
      </sheetData>
      <sheetData sheetId="10169">
        <row r="7">
          <cell r="AI7">
            <v>10000</v>
          </cell>
        </row>
      </sheetData>
      <sheetData sheetId="10170">
        <row r="7">
          <cell r="AI7">
            <v>10000</v>
          </cell>
        </row>
      </sheetData>
      <sheetData sheetId="10171">
        <row r="7">
          <cell r="AI7">
            <v>10000</v>
          </cell>
        </row>
      </sheetData>
      <sheetData sheetId="10172">
        <row r="7">
          <cell r="AI7">
            <v>10000</v>
          </cell>
        </row>
      </sheetData>
      <sheetData sheetId="10173">
        <row r="7">
          <cell r="AI7">
            <v>10000</v>
          </cell>
        </row>
      </sheetData>
      <sheetData sheetId="10174">
        <row r="7">
          <cell r="AI7">
            <v>10000</v>
          </cell>
        </row>
      </sheetData>
      <sheetData sheetId="10175">
        <row r="7">
          <cell r="AI7">
            <v>10000</v>
          </cell>
        </row>
      </sheetData>
      <sheetData sheetId="10176">
        <row r="7">
          <cell r="AI7">
            <v>10000</v>
          </cell>
        </row>
      </sheetData>
      <sheetData sheetId="10177">
        <row r="7">
          <cell r="AI7">
            <v>10000</v>
          </cell>
        </row>
      </sheetData>
      <sheetData sheetId="10178">
        <row r="7">
          <cell r="AI7">
            <v>10000</v>
          </cell>
        </row>
      </sheetData>
      <sheetData sheetId="10179">
        <row r="7">
          <cell r="AI7">
            <v>10000</v>
          </cell>
        </row>
      </sheetData>
      <sheetData sheetId="10180">
        <row r="7">
          <cell r="AI7">
            <v>10000</v>
          </cell>
        </row>
      </sheetData>
      <sheetData sheetId="10181">
        <row r="7">
          <cell r="AI7">
            <v>10000</v>
          </cell>
        </row>
      </sheetData>
      <sheetData sheetId="10182">
        <row r="7">
          <cell r="AI7">
            <v>10000</v>
          </cell>
        </row>
      </sheetData>
      <sheetData sheetId="10183">
        <row r="7">
          <cell r="AI7">
            <v>10000</v>
          </cell>
        </row>
      </sheetData>
      <sheetData sheetId="10184">
        <row r="7">
          <cell r="AI7">
            <v>10000</v>
          </cell>
        </row>
      </sheetData>
      <sheetData sheetId="10185">
        <row r="7">
          <cell r="AI7">
            <v>10000</v>
          </cell>
        </row>
      </sheetData>
      <sheetData sheetId="10186">
        <row r="7">
          <cell r="AI7">
            <v>10000</v>
          </cell>
        </row>
      </sheetData>
      <sheetData sheetId="10187">
        <row r="7">
          <cell r="AI7">
            <v>10000</v>
          </cell>
        </row>
      </sheetData>
      <sheetData sheetId="10188">
        <row r="7">
          <cell r="AI7">
            <v>10000</v>
          </cell>
        </row>
      </sheetData>
      <sheetData sheetId="10189">
        <row r="7">
          <cell r="AI7">
            <v>10000</v>
          </cell>
        </row>
      </sheetData>
      <sheetData sheetId="10190">
        <row r="7">
          <cell r="AI7">
            <v>10000</v>
          </cell>
        </row>
      </sheetData>
      <sheetData sheetId="10191">
        <row r="7">
          <cell r="AI7">
            <v>10000</v>
          </cell>
        </row>
      </sheetData>
      <sheetData sheetId="10192">
        <row r="7">
          <cell r="AI7">
            <v>10000</v>
          </cell>
        </row>
      </sheetData>
      <sheetData sheetId="10193">
        <row r="7">
          <cell r="AI7">
            <v>10000</v>
          </cell>
        </row>
      </sheetData>
      <sheetData sheetId="10194">
        <row r="7">
          <cell r="AI7">
            <v>10000</v>
          </cell>
        </row>
      </sheetData>
      <sheetData sheetId="10195">
        <row r="7">
          <cell r="AI7">
            <v>10000</v>
          </cell>
        </row>
      </sheetData>
      <sheetData sheetId="10196">
        <row r="7">
          <cell r="AI7">
            <v>10000</v>
          </cell>
        </row>
      </sheetData>
      <sheetData sheetId="10197">
        <row r="7">
          <cell r="AI7">
            <v>10000</v>
          </cell>
        </row>
      </sheetData>
      <sheetData sheetId="10198">
        <row r="7">
          <cell r="AI7">
            <v>10000</v>
          </cell>
        </row>
      </sheetData>
      <sheetData sheetId="10199">
        <row r="7">
          <cell r="AI7">
            <v>10000</v>
          </cell>
        </row>
      </sheetData>
      <sheetData sheetId="10200">
        <row r="7">
          <cell r="AI7">
            <v>10000</v>
          </cell>
        </row>
      </sheetData>
      <sheetData sheetId="10201">
        <row r="7">
          <cell r="AI7">
            <v>10000</v>
          </cell>
        </row>
      </sheetData>
      <sheetData sheetId="10202">
        <row r="7">
          <cell r="AI7">
            <v>10000</v>
          </cell>
        </row>
      </sheetData>
      <sheetData sheetId="10203">
        <row r="7">
          <cell r="AI7">
            <v>10000</v>
          </cell>
        </row>
      </sheetData>
      <sheetData sheetId="10204">
        <row r="7">
          <cell r="AI7">
            <v>10000</v>
          </cell>
        </row>
      </sheetData>
      <sheetData sheetId="10205">
        <row r="7">
          <cell r="AI7">
            <v>10000</v>
          </cell>
        </row>
      </sheetData>
      <sheetData sheetId="10206">
        <row r="7">
          <cell r="AI7">
            <v>10000</v>
          </cell>
        </row>
      </sheetData>
      <sheetData sheetId="10207">
        <row r="7">
          <cell r="AI7">
            <v>10000</v>
          </cell>
        </row>
      </sheetData>
      <sheetData sheetId="10208">
        <row r="7">
          <cell r="AI7">
            <v>10000</v>
          </cell>
        </row>
      </sheetData>
      <sheetData sheetId="10209">
        <row r="7">
          <cell r="AI7">
            <v>10000</v>
          </cell>
        </row>
      </sheetData>
      <sheetData sheetId="10210">
        <row r="7">
          <cell r="AI7">
            <v>10000</v>
          </cell>
        </row>
      </sheetData>
      <sheetData sheetId="10211">
        <row r="7">
          <cell r="AI7">
            <v>10000</v>
          </cell>
        </row>
      </sheetData>
      <sheetData sheetId="10212">
        <row r="7">
          <cell r="AI7">
            <v>10000</v>
          </cell>
        </row>
      </sheetData>
      <sheetData sheetId="10213">
        <row r="7">
          <cell r="AI7">
            <v>10000</v>
          </cell>
        </row>
      </sheetData>
      <sheetData sheetId="10214">
        <row r="7">
          <cell r="AI7">
            <v>10000</v>
          </cell>
        </row>
      </sheetData>
      <sheetData sheetId="10215">
        <row r="7">
          <cell r="AI7">
            <v>10000</v>
          </cell>
        </row>
      </sheetData>
      <sheetData sheetId="10216">
        <row r="7">
          <cell r="AI7">
            <v>10000</v>
          </cell>
        </row>
      </sheetData>
      <sheetData sheetId="10217">
        <row r="7">
          <cell r="AI7">
            <v>10000</v>
          </cell>
        </row>
      </sheetData>
      <sheetData sheetId="10218">
        <row r="7">
          <cell r="AI7">
            <v>10000</v>
          </cell>
        </row>
      </sheetData>
      <sheetData sheetId="10219">
        <row r="7">
          <cell r="AI7">
            <v>10000</v>
          </cell>
        </row>
      </sheetData>
      <sheetData sheetId="10220">
        <row r="7">
          <cell r="AI7">
            <v>10000</v>
          </cell>
        </row>
      </sheetData>
      <sheetData sheetId="10221">
        <row r="7">
          <cell r="AI7">
            <v>10000</v>
          </cell>
        </row>
      </sheetData>
      <sheetData sheetId="10222">
        <row r="7">
          <cell r="AI7">
            <v>10000</v>
          </cell>
        </row>
      </sheetData>
      <sheetData sheetId="10223">
        <row r="7">
          <cell r="AI7">
            <v>10000</v>
          </cell>
        </row>
      </sheetData>
      <sheetData sheetId="10224">
        <row r="7">
          <cell r="AI7">
            <v>10000</v>
          </cell>
        </row>
      </sheetData>
      <sheetData sheetId="10225">
        <row r="7">
          <cell r="AI7">
            <v>10000</v>
          </cell>
        </row>
      </sheetData>
      <sheetData sheetId="10226">
        <row r="7">
          <cell r="AI7">
            <v>10000</v>
          </cell>
        </row>
      </sheetData>
      <sheetData sheetId="10227">
        <row r="7">
          <cell r="AI7">
            <v>10000</v>
          </cell>
        </row>
      </sheetData>
      <sheetData sheetId="10228">
        <row r="7">
          <cell r="AI7">
            <v>10000</v>
          </cell>
        </row>
      </sheetData>
      <sheetData sheetId="10229">
        <row r="7">
          <cell r="AI7">
            <v>10000</v>
          </cell>
        </row>
      </sheetData>
      <sheetData sheetId="10230">
        <row r="7">
          <cell r="AI7">
            <v>10000</v>
          </cell>
        </row>
      </sheetData>
      <sheetData sheetId="10231">
        <row r="7">
          <cell r="AI7">
            <v>10000</v>
          </cell>
        </row>
      </sheetData>
      <sheetData sheetId="10232">
        <row r="7">
          <cell r="AI7">
            <v>10000</v>
          </cell>
        </row>
      </sheetData>
      <sheetData sheetId="10233">
        <row r="7">
          <cell r="AI7">
            <v>10000</v>
          </cell>
        </row>
      </sheetData>
      <sheetData sheetId="10234">
        <row r="7">
          <cell r="AI7">
            <v>10000</v>
          </cell>
        </row>
      </sheetData>
      <sheetData sheetId="10235">
        <row r="7">
          <cell r="AI7">
            <v>10000</v>
          </cell>
        </row>
      </sheetData>
      <sheetData sheetId="10236">
        <row r="7">
          <cell r="AI7">
            <v>10000</v>
          </cell>
        </row>
      </sheetData>
      <sheetData sheetId="10237">
        <row r="7">
          <cell r="AI7">
            <v>10000</v>
          </cell>
        </row>
      </sheetData>
      <sheetData sheetId="10238">
        <row r="7">
          <cell r="AI7">
            <v>10000</v>
          </cell>
        </row>
      </sheetData>
      <sheetData sheetId="10239">
        <row r="7">
          <cell r="AI7">
            <v>10000</v>
          </cell>
        </row>
      </sheetData>
      <sheetData sheetId="10240">
        <row r="7">
          <cell r="AI7">
            <v>10000</v>
          </cell>
        </row>
      </sheetData>
      <sheetData sheetId="10241">
        <row r="7">
          <cell r="AI7">
            <v>10000</v>
          </cell>
        </row>
      </sheetData>
      <sheetData sheetId="10242">
        <row r="7">
          <cell r="AI7">
            <v>10000</v>
          </cell>
        </row>
      </sheetData>
      <sheetData sheetId="10243">
        <row r="7">
          <cell r="AI7">
            <v>10000</v>
          </cell>
        </row>
      </sheetData>
      <sheetData sheetId="10244">
        <row r="7">
          <cell r="AI7">
            <v>10000</v>
          </cell>
        </row>
      </sheetData>
      <sheetData sheetId="10245">
        <row r="7">
          <cell r="AI7">
            <v>10000</v>
          </cell>
        </row>
      </sheetData>
      <sheetData sheetId="10246">
        <row r="7">
          <cell r="AI7">
            <v>10000</v>
          </cell>
        </row>
      </sheetData>
      <sheetData sheetId="10247">
        <row r="7">
          <cell r="AI7">
            <v>10000</v>
          </cell>
        </row>
      </sheetData>
      <sheetData sheetId="10248">
        <row r="7">
          <cell r="AI7">
            <v>10000</v>
          </cell>
        </row>
      </sheetData>
      <sheetData sheetId="10249">
        <row r="7">
          <cell r="AI7">
            <v>10000</v>
          </cell>
        </row>
      </sheetData>
      <sheetData sheetId="10250">
        <row r="7">
          <cell r="AI7">
            <v>10000</v>
          </cell>
        </row>
      </sheetData>
      <sheetData sheetId="10251">
        <row r="7">
          <cell r="AI7">
            <v>10000</v>
          </cell>
        </row>
      </sheetData>
      <sheetData sheetId="10252">
        <row r="7">
          <cell r="AI7">
            <v>10000</v>
          </cell>
        </row>
      </sheetData>
      <sheetData sheetId="10253">
        <row r="7">
          <cell r="AI7">
            <v>10000</v>
          </cell>
        </row>
      </sheetData>
      <sheetData sheetId="10254">
        <row r="7">
          <cell r="AI7">
            <v>10000</v>
          </cell>
        </row>
      </sheetData>
      <sheetData sheetId="10255">
        <row r="7">
          <cell r="AI7">
            <v>10000</v>
          </cell>
        </row>
      </sheetData>
      <sheetData sheetId="10256">
        <row r="7">
          <cell r="AI7">
            <v>10000</v>
          </cell>
        </row>
      </sheetData>
      <sheetData sheetId="10257">
        <row r="7">
          <cell r="AI7">
            <v>10000</v>
          </cell>
        </row>
      </sheetData>
      <sheetData sheetId="10258">
        <row r="7">
          <cell r="AI7">
            <v>10000</v>
          </cell>
        </row>
      </sheetData>
      <sheetData sheetId="10259">
        <row r="7">
          <cell r="AI7">
            <v>10000</v>
          </cell>
        </row>
      </sheetData>
      <sheetData sheetId="10260">
        <row r="7">
          <cell r="AI7">
            <v>10000</v>
          </cell>
        </row>
      </sheetData>
      <sheetData sheetId="10261">
        <row r="7">
          <cell r="AI7">
            <v>10000</v>
          </cell>
        </row>
      </sheetData>
      <sheetData sheetId="10262">
        <row r="7">
          <cell r="AI7">
            <v>10000</v>
          </cell>
        </row>
      </sheetData>
      <sheetData sheetId="10263">
        <row r="7">
          <cell r="AI7">
            <v>10000</v>
          </cell>
        </row>
      </sheetData>
      <sheetData sheetId="10264">
        <row r="7">
          <cell r="AI7">
            <v>10000</v>
          </cell>
        </row>
      </sheetData>
      <sheetData sheetId="10265">
        <row r="7">
          <cell r="AI7">
            <v>10000</v>
          </cell>
        </row>
      </sheetData>
      <sheetData sheetId="10266">
        <row r="7">
          <cell r="AI7">
            <v>10000</v>
          </cell>
        </row>
      </sheetData>
      <sheetData sheetId="10267">
        <row r="7">
          <cell r="AI7">
            <v>10000</v>
          </cell>
        </row>
      </sheetData>
      <sheetData sheetId="10268">
        <row r="7">
          <cell r="AI7">
            <v>10000</v>
          </cell>
        </row>
      </sheetData>
      <sheetData sheetId="10269">
        <row r="7">
          <cell r="AI7">
            <v>10000</v>
          </cell>
        </row>
      </sheetData>
      <sheetData sheetId="10270">
        <row r="7">
          <cell r="AI7">
            <v>10000</v>
          </cell>
        </row>
      </sheetData>
      <sheetData sheetId="10271">
        <row r="7">
          <cell r="AI7">
            <v>10000</v>
          </cell>
        </row>
      </sheetData>
      <sheetData sheetId="10272">
        <row r="7">
          <cell r="AI7">
            <v>10000</v>
          </cell>
        </row>
      </sheetData>
      <sheetData sheetId="10273">
        <row r="7">
          <cell r="AI7">
            <v>10000</v>
          </cell>
        </row>
      </sheetData>
      <sheetData sheetId="10274">
        <row r="7">
          <cell r="AI7">
            <v>10000</v>
          </cell>
        </row>
      </sheetData>
      <sheetData sheetId="10275">
        <row r="7">
          <cell r="AI7">
            <v>10000</v>
          </cell>
        </row>
      </sheetData>
      <sheetData sheetId="10276">
        <row r="7">
          <cell r="AI7">
            <v>10000</v>
          </cell>
        </row>
      </sheetData>
      <sheetData sheetId="10277">
        <row r="7">
          <cell r="AI7">
            <v>10000</v>
          </cell>
        </row>
      </sheetData>
      <sheetData sheetId="10278">
        <row r="7">
          <cell r="AI7">
            <v>10000</v>
          </cell>
        </row>
      </sheetData>
      <sheetData sheetId="10279">
        <row r="7">
          <cell r="AI7">
            <v>10000</v>
          </cell>
        </row>
      </sheetData>
      <sheetData sheetId="10280">
        <row r="7">
          <cell r="AI7">
            <v>10000</v>
          </cell>
        </row>
      </sheetData>
      <sheetData sheetId="10281">
        <row r="7">
          <cell r="AI7">
            <v>10000</v>
          </cell>
        </row>
      </sheetData>
      <sheetData sheetId="10282">
        <row r="7">
          <cell r="AI7">
            <v>10000</v>
          </cell>
        </row>
      </sheetData>
      <sheetData sheetId="10283">
        <row r="7">
          <cell r="AI7">
            <v>10000</v>
          </cell>
        </row>
      </sheetData>
      <sheetData sheetId="10284">
        <row r="7">
          <cell r="AI7">
            <v>10000</v>
          </cell>
        </row>
      </sheetData>
      <sheetData sheetId="10285">
        <row r="7">
          <cell r="AI7">
            <v>10000</v>
          </cell>
        </row>
      </sheetData>
      <sheetData sheetId="10286">
        <row r="7">
          <cell r="AI7">
            <v>10000</v>
          </cell>
        </row>
      </sheetData>
      <sheetData sheetId="10287">
        <row r="7">
          <cell r="AI7">
            <v>10000</v>
          </cell>
        </row>
      </sheetData>
      <sheetData sheetId="10288">
        <row r="7">
          <cell r="AI7">
            <v>10000</v>
          </cell>
        </row>
      </sheetData>
      <sheetData sheetId="10289">
        <row r="7">
          <cell r="AI7">
            <v>10000</v>
          </cell>
        </row>
      </sheetData>
      <sheetData sheetId="10290">
        <row r="7">
          <cell r="AI7">
            <v>10000</v>
          </cell>
        </row>
      </sheetData>
      <sheetData sheetId="10291">
        <row r="7">
          <cell r="AI7">
            <v>10000</v>
          </cell>
        </row>
      </sheetData>
      <sheetData sheetId="10292">
        <row r="7">
          <cell r="AI7">
            <v>10000</v>
          </cell>
        </row>
      </sheetData>
      <sheetData sheetId="10293">
        <row r="7">
          <cell r="AI7">
            <v>10000</v>
          </cell>
        </row>
      </sheetData>
      <sheetData sheetId="10294">
        <row r="7">
          <cell r="AI7">
            <v>10000</v>
          </cell>
        </row>
      </sheetData>
      <sheetData sheetId="10295">
        <row r="7">
          <cell r="AI7">
            <v>10000</v>
          </cell>
        </row>
      </sheetData>
      <sheetData sheetId="10296">
        <row r="7">
          <cell r="AI7">
            <v>10000</v>
          </cell>
        </row>
      </sheetData>
      <sheetData sheetId="10297">
        <row r="7">
          <cell r="AI7">
            <v>10000</v>
          </cell>
        </row>
      </sheetData>
      <sheetData sheetId="10298">
        <row r="7">
          <cell r="AI7">
            <v>10000</v>
          </cell>
        </row>
      </sheetData>
      <sheetData sheetId="10299">
        <row r="7">
          <cell r="AI7">
            <v>10000</v>
          </cell>
        </row>
      </sheetData>
      <sheetData sheetId="10300">
        <row r="7">
          <cell r="AI7">
            <v>10000</v>
          </cell>
        </row>
      </sheetData>
      <sheetData sheetId="10301">
        <row r="7">
          <cell r="AI7">
            <v>10000</v>
          </cell>
        </row>
      </sheetData>
      <sheetData sheetId="10302">
        <row r="7">
          <cell r="AI7">
            <v>10000</v>
          </cell>
        </row>
      </sheetData>
      <sheetData sheetId="10303">
        <row r="7">
          <cell r="AI7">
            <v>10000</v>
          </cell>
        </row>
      </sheetData>
      <sheetData sheetId="10304">
        <row r="7">
          <cell r="AI7">
            <v>10000</v>
          </cell>
        </row>
      </sheetData>
      <sheetData sheetId="10305">
        <row r="7">
          <cell r="AI7">
            <v>10000</v>
          </cell>
        </row>
      </sheetData>
      <sheetData sheetId="10306">
        <row r="7">
          <cell r="AI7">
            <v>10000</v>
          </cell>
        </row>
      </sheetData>
      <sheetData sheetId="10307">
        <row r="7">
          <cell r="AI7">
            <v>10000</v>
          </cell>
        </row>
      </sheetData>
      <sheetData sheetId="10308">
        <row r="7">
          <cell r="AI7">
            <v>10000</v>
          </cell>
        </row>
      </sheetData>
      <sheetData sheetId="10309">
        <row r="7">
          <cell r="AI7">
            <v>10000</v>
          </cell>
        </row>
      </sheetData>
      <sheetData sheetId="10310">
        <row r="7">
          <cell r="AI7">
            <v>10000</v>
          </cell>
        </row>
      </sheetData>
      <sheetData sheetId="10311">
        <row r="7">
          <cell r="AI7">
            <v>10000</v>
          </cell>
        </row>
      </sheetData>
      <sheetData sheetId="10312">
        <row r="7">
          <cell r="AI7">
            <v>10000</v>
          </cell>
        </row>
      </sheetData>
      <sheetData sheetId="10313">
        <row r="7">
          <cell r="AI7">
            <v>10000</v>
          </cell>
        </row>
      </sheetData>
      <sheetData sheetId="10314">
        <row r="7">
          <cell r="AI7">
            <v>10000</v>
          </cell>
        </row>
      </sheetData>
      <sheetData sheetId="10315">
        <row r="7">
          <cell r="AI7">
            <v>10000</v>
          </cell>
        </row>
      </sheetData>
      <sheetData sheetId="10316">
        <row r="7">
          <cell r="AI7">
            <v>10000</v>
          </cell>
        </row>
      </sheetData>
      <sheetData sheetId="10317">
        <row r="7">
          <cell r="AI7">
            <v>10000</v>
          </cell>
        </row>
      </sheetData>
      <sheetData sheetId="10318">
        <row r="7">
          <cell r="AI7">
            <v>10000</v>
          </cell>
        </row>
      </sheetData>
      <sheetData sheetId="10319">
        <row r="7">
          <cell r="AI7">
            <v>10000</v>
          </cell>
        </row>
      </sheetData>
      <sheetData sheetId="10320">
        <row r="7">
          <cell r="AI7">
            <v>10000</v>
          </cell>
        </row>
      </sheetData>
      <sheetData sheetId="10321">
        <row r="7">
          <cell r="AI7">
            <v>10000</v>
          </cell>
        </row>
      </sheetData>
      <sheetData sheetId="10322">
        <row r="7">
          <cell r="AI7">
            <v>10000</v>
          </cell>
        </row>
      </sheetData>
      <sheetData sheetId="10323">
        <row r="7">
          <cell r="AI7">
            <v>10000</v>
          </cell>
        </row>
      </sheetData>
      <sheetData sheetId="10324">
        <row r="7">
          <cell r="AI7">
            <v>10000</v>
          </cell>
        </row>
      </sheetData>
      <sheetData sheetId="10325">
        <row r="7">
          <cell r="AI7">
            <v>10000</v>
          </cell>
        </row>
      </sheetData>
      <sheetData sheetId="10326">
        <row r="7">
          <cell r="AI7">
            <v>10000</v>
          </cell>
        </row>
      </sheetData>
      <sheetData sheetId="10327">
        <row r="7">
          <cell r="AI7">
            <v>10000</v>
          </cell>
        </row>
      </sheetData>
      <sheetData sheetId="10328">
        <row r="7">
          <cell r="AI7">
            <v>10000</v>
          </cell>
        </row>
      </sheetData>
      <sheetData sheetId="10329">
        <row r="7">
          <cell r="AI7">
            <v>10000</v>
          </cell>
        </row>
      </sheetData>
      <sheetData sheetId="10330">
        <row r="7">
          <cell r="AI7">
            <v>10000</v>
          </cell>
        </row>
      </sheetData>
      <sheetData sheetId="10331">
        <row r="7">
          <cell r="AI7">
            <v>10000</v>
          </cell>
        </row>
      </sheetData>
      <sheetData sheetId="10332">
        <row r="7">
          <cell r="AI7">
            <v>10000</v>
          </cell>
        </row>
      </sheetData>
      <sheetData sheetId="10333">
        <row r="7">
          <cell r="AI7">
            <v>10000</v>
          </cell>
        </row>
      </sheetData>
      <sheetData sheetId="10334">
        <row r="7">
          <cell r="AI7">
            <v>10000</v>
          </cell>
        </row>
      </sheetData>
      <sheetData sheetId="10335">
        <row r="7">
          <cell r="AI7">
            <v>10000</v>
          </cell>
        </row>
      </sheetData>
      <sheetData sheetId="10336">
        <row r="7">
          <cell r="AI7">
            <v>10000</v>
          </cell>
        </row>
      </sheetData>
      <sheetData sheetId="10337">
        <row r="7">
          <cell r="AI7">
            <v>10000</v>
          </cell>
        </row>
      </sheetData>
      <sheetData sheetId="10338">
        <row r="7">
          <cell r="AI7">
            <v>10000</v>
          </cell>
        </row>
      </sheetData>
      <sheetData sheetId="10339">
        <row r="7">
          <cell r="AI7">
            <v>10000</v>
          </cell>
        </row>
      </sheetData>
      <sheetData sheetId="10340">
        <row r="7">
          <cell r="AI7">
            <v>10000</v>
          </cell>
        </row>
      </sheetData>
      <sheetData sheetId="10341">
        <row r="7">
          <cell r="AI7">
            <v>10000</v>
          </cell>
        </row>
      </sheetData>
      <sheetData sheetId="10342">
        <row r="7">
          <cell r="AI7">
            <v>10000</v>
          </cell>
        </row>
      </sheetData>
      <sheetData sheetId="10343">
        <row r="7">
          <cell r="AI7">
            <v>10000</v>
          </cell>
        </row>
      </sheetData>
      <sheetData sheetId="10344">
        <row r="7">
          <cell r="AI7">
            <v>10000</v>
          </cell>
        </row>
      </sheetData>
      <sheetData sheetId="10345">
        <row r="7">
          <cell r="AI7">
            <v>10000</v>
          </cell>
        </row>
      </sheetData>
      <sheetData sheetId="10346">
        <row r="7">
          <cell r="AI7">
            <v>10000</v>
          </cell>
        </row>
      </sheetData>
      <sheetData sheetId="10347">
        <row r="7">
          <cell r="AI7">
            <v>10000</v>
          </cell>
        </row>
      </sheetData>
      <sheetData sheetId="10348">
        <row r="7">
          <cell r="AI7">
            <v>10000</v>
          </cell>
        </row>
      </sheetData>
      <sheetData sheetId="10349">
        <row r="7">
          <cell r="AI7">
            <v>10000</v>
          </cell>
        </row>
      </sheetData>
      <sheetData sheetId="10350">
        <row r="7">
          <cell r="AI7">
            <v>10000</v>
          </cell>
        </row>
      </sheetData>
      <sheetData sheetId="10351">
        <row r="7">
          <cell r="AI7">
            <v>10000</v>
          </cell>
        </row>
      </sheetData>
      <sheetData sheetId="10352">
        <row r="7">
          <cell r="AI7">
            <v>10000</v>
          </cell>
        </row>
      </sheetData>
      <sheetData sheetId="10353">
        <row r="7">
          <cell r="AI7">
            <v>10000</v>
          </cell>
        </row>
      </sheetData>
      <sheetData sheetId="10354">
        <row r="7">
          <cell r="AI7">
            <v>10000</v>
          </cell>
        </row>
      </sheetData>
      <sheetData sheetId="10355">
        <row r="7">
          <cell r="AI7">
            <v>10000</v>
          </cell>
        </row>
      </sheetData>
      <sheetData sheetId="10356">
        <row r="7">
          <cell r="AI7">
            <v>10000</v>
          </cell>
        </row>
      </sheetData>
      <sheetData sheetId="10357">
        <row r="7">
          <cell r="AI7">
            <v>10000</v>
          </cell>
        </row>
      </sheetData>
      <sheetData sheetId="10358">
        <row r="7">
          <cell r="AI7">
            <v>10000</v>
          </cell>
        </row>
      </sheetData>
      <sheetData sheetId="10359">
        <row r="7">
          <cell r="AI7">
            <v>10000</v>
          </cell>
        </row>
      </sheetData>
      <sheetData sheetId="10360">
        <row r="7">
          <cell r="AI7">
            <v>10000</v>
          </cell>
        </row>
      </sheetData>
      <sheetData sheetId="10361">
        <row r="7">
          <cell r="AI7">
            <v>10000</v>
          </cell>
        </row>
      </sheetData>
      <sheetData sheetId="10362">
        <row r="7">
          <cell r="AI7">
            <v>10000</v>
          </cell>
        </row>
      </sheetData>
      <sheetData sheetId="10363">
        <row r="7">
          <cell r="AI7">
            <v>10000</v>
          </cell>
        </row>
      </sheetData>
      <sheetData sheetId="10364">
        <row r="7">
          <cell r="AI7">
            <v>10000</v>
          </cell>
        </row>
      </sheetData>
      <sheetData sheetId="10365">
        <row r="7">
          <cell r="AI7">
            <v>10000</v>
          </cell>
        </row>
      </sheetData>
      <sheetData sheetId="10366">
        <row r="7">
          <cell r="AI7">
            <v>10000</v>
          </cell>
        </row>
      </sheetData>
      <sheetData sheetId="10367">
        <row r="7">
          <cell r="AI7">
            <v>10000</v>
          </cell>
        </row>
      </sheetData>
      <sheetData sheetId="10368">
        <row r="7">
          <cell r="AI7">
            <v>10000</v>
          </cell>
        </row>
      </sheetData>
      <sheetData sheetId="10369">
        <row r="7">
          <cell r="AI7">
            <v>10000</v>
          </cell>
        </row>
      </sheetData>
      <sheetData sheetId="10370">
        <row r="7">
          <cell r="AI7">
            <v>10000</v>
          </cell>
        </row>
      </sheetData>
      <sheetData sheetId="10371">
        <row r="7">
          <cell r="AI7">
            <v>10000</v>
          </cell>
        </row>
      </sheetData>
      <sheetData sheetId="10372">
        <row r="7">
          <cell r="AI7">
            <v>10000</v>
          </cell>
        </row>
      </sheetData>
      <sheetData sheetId="10373">
        <row r="7">
          <cell r="AI7">
            <v>10000</v>
          </cell>
        </row>
      </sheetData>
      <sheetData sheetId="10374">
        <row r="7">
          <cell r="AI7">
            <v>10000</v>
          </cell>
        </row>
      </sheetData>
      <sheetData sheetId="10375">
        <row r="7">
          <cell r="AI7">
            <v>10000</v>
          </cell>
        </row>
      </sheetData>
      <sheetData sheetId="10376">
        <row r="7">
          <cell r="AI7">
            <v>10000</v>
          </cell>
        </row>
      </sheetData>
      <sheetData sheetId="10377">
        <row r="7">
          <cell r="AI7">
            <v>10000</v>
          </cell>
        </row>
      </sheetData>
      <sheetData sheetId="10378">
        <row r="7">
          <cell r="AI7">
            <v>10000</v>
          </cell>
        </row>
      </sheetData>
      <sheetData sheetId="10379">
        <row r="7">
          <cell r="AI7">
            <v>10000</v>
          </cell>
        </row>
      </sheetData>
      <sheetData sheetId="10380">
        <row r="7">
          <cell r="AI7">
            <v>10000</v>
          </cell>
        </row>
      </sheetData>
      <sheetData sheetId="10381">
        <row r="7">
          <cell r="AI7">
            <v>10000</v>
          </cell>
        </row>
      </sheetData>
      <sheetData sheetId="10382">
        <row r="7">
          <cell r="AI7">
            <v>10000</v>
          </cell>
        </row>
      </sheetData>
      <sheetData sheetId="10383">
        <row r="7">
          <cell r="AI7">
            <v>10000</v>
          </cell>
        </row>
      </sheetData>
      <sheetData sheetId="10384">
        <row r="7">
          <cell r="AI7">
            <v>10000</v>
          </cell>
        </row>
      </sheetData>
      <sheetData sheetId="10385">
        <row r="7">
          <cell r="AI7">
            <v>10000</v>
          </cell>
        </row>
      </sheetData>
      <sheetData sheetId="10386">
        <row r="7">
          <cell r="AI7">
            <v>10000</v>
          </cell>
        </row>
      </sheetData>
      <sheetData sheetId="10387">
        <row r="7">
          <cell r="AI7">
            <v>10000</v>
          </cell>
        </row>
      </sheetData>
      <sheetData sheetId="10388">
        <row r="7">
          <cell r="AI7">
            <v>10000</v>
          </cell>
        </row>
      </sheetData>
      <sheetData sheetId="10389">
        <row r="7">
          <cell r="AI7">
            <v>10000</v>
          </cell>
        </row>
      </sheetData>
      <sheetData sheetId="10390">
        <row r="7">
          <cell r="AI7">
            <v>10000</v>
          </cell>
        </row>
      </sheetData>
      <sheetData sheetId="10391">
        <row r="7">
          <cell r="AI7">
            <v>10000</v>
          </cell>
        </row>
      </sheetData>
      <sheetData sheetId="10392">
        <row r="7">
          <cell r="AI7">
            <v>10000</v>
          </cell>
        </row>
      </sheetData>
      <sheetData sheetId="10393">
        <row r="7">
          <cell r="AI7">
            <v>10000</v>
          </cell>
        </row>
      </sheetData>
      <sheetData sheetId="10394">
        <row r="7">
          <cell r="AI7">
            <v>10000</v>
          </cell>
        </row>
      </sheetData>
      <sheetData sheetId="10395">
        <row r="7">
          <cell r="AI7">
            <v>10000</v>
          </cell>
        </row>
      </sheetData>
      <sheetData sheetId="10396">
        <row r="7">
          <cell r="AI7">
            <v>10000</v>
          </cell>
        </row>
      </sheetData>
      <sheetData sheetId="10397">
        <row r="7">
          <cell r="AI7">
            <v>10000</v>
          </cell>
        </row>
      </sheetData>
      <sheetData sheetId="10398">
        <row r="7">
          <cell r="AI7">
            <v>10000</v>
          </cell>
        </row>
      </sheetData>
      <sheetData sheetId="10399">
        <row r="7">
          <cell r="AI7">
            <v>10000</v>
          </cell>
        </row>
      </sheetData>
      <sheetData sheetId="10400">
        <row r="7">
          <cell r="AI7">
            <v>10000</v>
          </cell>
        </row>
      </sheetData>
      <sheetData sheetId="10401">
        <row r="7">
          <cell r="AI7">
            <v>10000</v>
          </cell>
        </row>
      </sheetData>
      <sheetData sheetId="10402">
        <row r="7">
          <cell r="AI7">
            <v>10000</v>
          </cell>
        </row>
      </sheetData>
      <sheetData sheetId="10403">
        <row r="7">
          <cell r="AI7">
            <v>10000</v>
          </cell>
        </row>
      </sheetData>
      <sheetData sheetId="10404">
        <row r="7">
          <cell r="AI7">
            <v>10000</v>
          </cell>
        </row>
      </sheetData>
      <sheetData sheetId="10405">
        <row r="7">
          <cell r="AI7">
            <v>10000</v>
          </cell>
        </row>
      </sheetData>
      <sheetData sheetId="10406">
        <row r="7">
          <cell r="AI7">
            <v>10000</v>
          </cell>
        </row>
      </sheetData>
      <sheetData sheetId="10407">
        <row r="7">
          <cell r="AI7">
            <v>10000</v>
          </cell>
        </row>
      </sheetData>
      <sheetData sheetId="10408">
        <row r="7">
          <cell r="AI7">
            <v>10000</v>
          </cell>
        </row>
      </sheetData>
      <sheetData sheetId="10409">
        <row r="7">
          <cell r="AI7">
            <v>10000</v>
          </cell>
        </row>
      </sheetData>
      <sheetData sheetId="10410">
        <row r="7">
          <cell r="AI7">
            <v>10000</v>
          </cell>
        </row>
      </sheetData>
      <sheetData sheetId="10411">
        <row r="7">
          <cell r="AI7">
            <v>10000</v>
          </cell>
        </row>
      </sheetData>
      <sheetData sheetId="10412">
        <row r="7">
          <cell r="AI7">
            <v>10000</v>
          </cell>
        </row>
      </sheetData>
      <sheetData sheetId="10413">
        <row r="7">
          <cell r="AI7">
            <v>10000</v>
          </cell>
        </row>
      </sheetData>
      <sheetData sheetId="10414">
        <row r="7">
          <cell r="AI7">
            <v>10000</v>
          </cell>
        </row>
      </sheetData>
      <sheetData sheetId="10415">
        <row r="7">
          <cell r="AI7">
            <v>10000</v>
          </cell>
        </row>
      </sheetData>
      <sheetData sheetId="10416">
        <row r="7">
          <cell r="AI7">
            <v>10000</v>
          </cell>
        </row>
      </sheetData>
      <sheetData sheetId="10417">
        <row r="7">
          <cell r="AI7">
            <v>10000</v>
          </cell>
        </row>
      </sheetData>
      <sheetData sheetId="10418">
        <row r="7">
          <cell r="AI7">
            <v>10000</v>
          </cell>
        </row>
      </sheetData>
      <sheetData sheetId="10419">
        <row r="7">
          <cell r="AI7">
            <v>10000</v>
          </cell>
        </row>
      </sheetData>
      <sheetData sheetId="10420">
        <row r="7">
          <cell r="AI7">
            <v>10000</v>
          </cell>
        </row>
      </sheetData>
      <sheetData sheetId="10421">
        <row r="7">
          <cell r="AI7">
            <v>10000</v>
          </cell>
        </row>
      </sheetData>
      <sheetData sheetId="10422">
        <row r="7">
          <cell r="AI7">
            <v>10000</v>
          </cell>
        </row>
      </sheetData>
      <sheetData sheetId="10423">
        <row r="7">
          <cell r="AI7">
            <v>10000</v>
          </cell>
        </row>
      </sheetData>
      <sheetData sheetId="10424">
        <row r="7">
          <cell r="AI7">
            <v>10000</v>
          </cell>
        </row>
      </sheetData>
      <sheetData sheetId="10425">
        <row r="7">
          <cell r="AI7">
            <v>10000</v>
          </cell>
        </row>
      </sheetData>
      <sheetData sheetId="10426">
        <row r="7">
          <cell r="AI7">
            <v>10000</v>
          </cell>
        </row>
      </sheetData>
      <sheetData sheetId="10427">
        <row r="7">
          <cell r="AI7">
            <v>10000</v>
          </cell>
        </row>
      </sheetData>
      <sheetData sheetId="10428">
        <row r="7">
          <cell r="AI7">
            <v>10000</v>
          </cell>
        </row>
      </sheetData>
      <sheetData sheetId="10429">
        <row r="7">
          <cell r="AI7">
            <v>10000</v>
          </cell>
        </row>
      </sheetData>
      <sheetData sheetId="10430">
        <row r="7">
          <cell r="AI7">
            <v>10000</v>
          </cell>
        </row>
      </sheetData>
      <sheetData sheetId="10431">
        <row r="7">
          <cell r="AI7">
            <v>10000</v>
          </cell>
        </row>
      </sheetData>
      <sheetData sheetId="10432">
        <row r="7">
          <cell r="AI7">
            <v>10000</v>
          </cell>
        </row>
      </sheetData>
      <sheetData sheetId="10433">
        <row r="7">
          <cell r="AI7">
            <v>10000</v>
          </cell>
        </row>
      </sheetData>
      <sheetData sheetId="10434">
        <row r="7">
          <cell r="AI7">
            <v>10000</v>
          </cell>
        </row>
      </sheetData>
      <sheetData sheetId="10435">
        <row r="7">
          <cell r="AI7">
            <v>10000</v>
          </cell>
        </row>
      </sheetData>
      <sheetData sheetId="10436">
        <row r="7">
          <cell r="AI7">
            <v>10000</v>
          </cell>
        </row>
      </sheetData>
      <sheetData sheetId="10437">
        <row r="7">
          <cell r="AI7">
            <v>10000</v>
          </cell>
        </row>
      </sheetData>
      <sheetData sheetId="10438">
        <row r="7">
          <cell r="AI7">
            <v>10000</v>
          </cell>
        </row>
      </sheetData>
      <sheetData sheetId="10439">
        <row r="7">
          <cell r="AI7">
            <v>10000</v>
          </cell>
        </row>
      </sheetData>
      <sheetData sheetId="10440">
        <row r="7">
          <cell r="AI7">
            <v>10000</v>
          </cell>
        </row>
      </sheetData>
      <sheetData sheetId="10441">
        <row r="7">
          <cell r="AI7">
            <v>10000</v>
          </cell>
        </row>
      </sheetData>
      <sheetData sheetId="10442">
        <row r="7">
          <cell r="AI7">
            <v>10000</v>
          </cell>
        </row>
      </sheetData>
      <sheetData sheetId="10443">
        <row r="7">
          <cell r="AI7">
            <v>10000</v>
          </cell>
        </row>
      </sheetData>
      <sheetData sheetId="10444">
        <row r="7">
          <cell r="AI7">
            <v>10000</v>
          </cell>
        </row>
      </sheetData>
      <sheetData sheetId="10445">
        <row r="7">
          <cell r="AI7">
            <v>10000</v>
          </cell>
        </row>
      </sheetData>
      <sheetData sheetId="10446">
        <row r="7">
          <cell r="AI7">
            <v>10000</v>
          </cell>
        </row>
      </sheetData>
      <sheetData sheetId="10447">
        <row r="7">
          <cell r="AI7">
            <v>10000</v>
          </cell>
        </row>
      </sheetData>
      <sheetData sheetId="10448">
        <row r="7">
          <cell r="AI7">
            <v>10000</v>
          </cell>
        </row>
      </sheetData>
      <sheetData sheetId="10449">
        <row r="7">
          <cell r="AI7">
            <v>10000</v>
          </cell>
        </row>
      </sheetData>
      <sheetData sheetId="10450">
        <row r="7">
          <cell r="AI7">
            <v>10000</v>
          </cell>
        </row>
      </sheetData>
      <sheetData sheetId="10451">
        <row r="7">
          <cell r="AI7">
            <v>10000</v>
          </cell>
        </row>
      </sheetData>
      <sheetData sheetId="10452">
        <row r="7">
          <cell r="AI7">
            <v>10000</v>
          </cell>
        </row>
      </sheetData>
      <sheetData sheetId="10453">
        <row r="7">
          <cell r="AI7">
            <v>10000</v>
          </cell>
        </row>
      </sheetData>
      <sheetData sheetId="10454">
        <row r="7">
          <cell r="AI7">
            <v>10000</v>
          </cell>
        </row>
      </sheetData>
      <sheetData sheetId="10455">
        <row r="7">
          <cell r="AI7">
            <v>10000</v>
          </cell>
        </row>
      </sheetData>
      <sheetData sheetId="10456">
        <row r="7">
          <cell r="AI7">
            <v>10000</v>
          </cell>
        </row>
      </sheetData>
      <sheetData sheetId="10457">
        <row r="7">
          <cell r="AI7">
            <v>10000</v>
          </cell>
        </row>
      </sheetData>
      <sheetData sheetId="10458">
        <row r="7">
          <cell r="AI7">
            <v>10000</v>
          </cell>
        </row>
      </sheetData>
      <sheetData sheetId="10459">
        <row r="7">
          <cell r="AI7">
            <v>10000</v>
          </cell>
        </row>
      </sheetData>
      <sheetData sheetId="10460">
        <row r="7">
          <cell r="AI7">
            <v>10000</v>
          </cell>
        </row>
      </sheetData>
      <sheetData sheetId="10461">
        <row r="7">
          <cell r="AI7">
            <v>10000</v>
          </cell>
        </row>
      </sheetData>
      <sheetData sheetId="10462">
        <row r="7">
          <cell r="AI7">
            <v>10000</v>
          </cell>
        </row>
      </sheetData>
      <sheetData sheetId="10463">
        <row r="7">
          <cell r="AI7">
            <v>10000</v>
          </cell>
        </row>
      </sheetData>
      <sheetData sheetId="10464">
        <row r="7">
          <cell r="AI7">
            <v>10000</v>
          </cell>
        </row>
      </sheetData>
      <sheetData sheetId="10465">
        <row r="7">
          <cell r="AI7">
            <v>10000</v>
          </cell>
        </row>
      </sheetData>
      <sheetData sheetId="10466">
        <row r="7">
          <cell r="AI7">
            <v>10000</v>
          </cell>
        </row>
      </sheetData>
      <sheetData sheetId="10467">
        <row r="7">
          <cell r="AI7">
            <v>10000</v>
          </cell>
        </row>
      </sheetData>
      <sheetData sheetId="10468">
        <row r="7">
          <cell r="AI7">
            <v>10000</v>
          </cell>
        </row>
      </sheetData>
      <sheetData sheetId="10469">
        <row r="7">
          <cell r="AI7">
            <v>10000</v>
          </cell>
        </row>
      </sheetData>
      <sheetData sheetId="10470">
        <row r="7">
          <cell r="AI7">
            <v>10000</v>
          </cell>
        </row>
      </sheetData>
      <sheetData sheetId="10471">
        <row r="7">
          <cell r="AI7">
            <v>10000</v>
          </cell>
        </row>
      </sheetData>
      <sheetData sheetId="10472">
        <row r="7">
          <cell r="AI7">
            <v>10000</v>
          </cell>
        </row>
      </sheetData>
      <sheetData sheetId="10473">
        <row r="7">
          <cell r="AI7">
            <v>10000</v>
          </cell>
        </row>
      </sheetData>
      <sheetData sheetId="10474">
        <row r="7">
          <cell r="AI7">
            <v>10000</v>
          </cell>
        </row>
      </sheetData>
      <sheetData sheetId="10475">
        <row r="7">
          <cell r="AI7">
            <v>10000</v>
          </cell>
        </row>
      </sheetData>
      <sheetData sheetId="10476">
        <row r="7">
          <cell r="AI7">
            <v>10000</v>
          </cell>
        </row>
      </sheetData>
      <sheetData sheetId="10477">
        <row r="7">
          <cell r="AI7">
            <v>10000</v>
          </cell>
        </row>
      </sheetData>
      <sheetData sheetId="10478">
        <row r="7">
          <cell r="AI7">
            <v>10000</v>
          </cell>
        </row>
      </sheetData>
      <sheetData sheetId="10479">
        <row r="7">
          <cell r="AI7">
            <v>10000</v>
          </cell>
        </row>
      </sheetData>
      <sheetData sheetId="10480">
        <row r="7">
          <cell r="AI7">
            <v>10000</v>
          </cell>
        </row>
      </sheetData>
      <sheetData sheetId="10481">
        <row r="7">
          <cell r="AI7">
            <v>10000</v>
          </cell>
        </row>
      </sheetData>
      <sheetData sheetId="10482">
        <row r="7">
          <cell r="AI7">
            <v>10000</v>
          </cell>
        </row>
      </sheetData>
      <sheetData sheetId="10483">
        <row r="7">
          <cell r="AI7">
            <v>10000</v>
          </cell>
        </row>
      </sheetData>
      <sheetData sheetId="10484">
        <row r="7">
          <cell r="AI7">
            <v>10000</v>
          </cell>
        </row>
      </sheetData>
      <sheetData sheetId="10485">
        <row r="7">
          <cell r="AI7">
            <v>10000</v>
          </cell>
        </row>
      </sheetData>
      <sheetData sheetId="10486">
        <row r="7">
          <cell r="AI7">
            <v>10000</v>
          </cell>
        </row>
      </sheetData>
      <sheetData sheetId="10487">
        <row r="7">
          <cell r="AI7">
            <v>10000</v>
          </cell>
        </row>
      </sheetData>
      <sheetData sheetId="10488">
        <row r="7">
          <cell r="AI7">
            <v>10000</v>
          </cell>
        </row>
      </sheetData>
      <sheetData sheetId="10489">
        <row r="7">
          <cell r="AI7">
            <v>10000</v>
          </cell>
        </row>
      </sheetData>
      <sheetData sheetId="10490">
        <row r="7">
          <cell r="AI7">
            <v>10000</v>
          </cell>
        </row>
      </sheetData>
      <sheetData sheetId="10491">
        <row r="7">
          <cell r="AI7">
            <v>10000</v>
          </cell>
        </row>
      </sheetData>
      <sheetData sheetId="10492">
        <row r="7">
          <cell r="AI7">
            <v>10000</v>
          </cell>
        </row>
      </sheetData>
      <sheetData sheetId="10493">
        <row r="7">
          <cell r="AI7">
            <v>10000</v>
          </cell>
        </row>
      </sheetData>
      <sheetData sheetId="10494">
        <row r="7">
          <cell r="AI7">
            <v>10000</v>
          </cell>
        </row>
      </sheetData>
      <sheetData sheetId="10495">
        <row r="7">
          <cell r="AI7">
            <v>10000</v>
          </cell>
        </row>
      </sheetData>
      <sheetData sheetId="10496">
        <row r="7">
          <cell r="AI7">
            <v>10000</v>
          </cell>
        </row>
      </sheetData>
      <sheetData sheetId="10497">
        <row r="7">
          <cell r="AI7">
            <v>10000</v>
          </cell>
        </row>
      </sheetData>
      <sheetData sheetId="10498">
        <row r="7">
          <cell r="AI7">
            <v>10000</v>
          </cell>
        </row>
      </sheetData>
      <sheetData sheetId="10499">
        <row r="7">
          <cell r="AI7">
            <v>10000</v>
          </cell>
        </row>
      </sheetData>
      <sheetData sheetId="10500">
        <row r="7">
          <cell r="AI7">
            <v>10000</v>
          </cell>
        </row>
      </sheetData>
      <sheetData sheetId="10501">
        <row r="7">
          <cell r="AI7">
            <v>10000</v>
          </cell>
        </row>
      </sheetData>
      <sheetData sheetId="10502">
        <row r="7">
          <cell r="AI7">
            <v>10000</v>
          </cell>
        </row>
      </sheetData>
      <sheetData sheetId="10503">
        <row r="7">
          <cell r="AI7">
            <v>10000</v>
          </cell>
        </row>
      </sheetData>
      <sheetData sheetId="10504">
        <row r="7">
          <cell r="AI7">
            <v>10000</v>
          </cell>
        </row>
      </sheetData>
      <sheetData sheetId="10505">
        <row r="7">
          <cell r="AI7">
            <v>10000</v>
          </cell>
        </row>
      </sheetData>
      <sheetData sheetId="10506">
        <row r="7">
          <cell r="AI7">
            <v>10000</v>
          </cell>
        </row>
      </sheetData>
      <sheetData sheetId="10507">
        <row r="7">
          <cell r="AI7">
            <v>10000</v>
          </cell>
        </row>
      </sheetData>
      <sheetData sheetId="10508">
        <row r="7">
          <cell r="AI7">
            <v>10000</v>
          </cell>
        </row>
      </sheetData>
      <sheetData sheetId="10509">
        <row r="7">
          <cell r="AI7">
            <v>10000</v>
          </cell>
        </row>
      </sheetData>
      <sheetData sheetId="10510">
        <row r="7">
          <cell r="AI7">
            <v>10000</v>
          </cell>
        </row>
      </sheetData>
      <sheetData sheetId="10511">
        <row r="7">
          <cell r="AI7">
            <v>10000</v>
          </cell>
        </row>
      </sheetData>
      <sheetData sheetId="10512">
        <row r="7">
          <cell r="AI7">
            <v>10000</v>
          </cell>
        </row>
      </sheetData>
      <sheetData sheetId="10513">
        <row r="7">
          <cell r="AI7">
            <v>10000</v>
          </cell>
        </row>
      </sheetData>
      <sheetData sheetId="10514">
        <row r="7">
          <cell r="AI7">
            <v>10000</v>
          </cell>
        </row>
      </sheetData>
      <sheetData sheetId="10515">
        <row r="7">
          <cell r="AI7">
            <v>10000</v>
          </cell>
        </row>
      </sheetData>
      <sheetData sheetId="10516">
        <row r="7">
          <cell r="AI7">
            <v>10000</v>
          </cell>
        </row>
      </sheetData>
      <sheetData sheetId="10517">
        <row r="7">
          <cell r="AI7">
            <v>10000</v>
          </cell>
        </row>
      </sheetData>
      <sheetData sheetId="10518">
        <row r="7">
          <cell r="AI7">
            <v>10000</v>
          </cell>
        </row>
      </sheetData>
      <sheetData sheetId="10519">
        <row r="7">
          <cell r="AI7">
            <v>10000</v>
          </cell>
        </row>
      </sheetData>
      <sheetData sheetId="10520">
        <row r="7">
          <cell r="AI7">
            <v>10000</v>
          </cell>
        </row>
      </sheetData>
      <sheetData sheetId="10521">
        <row r="7">
          <cell r="AI7">
            <v>10000</v>
          </cell>
        </row>
      </sheetData>
      <sheetData sheetId="10522">
        <row r="7">
          <cell r="AI7">
            <v>10000</v>
          </cell>
        </row>
      </sheetData>
      <sheetData sheetId="10523">
        <row r="7">
          <cell r="AI7">
            <v>10000</v>
          </cell>
        </row>
      </sheetData>
      <sheetData sheetId="10524">
        <row r="7">
          <cell r="AI7">
            <v>10000</v>
          </cell>
        </row>
      </sheetData>
      <sheetData sheetId="10525">
        <row r="7">
          <cell r="AI7">
            <v>10000</v>
          </cell>
        </row>
      </sheetData>
      <sheetData sheetId="10526">
        <row r="7">
          <cell r="AI7">
            <v>10000</v>
          </cell>
        </row>
      </sheetData>
      <sheetData sheetId="10527">
        <row r="7">
          <cell r="AI7">
            <v>10000</v>
          </cell>
        </row>
      </sheetData>
      <sheetData sheetId="10528">
        <row r="7">
          <cell r="AI7">
            <v>10000</v>
          </cell>
        </row>
      </sheetData>
      <sheetData sheetId="10529">
        <row r="7">
          <cell r="AI7">
            <v>10000</v>
          </cell>
        </row>
      </sheetData>
      <sheetData sheetId="10530">
        <row r="7">
          <cell r="AI7">
            <v>10000</v>
          </cell>
        </row>
      </sheetData>
      <sheetData sheetId="10531">
        <row r="7">
          <cell r="AI7">
            <v>10000</v>
          </cell>
        </row>
      </sheetData>
      <sheetData sheetId="10532">
        <row r="7">
          <cell r="AI7">
            <v>10000</v>
          </cell>
        </row>
      </sheetData>
      <sheetData sheetId="10533">
        <row r="7">
          <cell r="AI7">
            <v>10000</v>
          </cell>
        </row>
      </sheetData>
      <sheetData sheetId="10534">
        <row r="7">
          <cell r="AI7">
            <v>10000</v>
          </cell>
        </row>
      </sheetData>
      <sheetData sheetId="10535">
        <row r="7">
          <cell r="AI7">
            <v>10000</v>
          </cell>
        </row>
      </sheetData>
      <sheetData sheetId="10536">
        <row r="7">
          <cell r="AI7">
            <v>10000</v>
          </cell>
        </row>
      </sheetData>
      <sheetData sheetId="10537">
        <row r="7">
          <cell r="AI7">
            <v>10000</v>
          </cell>
        </row>
      </sheetData>
      <sheetData sheetId="10538">
        <row r="7">
          <cell r="AI7">
            <v>10000</v>
          </cell>
        </row>
      </sheetData>
      <sheetData sheetId="10539">
        <row r="7">
          <cell r="AI7">
            <v>10000</v>
          </cell>
        </row>
      </sheetData>
      <sheetData sheetId="10540">
        <row r="7">
          <cell r="AI7">
            <v>10000</v>
          </cell>
        </row>
      </sheetData>
      <sheetData sheetId="10541">
        <row r="7">
          <cell r="AI7">
            <v>10000</v>
          </cell>
        </row>
      </sheetData>
      <sheetData sheetId="10542">
        <row r="7">
          <cell r="AI7">
            <v>10000</v>
          </cell>
        </row>
      </sheetData>
      <sheetData sheetId="10543">
        <row r="7">
          <cell r="AI7">
            <v>10000</v>
          </cell>
        </row>
      </sheetData>
      <sheetData sheetId="10544">
        <row r="7">
          <cell r="AI7">
            <v>10000</v>
          </cell>
        </row>
      </sheetData>
      <sheetData sheetId="10545">
        <row r="7">
          <cell r="AI7">
            <v>10000</v>
          </cell>
        </row>
      </sheetData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>
        <row r="7">
          <cell r="AI7">
            <v>10000</v>
          </cell>
        </row>
      </sheetData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>
        <row r="7">
          <cell r="AI7">
            <v>10000</v>
          </cell>
        </row>
      </sheetData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>
        <row r="7">
          <cell r="AI7">
            <v>10000</v>
          </cell>
        </row>
      </sheetData>
      <sheetData sheetId="10600">
        <row r="7">
          <cell r="AI7">
            <v>10000</v>
          </cell>
        </row>
      </sheetData>
      <sheetData sheetId="10601" refreshError="1"/>
      <sheetData sheetId="10602" refreshError="1"/>
      <sheetData sheetId="10603"/>
      <sheetData sheetId="10604"/>
      <sheetData sheetId="10605">
        <row r="7">
          <cell r="AI7">
            <v>10000</v>
          </cell>
        </row>
      </sheetData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>
        <row r="7">
          <cell r="AI7">
            <v>10000</v>
          </cell>
        </row>
      </sheetData>
      <sheetData sheetId="10615">
        <row r="7">
          <cell r="AI7">
            <v>10000</v>
          </cell>
        </row>
      </sheetData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>
        <row r="7">
          <cell r="AI7">
            <v>10000</v>
          </cell>
        </row>
      </sheetData>
      <sheetData sheetId="10631">
        <row r="7">
          <cell r="AI7">
            <v>10000</v>
          </cell>
        </row>
      </sheetData>
      <sheetData sheetId="10632">
        <row r="7">
          <cell r="AI7">
            <v>10000</v>
          </cell>
        </row>
      </sheetData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>
        <row r="7">
          <cell r="AI7">
            <v>10000</v>
          </cell>
        </row>
      </sheetData>
      <sheetData sheetId="10639">
        <row r="7">
          <cell r="AI7">
            <v>10000</v>
          </cell>
        </row>
      </sheetData>
      <sheetData sheetId="10640">
        <row r="7">
          <cell r="AI7">
            <v>10000</v>
          </cell>
        </row>
      </sheetData>
      <sheetData sheetId="10641">
        <row r="7">
          <cell r="AI7">
            <v>10000</v>
          </cell>
        </row>
      </sheetData>
      <sheetData sheetId="10642">
        <row r="7">
          <cell r="AI7">
            <v>10000</v>
          </cell>
        </row>
      </sheetData>
      <sheetData sheetId="10643">
        <row r="7">
          <cell r="AI7">
            <v>10000</v>
          </cell>
        </row>
      </sheetData>
      <sheetData sheetId="10644">
        <row r="7">
          <cell r="AI7">
            <v>10000</v>
          </cell>
        </row>
      </sheetData>
      <sheetData sheetId="10645">
        <row r="7">
          <cell r="AI7">
            <v>10000</v>
          </cell>
        </row>
      </sheetData>
      <sheetData sheetId="10646">
        <row r="7">
          <cell r="AI7">
            <v>10000</v>
          </cell>
        </row>
      </sheetData>
      <sheetData sheetId="10647">
        <row r="7">
          <cell r="AI7">
            <v>10000</v>
          </cell>
        </row>
      </sheetData>
      <sheetData sheetId="10648">
        <row r="7">
          <cell r="AI7">
            <v>10000</v>
          </cell>
        </row>
      </sheetData>
      <sheetData sheetId="10649">
        <row r="7">
          <cell r="AI7">
            <v>10000</v>
          </cell>
        </row>
      </sheetData>
      <sheetData sheetId="10650" refreshError="1"/>
      <sheetData sheetId="10651" refreshError="1"/>
      <sheetData sheetId="10652" refreshError="1"/>
      <sheetData sheetId="10653" refreshError="1"/>
      <sheetData sheetId="10654">
        <row r="7">
          <cell r="AI7">
            <v>10000</v>
          </cell>
        </row>
      </sheetData>
      <sheetData sheetId="10655" refreshError="1"/>
      <sheetData sheetId="10656">
        <row r="7">
          <cell r="AI7">
            <v>10000</v>
          </cell>
        </row>
      </sheetData>
      <sheetData sheetId="10657">
        <row r="7">
          <cell r="AI7">
            <v>10000</v>
          </cell>
        </row>
      </sheetData>
      <sheetData sheetId="10658">
        <row r="7">
          <cell r="AI7">
            <v>10000</v>
          </cell>
        </row>
      </sheetData>
      <sheetData sheetId="10659">
        <row r="7">
          <cell r="AI7">
            <v>10000</v>
          </cell>
        </row>
      </sheetData>
      <sheetData sheetId="10660">
        <row r="7">
          <cell r="AI7">
            <v>10000</v>
          </cell>
        </row>
      </sheetData>
      <sheetData sheetId="10661">
        <row r="7">
          <cell r="AI7">
            <v>10000</v>
          </cell>
        </row>
      </sheetData>
      <sheetData sheetId="10662">
        <row r="7">
          <cell r="AI7">
            <v>10000</v>
          </cell>
        </row>
      </sheetData>
      <sheetData sheetId="10663">
        <row r="7">
          <cell r="AI7">
            <v>10000</v>
          </cell>
        </row>
      </sheetData>
      <sheetData sheetId="10664">
        <row r="7">
          <cell r="AI7">
            <v>10000</v>
          </cell>
        </row>
      </sheetData>
      <sheetData sheetId="10665">
        <row r="7">
          <cell r="AI7">
            <v>10000</v>
          </cell>
        </row>
      </sheetData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>
        <row r="7">
          <cell r="AI7">
            <v>10000</v>
          </cell>
        </row>
      </sheetData>
      <sheetData sheetId="10674">
        <row r="7">
          <cell r="AI7">
            <v>10000</v>
          </cell>
        </row>
      </sheetData>
      <sheetData sheetId="10675">
        <row r="7">
          <cell r="AI7">
            <v>10000</v>
          </cell>
        </row>
      </sheetData>
      <sheetData sheetId="10676">
        <row r="7">
          <cell r="AI7">
            <v>10000</v>
          </cell>
        </row>
      </sheetData>
      <sheetData sheetId="10677">
        <row r="7">
          <cell r="AI7">
            <v>10000</v>
          </cell>
        </row>
      </sheetData>
      <sheetData sheetId="10678">
        <row r="7">
          <cell r="AI7">
            <v>10000</v>
          </cell>
        </row>
      </sheetData>
      <sheetData sheetId="10679">
        <row r="7">
          <cell r="AI7">
            <v>10000</v>
          </cell>
        </row>
      </sheetData>
      <sheetData sheetId="10680">
        <row r="7">
          <cell r="AI7">
            <v>10000</v>
          </cell>
        </row>
      </sheetData>
      <sheetData sheetId="10681">
        <row r="7">
          <cell r="AI7">
            <v>10000</v>
          </cell>
        </row>
      </sheetData>
      <sheetData sheetId="10682">
        <row r="7">
          <cell r="AI7">
            <v>10000</v>
          </cell>
        </row>
      </sheetData>
      <sheetData sheetId="10683">
        <row r="7">
          <cell r="AI7">
            <v>10000</v>
          </cell>
        </row>
      </sheetData>
      <sheetData sheetId="10684">
        <row r="7">
          <cell r="AI7">
            <v>10000</v>
          </cell>
        </row>
      </sheetData>
      <sheetData sheetId="10685">
        <row r="7">
          <cell r="AI7">
            <v>10000</v>
          </cell>
        </row>
      </sheetData>
      <sheetData sheetId="10686">
        <row r="7">
          <cell r="AI7">
            <v>10000</v>
          </cell>
        </row>
      </sheetData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>
        <row r="7">
          <cell r="AI7">
            <v>10000</v>
          </cell>
        </row>
      </sheetData>
      <sheetData sheetId="10698">
        <row r="7">
          <cell r="AI7">
            <v>10000</v>
          </cell>
        </row>
      </sheetData>
      <sheetData sheetId="10699">
        <row r="7">
          <cell r="AI7">
            <v>10000</v>
          </cell>
        </row>
      </sheetData>
      <sheetData sheetId="10700">
        <row r="7">
          <cell r="AI7">
            <v>10000</v>
          </cell>
        </row>
      </sheetData>
      <sheetData sheetId="10701">
        <row r="7">
          <cell r="AI7">
            <v>10000</v>
          </cell>
        </row>
      </sheetData>
      <sheetData sheetId="10702" refreshError="1"/>
      <sheetData sheetId="10703" refreshError="1"/>
      <sheetData sheetId="10704" refreshError="1"/>
      <sheetData sheetId="10705">
        <row r="7">
          <cell r="AI7">
            <v>10000</v>
          </cell>
        </row>
      </sheetData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>
        <row r="7">
          <cell r="AI7">
            <v>10000</v>
          </cell>
        </row>
      </sheetData>
      <sheetData sheetId="10713">
        <row r="7">
          <cell r="AI7">
            <v>10000</v>
          </cell>
        </row>
      </sheetData>
      <sheetData sheetId="10714">
        <row r="7">
          <cell r="AI7">
            <v>10000</v>
          </cell>
        </row>
      </sheetData>
      <sheetData sheetId="10715">
        <row r="7">
          <cell r="AI7">
            <v>10000</v>
          </cell>
        </row>
      </sheetData>
      <sheetData sheetId="10716">
        <row r="7">
          <cell r="AI7">
            <v>10000</v>
          </cell>
        </row>
      </sheetData>
      <sheetData sheetId="10717">
        <row r="7">
          <cell r="AI7">
            <v>10000</v>
          </cell>
        </row>
      </sheetData>
      <sheetData sheetId="10718">
        <row r="7">
          <cell r="AI7">
            <v>10000</v>
          </cell>
        </row>
      </sheetData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>
        <row r="7">
          <cell r="AI7">
            <v>10000</v>
          </cell>
        </row>
      </sheetData>
      <sheetData sheetId="10737">
        <row r="7">
          <cell r="AI7">
            <v>10000</v>
          </cell>
        </row>
      </sheetData>
      <sheetData sheetId="10738">
        <row r="7">
          <cell r="AI7">
            <v>10000</v>
          </cell>
        </row>
      </sheetData>
      <sheetData sheetId="10739">
        <row r="7">
          <cell r="AI7">
            <v>10000</v>
          </cell>
        </row>
      </sheetData>
      <sheetData sheetId="10740">
        <row r="7">
          <cell r="AI7">
            <v>10000</v>
          </cell>
        </row>
      </sheetData>
      <sheetData sheetId="10741">
        <row r="7">
          <cell r="AI7">
            <v>10000</v>
          </cell>
        </row>
      </sheetData>
      <sheetData sheetId="10742">
        <row r="7">
          <cell r="AI7">
            <v>10000</v>
          </cell>
        </row>
      </sheetData>
      <sheetData sheetId="10743">
        <row r="7">
          <cell r="AI7">
            <v>10000</v>
          </cell>
        </row>
      </sheetData>
      <sheetData sheetId="10744">
        <row r="7">
          <cell r="AI7">
            <v>10000</v>
          </cell>
        </row>
      </sheetData>
      <sheetData sheetId="10745">
        <row r="7">
          <cell r="AI7">
            <v>10000</v>
          </cell>
        </row>
      </sheetData>
      <sheetData sheetId="10746">
        <row r="7">
          <cell r="AI7">
            <v>10000</v>
          </cell>
        </row>
      </sheetData>
      <sheetData sheetId="10747">
        <row r="7">
          <cell r="AI7">
            <v>10000</v>
          </cell>
        </row>
      </sheetData>
      <sheetData sheetId="10748">
        <row r="7">
          <cell r="AI7">
            <v>10000</v>
          </cell>
        </row>
      </sheetData>
      <sheetData sheetId="10749">
        <row r="7">
          <cell r="AI7">
            <v>10000</v>
          </cell>
        </row>
      </sheetData>
      <sheetData sheetId="10750">
        <row r="7">
          <cell r="AI7">
            <v>10000</v>
          </cell>
        </row>
      </sheetData>
      <sheetData sheetId="10751">
        <row r="7">
          <cell r="AI7">
            <v>10000</v>
          </cell>
        </row>
      </sheetData>
      <sheetData sheetId="10752">
        <row r="7">
          <cell r="AI7">
            <v>10000</v>
          </cell>
        </row>
      </sheetData>
      <sheetData sheetId="10753">
        <row r="7">
          <cell r="AI7">
            <v>10000</v>
          </cell>
        </row>
      </sheetData>
      <sheetData sheetId="10754">
        <row r="7">
          <cell r="AI7">
            <v>10000</v>
          </cell>
        </row>
      </sheetData>
      <sheetData sheetId="10755">
        <row r="7">
          <cell r="AI7">
            <v>10000</v>
          </cell>
        </row>
      </sheetData>
      <sheetData sheetId="10756">
        <row r="7">
          <cell r="AI7">
            <v>10000</v>
          </cell>
        </row>
      </sheetData>
      <sheetData sheetId="10757">
        <row r="7">
          <cell r="AI7">
            <v>10000</v>
          </cell>
        </row>
      </sheetData>
      <sheetData sheetId="10758">
        <row r="7">
          <cell r="AI7">
            <v>10000</v>
          </cell>
        </row>
      </sheetData>
      <sheetData sheetId="10759">
        <row r="7">
          <cell r="AI7">
            <v>10000</v>
          </cell>
        </row>
      </sheetData>
      <sheetData sheetId="10760">
        <row r="7">
          <cell r="AI7">
            <v>10000</v>
          </cell>
        </row>
      </sheetData>
      <sheetData sheetId="10761">
        <row r="7">
          <cell r="AI7">
            <v>10000</v>
          </cell>
        </row>
      </sheetData>
      <sheetData sheetId="10762">
        <row r="7">
          <cell r="AI7">
            <v>10000</v>
          </cell>
        </row>
      </sheetData>
      <sheetData sheetId="10763">
        <row r="7">
          <cell r="AI7">
            <v>10000</v>
          </cell>
        </row>
      </sheetData>
      <sheetData sheetId="10764">
        <row r="7">
          <cell r="AI7">
            <v>10000</v>
          </cell>
        </row>
      </sheetData>
      <sheetData sheetId="10765">
        <row r="7">
          <cell r="AI7">
            <v>10000</v>
          </cell>
        </row>
      </sheetData>
      <sheetData sheetId="10766">
        <row r="7">
          <cell r="AI7">
            <v>10000</v>
          </cell>
        </row>
      </sheetData>
      <sheetData sheetId="10767">
        <row r="7">
          <cell r="AI7">
            <v>10000</v>
          </cell>
        </row>
      </sheetData>
      <sheetData sheetId="10768">
        <row r="7">
          <cell r="AI7">
            <v>10000</v>
          </cell>
        </row>
      </sheetData>
      <sheetData sheetId="10769">
        <row r="7">
          <cell r="AI7">
            <v>10000</v>
          </cell>
        </row>
      </sheetData>
      <sheetData sheetId="10770">
        <row r="7">
          <cell r="AI7">
            <v>10000</v>
          </cell>
        </row>
      </sheetData>
      <sheetData sheetId="10771">
        <row r="7">
          <cell r="AI7">
            <v>10000</v>
          </cell>
        </row>
      </sheetData>
      <sheetData sheetId="10772">
        <row r="7">
          <cell r="AI7">
            <v>10000</v>
          </cell>
        </row>
      </sheetData>
      <sheetData sheetId="10773">
        <row r="7">
          <cell r="AI7">
            <v>10000</v>
          </cell>
        </row>
      </sheetData>
      <sheetData sheetId="10774">
        <row r="7">
          <cell r="AI7">
            <v>10000</v>
          </cell>
        </row>
      </sheetData>
      <sheetData sheetId="10775">
        <row r="7">
          <cell r="AI7">
            <v>10000</v>
          </cell>
        </row>
      </sheetData>
      <sheetData sheetId="10776">
        <row r="7">
          <cell r="AI7">
            <v>10000</v>
          </cell>
        </row>
      </sheetData>
      <sheetData sheetId="10777">
        <row r="7">
          <cell r="AI7">
            <v>10000</v>
          </cell>
        </row>
      </sheetData>
      <sheetData sheetId="10778">
        <row r="7">
          <cell r="AI7">
            <v>10000</v>
          </cell>
        </row>
      </sheetData>
      <sheetData sheetId="10779">
        <row r="7">
          <cell r="AI7">
            <v>10000</v>
          </cell>
        </row>
      </sheetData>
      <sheetData sheetId="10780">
        <row r="7">
          <cell r="AI7">
            <v>10000</v>
          </cell>
        </row>
      </sheetData>
      <sheetData sheetId="10781" refreshError="1"/>
      <sheetData sheetId="10782">
        <row r="7">
          <cell r="AI7">
            <v>10000</v>
          </cell>
        </row>
      </sheetData>
      <sheetData sheetId="10783">
        <row r="7">
          <cell r="AI7">
            <v>10000</v>
          </cell>
        </row>
      </sheetData>
      <sheetData sheetId="10784">
        <row r="7">
          <cell r="AI7">
            <v>10000</v>
          </cell>
        </row>
      </sheetData>
      <sheetData sheetId="10785">
        <row r="7">
          <cell r="AI7">
            <v>10000</v>
          </cell>
        </row>
      </sheetData>
      <sheetData sheetId="10786">
        <row r="7">
          <cell r="AI7">
            <v>10000</v>
          </cell>
        </row>
      </sheetData>
      <sheetData sheetId="10787">
        <row r="7">
          <cell r="AI7">
            <v>10000</v>
          </cell>
        </row>
      </sheetData>
      <sheetData sheetId="10788">
        <row r="7">
          <cell r="AI7">
            <v>10000</v>
          </cell>
        </row>
      </sheetData>
      <sheetData sheetId="10789">
        <row r="7">
          <cell r="AI7">
            <v>10000</v>
          </cell>
        </row>
      </sheetData>
      <sheetData sheetId="10790">
        <row r="7">
          <cell r="AI7">
            <v>10000</v>
          </cell>
        </row>
      </sheetData>
      <sheetData sheetId="10791">
        <row r="7">
          <cell r="AI7">
            <v>10000</v>
          </cell>
        </row>
      </sheetData>
      <sheetData sheetId="10792">
        <row r="7">
          <cell r="AI7">
            <v>10000</v>
          </cell>
        </row>
      </sheetData>
      <sheetData sheetId="10793">
        <row r="7">
          <cell r="AI7">
            <v>10000</v>
          </cell>
        </row>
      </sheetData>
      <sheetData sheetId="10794">
        <row r="7">
          <cell r="AI7">
            <v>10000</v>
          </cell>
        </row>
      </sheetData>
      <sheetData sheetId="10795">
        <row r="7">
          <cell r="AI7">
            <v>10000</v>
          </cell>
        </row>
      </sheetData>
      <sheetData sheetId="10796">
        <row r="7">
          <cell r="AI7">
            <v>10000</v>
          </cell>
        </row>
      </sheetData>
      <sheetData sheetId="10797">
        <row r="7">
          <cell r="AI7">
            <v>10000</v>
          </cell>
        </row>
      </sheetData>
      <sheetData sheetId="10798">
        <row r="7">
          <cell r="AI7">
            <v>10000</v>
          </cell>
        </row>
      </sheetData>
      <sheetData sheetId="10799">
        <row r="7">
          <cell r="AI7">
            <v>10000</v>
          </cell>
        </row>
      </sheetData>
      <sheetData sheetId="10800">
        <row r="7">
          <cell r="AI7">
            <v>10000</v>
          </cell>
        </row>
      </sheetData>
      <sheetData sheetId="10801">
        <row r="7">
          <cell r="AI7">
            <v>10000</v>
          </cell>
        </row>
      </sheetData>
      <sheetData sheetId="10802">
        <row r="7">
          <cell r="AI7">
            <v>10000</v>
          </cell>
        </row>
      </sheetData>
      <sheetData sheetId="10803">
        <row r="7">
          <cell r="AI7">
            <v>10000</v>
          </cell>
        </row>
      </sheetData>
      <sheetData sheetId="10804">
        <row r="7">
          <cell r="AI7">
            <v>10000</v>
          </cell>
        </row>
      </sheetData>
      <sheetData sheetId="10805">
        <row r="7">
          <cell r="AI7">
            <v>10000</v>
          </cell>
        </row>
      </sheetData>
      <sheetData sheetId="10806">
        <row r="7">
          <cell r="AI7">
            <v>10000</v>
          </cell>
        </row>
      </sheetData>
      <sheetData sheetId="10807">
        <row r="7">
          <cell r="AI7">
            <v>10000</v>
          </cell>
        </row>
      </sheetData>
      <sheetData sheetId="10808">
        <row r="7">
          <cell r="AI7">
            <v>10000</v>
          </cell>
        </row>
      </sheetData>
      <sheetData sheetId="10809">
        <row r="7">
          <cell r="AI7">
            <v>10000</v>
          </cell>
        </row>
      </sheetData>
      <sheetData sheetId="10810">
        <row r="7">
          <cell r="AI7">
            <v>10000</v>
          </cell>
        </row>
      </sheetData>
      <sheetData sheetId="10811" refreshError="1"/>
      <sheetData sheetId="10812">
        <row r="7">
          <cell r="AI7">
            <v>10000</v>
          </cell>
        </row>
      </sheetData>
      <sheetData sheetId="10813">
        <row r="7">
          <cell r="AI7">
            <v>10000</v>
          </cell>
        </row>
      </sheetData>
      <sheetData sheetId="10814">
        <row r="7">
          <cell r="AI7">
            <v>10000</v>
          </cell>
        </row>
      </sheetData>
      <sheetData sheetId="10815">
        <row r="7">
          <cell r="AI7">
            <v>10000</v>
          </cell>
        </row>
      </sheetData>
      <sheetData sheetId="10816">
        <row r="7">
          <cell r="AI7">
            <v>10000</v>
          </cell>
        </row>
      </sheetData>
      <sheetData sheetId="10817">
        <row r="7">
          <cell r="AI7">
            <v>10000</v>
          </cell>
        </row>
      </sheetData>
      <sheetData sheetId="10818">
        <row r="7">
          <cell r="AI7">
            <v>10000</v>
          </cell>
        </row>
      </sheetData>
      <sheetData sheetId="10819">
        <row r="7">
          <cell r="AI7">
            <v>10000</v>
          </cell>
        </row>
      </sheetData>
      <sheetData sheetId="10820">
        <row r="7">
          <cell r="AI7">
            <v>10000</v>
          </cell>
        </row>
      </sheetData>
      <sheetData sheetId="10821">
        <row r="7">
          <cell r="AI7">
            <v>10000</v>
          </cell>
        </row>
      </sheetData>
      <sheetData sheetId="10822">
        <row r="7">
          <cell r="AI7">
            <v>10000</v>
          </cell>
        </row>
      </sheetData>
      <sheetData sheetId="10823" refreshError="1"/>
      <sheetData sheetId="10824">
        <row r="7">
          <cell r="AI7">
            <v>10000</v>
          </cell>
        </row>
      </sheetData>
      <sheetData sheetId="10825">
        <row r="7">
          <cell r="AI7">
            <v>10000</v>
          </cell>
        </row>
      </sheetData>
      <sheetData sheetId="10826">
        <row r="7">
          <cell r="AI7">
            <v>10000</v>
          </cell>
        </row>
      </sheetData>
      <sheetData sheetId="10827">
        <row r="7">
          <cell r="AI7">
            <v>10000</v>
          </cell>
        </row>
      </sheetData>
      <sheetData sheetId="10828">
        <row r="7">
          <cell r="AI7">
            <v>10000</v>
          </cell>
        </row>
      </sheetData>
      <sheetData sheetId="10829">
        <row r="7">
          <cell r="AI7">
            <v>10000</v>
          </cell>
        </row>
      </sheetData>
      <sheetData sheetId="10830">
        <row r="7">
          <cell r="AI7">
            <v>10000</v>
          </cell>
        </row>
      </sheetData>
      <sheetData sheetId="10831">
        <row r="7">
          <cell r="AI7">
            <v>10000</v>
          </cell>
        </row>
      </sheetData>
      <sheetData sheetId="10832">
        <row r="7">
          <cell r="AI7">
            <v>10000</v>
          </cell>
        </row>
      </sheetData>
      <sheetData sheetId="10833">
        <row r="7">
          <cell r="AI7">
            <v>10000</v>
          </cell>
        </row>
      </sheetData>
      <sheetData sheetId="10834">
        <row r="7">
          <cell r="AI7">
            <v>10000</v>
          </cell>
        </row>
      </sheetData>
      <sheetData sheetId="10835">
        <row r="7">
          <cell r="AI7">
            <v>10000</v>
          </cell>
        </row>
      </sheetData>
      <sheetData sheetId="10836">
        <row r="7">
          <cell r="AI7">
            <v>10000</v>
          </cell>
        </row>
      </sheetData>
      <sheetData sheetId="10837">
        <row r="7">
          <cell r="AI7">
            <v>10000</v>
          </cell>
        </row>
      </sheetData>
      <sheetData sheetId="10838">
        <row r="7">
          <cell r="AI7">
            <v>10000</v>
          </cell>
        </row>
      </sheetData>
      <sheetData sheetId="10839">
        <row r="7">
          <cell r="AI7">
            <v>10000</v>
          </cell>
        </row>
      </sheetData>
      <sheetData sheetId="10840">
        <row r="7">
          <cell r="AI7">
            <v>10000</v>
          </cell>
        </row>
      </sheetData>
      <sheetData sheetId="10841">
        <row r="7">
          <cell r="AI7">
            <v>10000</v>
          </cell>
        </row>
      </sheetData>
      <sheetData sheetId="10842">
        <row r="7">
          <cell r="AI7">
            <v>10000</v>
          </cell>
        </row>
      </sheetData>
      <sheetData sheetId="10843">
        <row r="7">
          <cell r="AI7">
            <v>10000</v>
          </cell>
        </row>
      </sheetData>
      <sheetData sheetId="10844">
        <row r="7">
          <cell r="AI7">
            <v>10000</v>
          </cell>
        </row>
      </sheetData>
      <sheetData sheetId="10845">
        <row r="7">
          <cell r="AI7">
            <v>10000</v>
          </cell>
        </row>
      </sheetData>
      <sheetData sheetId="10846">
        <row r="7">
          <cell r="AI7">
            <v>10000</v>
          </cell>
        </row>
      </sheetData>
      <sheetData sheetId="10847">
        <row r="7">
          <cell r="AI7">
            <v>10000</v>
          </cell>
        </row>
      </sheetData>
      <sheetData sheetId="10848">
        <row r="7">
          <cell r="AI7">
            <v>10000</v>
          </cell>
        </row>
      </sheetData>
      <sheetData sheetId="10849">
        <row r="7">
          <cell r="AI7">
            <v>10000</v>
          </cell>
        </row>
      </sheetData>
      <sheetData sheetId="10850" refreshError="1"/>
      <sheetData sheetId="10851">
        <row r="7">
          <cell r="AI7">
            <v>10000</v>
          </cell>
        </row>
      </sheetData>
      <sheetData sheetId="10852">
        <row r="7">
          <cell r="AI7">
            <v>10000</v>
          </cell>
        </row>
      </sheetData>
      <sheetData sheetId="10853">
        <row r="7">
          <cell r="AI7">
            <v>10000</v>
          </cell>
        </row>
      </sheetData>
      <sheetData sheetId="10854">
        <row r="7">
          <cell r="AI7">
            <v>10000</v>
          </cell>
        </row>
      </sheetData>
      <sheetData sheetId="10855">
        <row r="7">
          <cell r="AI7">
            <v>10000</v>
          </cell>
        </row>
      </sheetData>
      <sheetData sheetId="10856">
        <row r="7">
          <cell r="AI7">
            <v>10000</v>
          </cell>
        </row>
      </sheetData>
      <sheetData sheetId="10857">
        <row r="7">
          <cell r="AI7">
            <v>10000</v>
          </cell>
        </row>
      </sheetData>
      <sheetData sheetId="10858">
        <row r="7">
          <cell r="AI7">
            <v>10000</v>
          </cell>
        </row>
      </sheetData>
      <sheetData sheetId="10859">
        <row r="7">
          <cell r="AI7">
            <v>10000</v>
          </cell>
        </row>
      </sheetData>
      <sheetData sheetId="10860">
        <row r="7">
          <cell r="AI7">
            <v>10000</v>
          </cell>
        </row>
      </sheetData>
      <sheetData sheetId="10861">
        <row r="7">
          <cell r="AI7">
            <v>10000</v>
          </cell>
        </row>
      </sheetData>
      <sheetData sheetId="10862">
        <row r="7">
          <cell r="AI7">
            <v>10000</v>
          </cell>
        </row>
      </sheetData>
      <sheetData sheetId="10863">
        <row r="7">
          <cell r="AI7">
            <v>10000</v>
          </cell>
        </row>
      </sheetData>
      <sheetData sheetId="10864">
        <row r="7">
          <cell r="AI7">
            <v>10000</v>
          </cell>
        </row>
      </sheetData>
      <sheetData sheetId="10865">
        <row r="7">
          <cell r="AI7">
            <v>10000</v>
          </cell>
        </row>
      </sheetData>
      <sheetData sheetId="10866">
        <row r="7">
          <cell r="AI7">
            <v>10000</v>
          </cell>
        </row>
      </sheetData>
      <sheetData sheetId="10867">
        <row r="7">
          <cell r="AI7">
            <v>10000</v>
          </cell>
        </row>
      </sheetData>
      <sheetData sheetId="10868">
        <row r="7">
          <cell r="AI7">
            <v>10000</v>
          </cell>
        </row>
      </sheetData>
      <sheetData sheetId="10869">
        <row r="7">
          <cell r="AI7">
            <v>10000</v>
          </cell>
        </row>
      </sheetData>
      <sheetData sheetId="10870">
        <row r="7">
          <cell r="AI7">
            <v>10000</v>
          </cell>
        </row>
      </sheetData>
      <sheetData sheetId="10871">
        <row r="7">
          <cell r="AI7">
            <v>10000</v>
          </cell>
        </row>
      </sheetData>
      <sheetData sheetId="10872">
        <row r="7">
          <cell r="AI7">
            <v>10000</v>
          </cell>
        </row>
      </sheetData>
      <sheetData sheetId="10873">
        <row r="7">
          <cell r="AI7">
            <v>10000</v>
          </cell>
        </row>
      </sheetData>
      <sheetData sheetId="10874">
        <row r="7">
          <cell r="AI7">
            <v>10000</v>
          </cell>
        </row>
      </sheetData>
      <sheetData sheetId="10875">
        <row r="7">
          <cell r="AI7">
            <v>10000</v>
          </cell>
        </row>
      </sheetData>
      <sheetData sheetId="10876">
        <row r="7">
          <cell r="AI7">
            <v>10000</v>
          </cell>
        </row>
      </sheetData>
      <sheetData sheetId="10877">
        <row r="7">
          <cell r="AI7">
            <v>10000</v>
          </cell>
        </row>
      </sheetData>
      <sheetData sheetId="10878">
        <row r="7">
          <cell r="AI7">
            <v>10000</v>
          </cell>
        </row>
      </sheetData>
      <sheetData sheetId="10879">
        <row r="7">
          <cell r="AI7">
            <v>10000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>
        <row r="7">
          <cell r="AI7">
            <v>10000</v>
          </cell>
        </row>
      </sheetData>
      <sheetData sheetId="10890">
        <row r="7">
          <cell r="AI7">
            <v>10000</v>
          </cell>
        </row>
      </sheetData>
      <sheetData sheetId="10891">
        <row r="7">
          <cell r="AI7">
            <v>10000</v>
          </cell>
        </row>
      </sheetData>
      <sheetData sheetId="10892">
        <row r="7">
          <cell r="AI7">
            <v>10000</v>
          </cell>
        </row>
      </sheetData>
      <sheetData sheetId="10893">
        <row r="7">
          <cell r="AI7">
            <v>10000</v>
          </cell>
        </row>
      </sheetData>
      <sheetData sheetId="10894">
        <row r="7">
          <cell r="AI7">
            <v>10000</v>
          </cell>
        </row>
      </sheetData>
      <sheetData sheetId="10895">
        <row r="7">
          <cell r="AI7">
            <v>10000</v>
          </cell>
        </row>
      </sheetData>
      <sheetData sheetId="10896">
        <row r="7">
          <cell r="AI7">
            <v>10000</v>
          </cell>
        </row>
      </sheetData>
      <sheetData sheetId="10897">
        <row r="7">
          <cell r="AI7">
            <v>10000</v>
          </cell>
        </row>
      </sheetData>
      <sheetData sheetId="10898">
        <row r="7">
          <cell r="AI7">
            <v>10000</v>
          </cell>
        </row>
      </sheetData>
      <sheetData sheetId="10899">
        <row r="7">
          <cell r="AI7">
            <v>10000</v>
          </cell>
        </row>
      </sheetData>
      <sheetData sheetId="10900">
        <row r="7">
          <cell r="AI7">
            <v>10000</v>
          </cell>
        </row>
      </sheetData>
      <sheetData sheetId="10901">
        <row r="7">
          <cell r="AI7">
            <v>10000</v>
          </cell>
        </row>
      </sheetData>
      <sheetData sheetId="10902">
        <row r="7">
          <cell r="AI7">
            <v>10000</v>
          </cell>
        </row>
      </sheetData>
      <sheetData sheetId="10903">
        <row r="7">
          <cell r="AI7">
            <v>10000</v>
          </cell>
        </row>
      </sheetData>
      <sheetData sheetId="10904">
        <row r="7">
          <cell r="AI7">
            <v>10000</v>
          </cell>
        </row>
      </sheetData>
      <sheetData sheetId="10905">
        <row r="7">
          <cell r="AI7">
            <v>10000</v>
          </cell>
        </row>
      </sheetData>
      <sheetData sheetId="10906">
        <row r="7">
          <cell r="AI7">
            <v>10000</v>
          </cell>
        </row>
      </sheetData>
      <sheetData sheetId="10907">
        <row r="7">
          <cell r="AI7">
            <v>10000</v>
          </cell>
        </row>
      </sheetData>
      <sheetData sheetId="10908">
        <row r="7">
          <cell r="AI7">
            <v>10000</v>
          </cell>
        </row>
      </sheetData>
      <sheetData sheetId="10909">
        <row r="7">
          <cell r="AI7">
            <v>10000</v>
          </cell>
        </row>
      </sheetData>
      <sheetData sheetId="10910">
        <row r="7">
          <cell r="AI7">
            <v>10000</v>
          </cell>
        </row>
      </sheetData>
      <sheetData sheetId="10911">
        <row r="7">
          <cell r="AI7">
            <v>10000</v>
          </cell>
        </row>
      </sheetData>
      <sheetData sheetId="10912">
        <row r="7">
          <cell r="AI7">
            <v>10000</v>
          </cell>
        </row>
      </sheetData>
      <sheetData sheetId="10913">
        <row r="7">
          <cell r="AI7">
            <v>10000</v>
          </cell>
        </row>
      </sheetData>
      <sheetData sheetId="10914">
        <row r="7">
          <cell r="AI7">
            <v>10000</v>
          </cell>
        </row>
      </sheetData>
      <sheetData sheetId="10915">
        <row r="7">
          <cell r="AI7">
            <v>10000</v>
          </cell>
        </row>
      </sheetData>
      <sheetData sheetId="10916">
        <row r="7">
          <cell r="AI7">
            <v>10000</v>
          </cell>
        </row>
      </sheetData>
      <sheetData sheetId="10917">
        <row r="7">
          <cell r="AI7">
            <v>10000</v>
          </cell>
        </row>
      </sheetData>
      <sheetData sheetId="10918">
        <row r="7">
          <cell r="AI7">
            <v>10000</v>
          </cell>
        </row>
      </sheetData>
      <sheetData sheetId="10919">
        <row r="7">
          <cell r="AI7">
            <v>10000</v>
          </cell>
        </row>
      </sheetData>
      <sheetData sheetId="10920">
        <row r="7">
          <cell r="AI7">
            <v>10000</v>
          </cell>
        </row>
      </sheetData>
      <sheetData sheetId="10921">
        <row r="7">
          <cell r="AI7">
            <v>10000</v>
          </cell>
        </row>
      </sheetData>
      <sheetData sheetId="10922">
        <row r="7">
          <cell r="AI7">
            <v>10000</v>
          </cell>
        </row>
      </sheetData>
      <sheetData sheetId="10923">
        <row r="7">
          <cell r="AI7">
            <v>10000</v>
          </cell>
        </row>
      </sheetData>
      <sheetData sheetId="10924">
        <row r="7">
          <cell r="AI7">
            <v>10000</v>
          </cell>
        </row>
      </sheetData>
      <sheetData sheetId="10925">
        <row r="7">
          <cell r="AI7">
            <v>10000</v>
          </cell>
        </row>
      </sheetData>
      <sheetData sheetId="10926">
        <row r="7">
          <cell r="AI7">
            <v>10000</v>
          </cell>
        </row>
      </sheetData>
      <sheetData sheetId="10927">
        <row r="7">
          <cell r="AI7">
            <v>10000</v>
          </cell>
        </row>
      </sheetData>
      <sheetData sheetId="10928">
        <row r="7">
          <cell r="AI7">
            <v>10000</v>
          </cell>
        </row>
      </sheetData>
      <sheetData sheetId="10929">
        <row r="7">
          <cell r="AI7">
            <v>10000</v>
          </cell>
        </row>
      </sheetData>
      <sheetData sheetId="10930">
        <row r="7">
          <cell r="AI7">
            <v>10000</v>
          </cell>
        </row>
      </sheetData>
      <sheetData sheetId="10931">
        <row r="7">
          <cell r="AI7">
            <v>10000</v>
          </cell>
        </row>
      </sheetData>
      <sheetData sheetId="10932">
        <row r="7">
          <cell r="AI7">
            <v>10000</v>
          </cell>
        </row>
      </sheetData>
      <sheetData sheetId="10933">
        <row r="7">
          <cell r="AI7">
            <v>10000</v>
          </cell>
        </row>
      </sheetData>
      <sheetData sheetId="10934">
        <row r="7">
          <cell r="AI7">
            <v>10000</v>
          </cell>
        </row>
      </sheetData>
      <sheetData sheetId="10935">
        <row r="7">
          <cell r="AI7">
            <v>10000</v>
          </cell>
        </row>
      </sheetData>
      <sheetData sheetId="10936">
        <row r="7">
          <cell r="AI7">
            <v>10000</v>
          </cell>
        </row>
      </sheetData>
      <sheetData sheetId="10937">
        <row r="7">
          <cell r="AI7">
            <v>10000</v>
          </cell>
        </row>
      </sheetData>
      <sheetData sheetId="10938">
        <row r="7">
          <cell r="AI7">
            <v>10000</v>
          </cell>
        </row>
      </sheetData>
      <sheetData sheetId="10939">
        <row r="7">
          <cell r="AI7">
            <v>10000</v>
          </cell>
        </row>
      </sheetData>
      <sheetData sheetId="10940">
        <row r="7">
          <cell r="AI7">
            <v>10000</v>
          </cell>
        </row>
      </sheetData>
      <sheetData sheetId="10941">
        <row r="7">
          <cell r="AI7">
            <v>10000</v>
          </cell>
        </row>
      </sheetData>
      <sheetData sheetId="10942">
        <row r="7">
          <cell r="AI7">
            <v>10000</v>
          </cell>
        </row>
      </sheetData>
      <sheetData sheetId="10943">
        <row r="7">
          <cell r="AI7">
            <v>10000</v>
          </cell>
        </row>
      </sheetData>
      <sheetData sheetId="10944">
        <row r="7">
          <cell r="AI7">
            <v>10000</v>
          </cell>
        </row>
      </sheetData>
      <sheetData sheetId="10945">
        <row r="7">
          <cell r="AI7">
            <v>10000</v>
          </cell>
        </row>
      </sheetData>
      <sheetData sheetId="10946">
        <row r="7">
          <cell r="AI7">
            <v>10000</v>
          </cell>
        </row>
      </sheetData>
      <sheetData sheetId="10947">
        <row r="7">
          <cell r="AI7">
            <v>10000</v>
          </cell>
        </row>
      </sheetData>
      <sheetData sheetId="10948">
        <row r="7">
          <cell r="AI7">
            <v>10000</v>
          </cell>
        </row>
      </sheetData>
      <sheetData sheetId="10949">
        <row r="7">
          <cell r="AI7">
            <v>10000</v>
          </cell>
        </row>
      </sheetData>
      <sheetData sheetId="10950">
        <row r="7">
          <cell r="AI7">
            <v>10000</v>
          </cell>
        </row>
      </sheetData>
      <sheetData sheetId="10951">
        <row r="7">
          <cell r="AI7">
            <v>10000</v>
          </cell>
        </row>
      </sheetData>
      <sheetData sheetId="10952">
        <row r="7">
          <cell r="AI7">
            <v>10000</v>
          </cell>
        </row>
      </sheetData>
      <sheetData sheetId="10953">
        <row r="7">
          <cell r="AI7">
            <v>10000</v>
          </cell>
        </row>
      </sheetData>
      <sheetData sheetId="10954">
        <row r="7">
          <cell r="AI7">
            <v>10000</v>
          </cell>
        </row>
      </sheetData>
      <sheetData sheetId="10955">
        <row r="7">
          <cell r="AI7">
            <v>10000</v>
          </cell>
        </row>
      </sheetData>
      <sheetData sheetId="10956">
        <row r="7">
          <cell r="AI7">
            <v>10000</v>
          </cell>
        </row>
      </sheetData>
      <sheetData sheetId="10957">
        <row r="7">
          <cell r="AI7">
            <v>10000</v>
          </cell>
        </row>
      </sheetData>
      <sheetData sheetId="10958">
        <row r="7">
          <cell r="AI7">
            <v>10000</v>
          </cell>
        </row>
      </sheetData>
      <sheetData sheetId="10959">
        <row r="7">
          <cell r="AI7">
            <v>10000</v>
          </cell>
        </row>
      </sheetData>
      <sheetData sheetId="10960">
        <row r="7">
          <cell r="AI7">
            <v>10000</v>
          </cell>
        </row>
      </sheetData>
      <sheetData sheetId="10961">
        <row r="7">
          <cell r="AI7">
            <v>10000</v>
          </cell>
        </row>
      </sheetData>
      <sheetData sheetId="10962">
        <row r="7">
          <cell r="AI7">
            <v>10000</v>
          </cell>
        </row>
      </sheetData>
      <sheetData sheetId="10963">
        <row r="7">
          <cell r="AI7">
            <v>10000</v>
          </cell>
        </row>
      </sheetData>
      <sheetData sheetId="10964">
        <row r="7">
          <cell r="AI7">
            <v>10000</v>
          </cell>
        </row>
      </sheetData>
      <sheetData sheetId="10965">
        <row r="7">
          <cell r="AI7">
            <v>10000</v>
          </cell>
        </row>
      </sheetData>
      <sheetData sheetId="10966">
        <row r="7">
          <cell r="AI7">
            <v>10000</v>
          </cell>
        </row>
      </sheetData>
      <sheetData sheetId="10967">
        <row r="7">
          <cell r="AI7">
            <v>10000</v>
          </cell>
        </row>
      </sheetData>
      <sheetData sheetId="10968">
        <row r="7">
          <cell r="AI7">
            <v>10000</v>
          </cell>
        </row>
      </sheetData>
      <sheetData sheetId="10969">
        <row r="7">
          <cell r="AI7">
            <v>10000</v>
          </cell>
        </row>
      </sheetData>
      <sheetData sheetId="10970">
        <row r="7">
          <cell r="AI7">
            <v>10000</v>
          </cell>
        </row>
      </sheetData>
      <sheetData sheetId="10971">
        <row r="7">
          <cell r="AI7">
            <v>10000</v>
          </cell>
        </row>
      </sheetData>
      <sheetData sheetId="10972">
        <row r="7">
          <cell r="AI7">
            <v>10000</v>
          </cell>
        </row>
      </sheetData>
      <sheetData sheetId="10973">
        <row r="7">
          <cell r="AI7">
            <v>10000</v>
          </cell>
        </row>
      </sheetData>
      <sheetData sheetId="10974">
        <row r="7">
          <cell r="AI7">
            <v>10000</v>
          </cell>
        </row>
      </sheetData>
      <sheetData sheetId="10975">
        <row r="7">
          <cell r="AI7">
            <v>10000</v>
          </cell>
        </row>
      </sheetData>
      <sheetData sheetId="10976">
        <row r="7">
          <cell r="AI7">
            <v>10000</v>
          </cell>
        </row>
      </sheetData>
      <sheetData sheetId="10977">
        <row r="7">
          <cell r="AI7">
            <v>10000</v>
          </cell>
        </row>
      </sheetData>
      <sheetData sheetId="10978">
        <row r="7">
          <cell r="AI7">
            <v>10000</v>
          </cell>
        </row>
      </sheetData>
      <sheetData sheetId="10979">
        <row r="7">
          <cell r="AI7">
            <v>10000</v>
          </cell>
        </row>
      </sheetData>
      <sheetData sheetId="10980">
        <row r="7">
          <cell r="AI7">
            <v>10000</v>
          </cell>
        </row>
      </sheetData>
      <sheetData sheetId="10981">
        <row r="7">
          <cell r="AI7">
            <v>10000</v>
          </cell>
        </row>
      </sheetData>
      <sheetData sheetId="10982">
        <row r="7">
          <cell r="AI7">
            <v>10000</v>
          </cell>
        </row>
      </sheetData>
      <sheetData sheetId="10983">
        <row r="7">
          <cell r="AI7">
            <v>10000</v>
          </cell>
        </row>
      </sheetData>
      <sheetData sheetId="10984">
        <row r="7">
          <cell r="AI7">
            <v>10000</v>
          </cell>
        </row>
      </sheetData>
      <sheetData sheetId="10985">
        <row r="7">
          <cell r="AI7">
            <v>10000</v>
          </cell>
        </row>
      </sheetData>
      <sheetData sheetId="10986">
        <row r="7">
          <cell r="AI7">
            <v>10000</v>
          </cell>
        </row>
      </sheetData>
      <sheetData sheetId="10987">
        <row r="7">
          <cell r="AI7">
            <v>10000</v>
          </cell>
        </row>
      </sheetData>
      <sheetData sheetId="10988" refreshError="1"/>
      <sheetData sheetId="10989" refreshError="1"/>
      <sheetData sheetId="10990">
        <row r="7">
          <cell r="AI7">
            <v>10000</v>
          </cell>
        </row>
      </sheetData>
      <sheetData sheetId="10991">
        <row r="7">
          <cell r="AI7">
            <v>10000</v>
          </cell>
        </row>
      </sheetData>
      <sheetData sheetId="10992">
        <row r="7">
          <cell r="AI7">
            <v>10000</v>
          </cell>
        </row>
      </sheetData>
      <sheetData sheetId="10993">
        <row r="7">
          <cell r="AI7">
            <v>10000</v>
          </cell>
        </row>
      </sheetData>
      <sheetData sheetId="10994">
        <row r="7">
          <cell r="AI7">
            <v>10000</v>
          </cell>
        </row>
      </sheetData>
      <sheetData sheetId="10995">
        <row r="7">
          <cell r="AI7">
            <v>10000</v>
          </cell>
        </row>
      </sheetData>
      <sheetData sheetId="10996">
        <row r="7">
          <cell r="AI7">
            <v>10000</v>
          </cell>
        </row>
      </sheetData>
      <sheetData sheetId="10997">
        <row r="7">
          <cell r="AI7">
            <v>10000</v>
          </cell>
        </row>
      </sheetData>
      <sheetData sheetId="10998">
        <row r="7">
          <cell r="AI7">
            <v>10000</v>
          </cell>
        </row>
      </sheetData>
      <sheetData sheetId="10999">
        <row r="7">
          <cell r="AI7">
            <v>10000</v>
          </cell>
        </row>
      </sheetData>
      <sheetData sheetId="11000">
        <row r="7">
          <cell r="AI7">
            <v>10000</v>
          </cell>
        </row>
      </sheetData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>
        <row r="7">
          <cell r="AI7">
            <v>10000</v>
          </cell>
        </row>
      </sheetData>
      <sheetData sheetId="11015">
        <row r="7">
          <cell r="AI7">
            <v>10000</v>
          </cell>
        </row>
      </sheetData>
      <sheetData sheetId="11016">
        <row r="7">
          <cell r="AI7">
            <v>10000</v>
          </cell>
        </row>
      </sheetData>
      <sheetData sheetId="11017">
        <row r="7">
          <cell r="AI7">
            <v>10000</v>
          </cell>
        </row>
      </sheetData>
      <sheetData sheetId="11018">
        <row r="7">
          <cell r="AI7">
            <v>10000</v>
          </cell>
        </row>
      </sheetData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>
        <row r="7">
          <cell r="AI7">
            <v>10000</v>
          </cell>
        </row>
      </sheetData>
      <sheetData sheetId="11101">
        <row r="7">
          <cell r="AI7">
            <v>10000</v>
          </cell>
        </row>
      </sheetData>
      <sheetData sheetId="11102">
        <row r="7">
          <cell r="AI7">
            <v>10000</v>
          </cell>
        </row>
      </sheetData>
      <sheetData sheetId="11103">
        <row r="7">
          <cell r="AI7">
            <v>10000</v>
          </cell>
        </row>
      </sheetData>
      <sheetData sheetId="11104">
        <row r="7">
          <cell r="AI7">
            <v>10000</v>
          </cell>
        </row>
      </sheetData>
      <sheetData sheetId="11105">
        <row r="7">
          <cell r="AI7">
            <v>10000</v>
          </cell>
        </row>
      </sheetData>
      <sheetData sheetId="11106">
        <row r="7">
          <cell r="AI7">
            <v>10000</v>
          </cell>
        </row>
      </sheetData>
      <sheetData sheetId="11107">
        <row r="7">
          <cell r="AI7">
            <v>10000</v>
          </cell>
        </row>
      </sheetData>
      <sheetData sheetId="11108">
        <row r="7">
          <cell r="AI7">
            <v>10000</v>
          </cell>
        </row>
      </sheetData>
      <sheetData sheetId="11109">
        <row r="7">
          <cell r="AI7">
            <v>10000</v>
          </cell>
        </row>
      </sheetData>
      <sheetData sheetId="11110">
        <row r="7">
          <cell r="AI7">
            <v>10000</v>
          </cell>
        </row>
      </sheetData>
      <sheetData sheetId="11111">
        <row r="7">
          <cell r="AI7">
            <v>10000</v>
          </cell>
        </row>
      </sheetData>
      <sheetData sheetId="11112">
        <row r="7">
          <cell r="AI7">
            <v>10000</v>
          </cell>
        </row>
      </sheetData>
      <sheetData sheetId="11113">
        <row r="7">
          <cell r="AI7">
            <v>10000</v>
          </cell>
        </row>
      </sheetData>
      <sheetData sheetId="11114">
        <row r="7">
          <cell r="AI7">
            <v>10000</v>
          </cell>
        </row>
      </sheetData>
      <sheetData sheetId="11115">
        <row r="7">
          <cell r="AI7">
            <v>10000</v>
          </cell>
        </row>
      </sheetData>
      <sheetData sheetId="11116">
        <row r="7">
          <cell r="AI7">
            <v>10000</v>
          </cell>
        </row>
      </sheetData>
      <sheetData sheetId="11117">
        <row r="7">
          <cell r="AI7">
            <v>10000</v>
          </cell>
        </row>
      </sheetData>
      <sheetData sheetId="11118">
        <row r="7">
          <cell r="AI7">
            <v>10000</v>
          </cell>
        </row>
      </sheetData>
      <sheetData sheetId="11119">
        <row r="7">
          <cell r="AI7">
            <v>10000</v>
          </cell>
        </row>
      </sheetData>
      <sheetData sheetId="11120">
        <row r="7">
          <cell r="AI7">
            <v>10000</v>
          </cell>
        </row>
      </sheetData>
      <sheetData sheetId="11121">
        <row r="7">
          <cell r="AI7">
            <v>10000</v>
          </cell>
        </row>
      </sheetData>
      <sheetData sheetId="11122">
        <row r="7">
          <cell r="AI7">
            <v>10000</v>
          </cell>
        </row>
      </sheetData>
      <sheetData sheetId="11123">
        <row r="7">
          <cell r="AI7">
            <v>10000</v>
          </cell>
        </row>
      </sheetData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>
        <row r="7">
          <cell r="AI7">
            <v>10000</v>
          </cell>
        </row>
      </sheetData>
      <sheetData sheetId="11141"/>
      <sheetData sheetId="11142" refreshError="1"/>
      <sheetData sheetId="11143" refreshError="1"/>
      <sheetData sheetId="11144" refreshError="1"/>
      <sheetData sheetId="11145" refreshError="1"/>
      <sheetData sheetId="11146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>
        <row r="7">
          <cell r="AH7" t="str">
            <v>SP1</v>
          </cell>
        </row>
      </sheetData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>
        <row r="7">
          <cell r="AH7" t="str">
            <v>SP1</v>
          </cell>
        </row>
      </sheetData>
      <sheetData sheetId="11242">
        <row r="7">
          <cell r="AH7" t="str">
            <v>SP1</v>
          </cell>
        </row>
      </sheetData>
      <sheetData sheetId="11243">
        <row r="7">
          <cell r="AH7" t="str">
            <v>SP1</v>
          </cell>
        </row>
      </sheetData>
      <sheetData sheetId="11244" refreshError="1"/>
      <sheetData sheetId="11245">
        <row r="7">
          <cell r="AI7">
            <v>10000</v>
          </cell>
        </row>
      </sheetData>
      <sheetData sheetId="11246" refreshError="1"/>
      <sheetData sheetId="11247" refreshError="1"/>
      <sheetData sheetId="11248">
        <row r="7">
          <cell r="AH7" t="str">
            <v>SP1</v>
          </cell>
        </row>
      </sheetData>
      <sheetData sheetId="11249" refreshError="1"/>
      <sheetData sheetId="11250">
        <row r="7">
          <cell r="AI7">
            <v>10000</v>
          </cell>
        </row>
      </sheetData>
      <sheetData sheetId="11251">
        <row r="7">
          <cell r="AH7" t="str">
            <v>SP1</v>
          </cell>
        </row>
      </sheetData>
      <sheetData sheetId="11252">
        <row r="7">
          <cell r="AH7" t="str">
            <v>SP1</v>
          </cell>
        </row>
      </sheetData>
      <sheetData sheetId="11253">
        <row r="7">
          <cell r="AH7" t="str">
            <v>SP1</v>
          </cell>
        </row>
      </sheetData>
      <sheetData sheetId="11254">
        <row r="7">
          <cell r="AI7">
            <v>10000</v>
          </cell>
        </row>
      </sheetData>
      <sheetData sheetId="11255">
        <row r="7">
          <cell r="AI7">
            <v>10000</v>
          </cell>
        </row>
      </sheetData>
      <sheetData sheetId="11256">
        <row r="7">
          <cell r="AH7" t="str">
            <v>SP1</v>
          </cell>
        </row>
      </sheetData>
      <sheetData sheetId="11257">
        <row r="7">
          <cell r="AH7" t="str">
            <v>SP1</v>
          </cell>
        </row>
      </sheetData>
      <sheetData sheetId="11258">
        <row r="7">
          <cell r="AH7" t="str">
            <v>SP1</v>
          </cell>
        </row>
      </sheetData>
      <sheetData sheetId="11259">
        <row r="7">
          <cell r="AI7">
            <v>10000</v>
          </cell>
        </row>
      </sheetData>
      <sheetData sheetId="11260">
        <row r="7">
          <cell r="AI7">
            <v>10000</v>
          </cell>
        </row>
      </sheetData>
      <sheetData sheetId="11261">
        <row r="7">
          <cell r="AI7">
            <v>10000</v>
          </cell>
        </row>
      </sheetData>
      <sheetData sheetId="11262">
        <row r="7">
          <cell r="AI7">
            <v>10000</v>
          </cell>
        </row>
      </sheetData>
      <sheetData sheetId="11263">
        <row r="7">
          <cell r="AI7">
            <v>10000</v>
          </cell>
        </row>
      </sheetData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>
        <row r="7">
          <cell r="AI7">
            <v>10000</v>
          </cell>
        </row>
      </sheetData>
      <sheetData sheetId="11276">
        <row r="7">
          <cell r="AI7">
            <v>10000</v>
          </cell>
        </row>
      </sheetData>
      <sheetData sheetId="11277">
        <row r="7">
          <cell r="AI7">
            <v>10000</v>
          </cell>
        </row>
      </sheetData>
      <sheetData sheetId="11278">
        <row r="7">
          <cell r="AI7">
            <v>10000</v>
          </cell>
        </row>
      </sheetData>
      <sheetData sheetId="11279">
        <row r="7">
          <cell r="AI7">
            <v>10000</v>
          </cell>
        </row>
      </sheetData>
      <sheetData sheetId="11280">
        <row r="7">
          <cell r="AI7">
            <v>10000</v>
          </cell>
        </row>
      </sheetData>
      <sheetData sheetId="11281">
        <row r="7">
          <cell r="AI7">
            <v>10000</v>
          </cell>
        </row>
      </sheetData>
      <sheetData sheetId="11282">
        <row r="7">
          <cell r="AI7">
            <v>10000</v>
          </cell>
        </row>
      </sheetData>
      <sheetData sheetId="11283">
        <row r="7">
          <cell r="AI7">
            <v>10000</v>
          </cell>
        </row>
      </sheetData>
      <sheetData sheetId="11284">
        <row r="7">
          <cell r="AI7">
            <v>10000</v>
          </cell>
        </row>
      </sheetData>
      <sheetData sheetId="11285">
        <row r="7">
          <cell r="AI7">
            <v>10000</v>
          </cell>
        </row>
      </sheetData>
      <sheetData sheetId="11286">
        <row r="7">
          <cell r="AI7">
            <v>10000</v>
          </cell>
        </row>
      </sheetData>
      <sheetData sheetId="11287">
        <row r="7">
          <cell r="AI7">
            <v>10000</v>
          </cell>
        </row>
      </sheetData>
      <sheetData sheetId="11288">
        <row r="7">
          <cell r="AI7">
            <v>10000</v>
          </cell>
        </row>
      </sheetData>
      <sheetData sheetId="11289">
        <row r="7">
          <cell r="AI7">
            <v>10000</v>
          </cell>
        </row>
      </sheetData>
      <sheetData sheetId="11290">
        <row r="7">
          <cell r="AI7">
            <v>10000</v>
          </cell>
        </row>
      </sheetData>
      <sheetData sheetId="11291">
        <row r="7">
          <cell r="AI7">
            <v>10000</v>
          </cell>
        </row>
      </sheetData>
      <sheetData sheetId="11292">
        <row r="7">
          <cell r="AI7">
            <v>10000</v>
          </cell>
        </row>
      </sheetData>
      <sheetData sheetId="11293">
        <row r="7">
          <cell r="AI7">
            <v>10000</v>
          </cell>
        </row>
      </sheetData>
      <sheetData sheetId="11294">
        <row r="7">
          <cell r="AI7">
            <v>10000</v>
          </cell>
        </row>
      </sheetData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>
        <row r="7">
          <cell r="AI7">
            <v>10000</v>
          </cell>
        </row>
      </sheetData>
      <sheetData sheetId="11318">
        <row r="7">
          <cell r="AI7">
            <v>10000</v>
          </cell>
        </row>
      </sheetData>
      <sheetData sheetId="11319" refreshError="1"/>
      <sheetData sheetId="11320">
        <row r="7">
          <cell r="AI7">
            <v>10000</v>
          </cell>
        </row>
      </sheetData>
      <sheetData sheetId="11321">
        <row r="7">
          <cell r="AI7">
            <v>10000</v>
          </cell>
        </row>
      </sheetData>
      <sheetData sheetId="11322">
        <row r="7">
          <cell r="AI7">
            <v>10000</v>
          </cell>
        </row>
      </sheetData>
      <sheetData sheetId="11323">
        <row r="7">
          <cell r="AI7">
            <v>10000</v>
          </cell>
        </row>
      </sheetData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>
        <row r="7">
          <cell r="AI7">
            <v>10000</v>
          </cell>
        </row>
      </sheetData>
      <sheetData sheetId="11331">
        <row r="7">
          <cell r="AI7">
            <v>10000</v>
          </cell>
        </row>
      </sheetData>
      <sheetData sheetId="11332">
        <row r="7">
          <cell r="AI7">
            <v>10000</v>
          </cell>
        </row>
      </sheetData>
      <sheetData sheetId="11333">
        <row r="7">
          <cell r="AI7">
            <v>10000</v>
          </cell>
        </row>
      </sheetData>
      <sheetData sheetId="11334">
        <row r="7">
          <cell r="AI7">
            <v>10000</v>
          </cell>
        </row>
      </sheetData>
      <sheetData sheetId="11335">
        <row r="7">
          <cell r="AI7">
            <v>10000</v>
          </cell>
        </row>
      </sheetData>
      <sheetData sheetId="11336">
        <row r="7">
          <cell r="AI7">
            <v>10000</v>
          </cell>
        </row>
      </sheetData>
      <sheetData sheetId="11337">
        <row r="7">
          <cell r="AI7">
            <v>10000</v>
          </cell>
        </row>
      </sheetData>
      <sheetData sheetId="11338">
        <row r="7">
          <cell r="AI7">
            <v>10000</v>
          </cell>
        </row>
      </sheetData>
      <sheetData sheetId="11339">
        <row r="7">
          <cell r="AI7">
            <v>10000</v>
          </cell>
        </row>
      </sheetData>
      <sheetData sheetId="11340">
        <row r="7">
          <cell r="AI7">
            <v>10000</v>
          </cell>
        </row>
      </sheetData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>
        <row r="7">
          <cell r="AI7">
            <v>10000</v>
          </cell>
        </row>
      </sheetData>
      <sheetData sheetId="11347">
        <row r="7">
          <cell r="AI7">
            <v>10000</v>
          </cell>
        </row>
      </sheetData>
      <sheetData sheetId="11348">
        <row r="7">
          <cell r="AI7">
            <v>10000</v>
          </cell>
        </row>
      </sheetData>
      <sheetData sheetId="11349">
        <row r="7">
          <cell r="AI7">
            <v>10000</v>
          </cell>
        </row>
      </sheetData>
      <sheetData sheetId="11350">
        <row r="7">
          <cell r="AI7">
            <v>10000</v>
          </cell>
        </row>
      </sheetData>
      <sheetData sheetId="11351">
        <row r="7">
          <cell r="AI7">
            <v>10000</v>
          </cell>
        </row>
      </sheetData>
      <sheetData sheetId="11352">
        <row r="7">
          <cell r="AI7">
            <v>10000</v>
          </cell>
        </row>
      </sheetData>
      <sheetData sheetId="11353">
        <row r="7">
          <cell r="AI7">
            <v>10000</v>
          </cell>
        </row>
      </sheetData>
      <sheetData sheetId="11354">
        <row r="7">
          <cell r="AI7">
            <v>10000</v>
          </cell>
        </row>
      </sheetData>
      <sheetData sheetId="11355">
        <row r="7">
          <cell r="AI7">
            <v>10000</v>
          </cell>
        </row>
      </sheetData>
      <sheetData sheetId="11356">
        <row r="7">
          <cell r="AI7">
            <v>10000</v>
          </cell>
        </row>
      </sheetData>
      <sheetData sheetId="11357">
        <row r="7">
          <cell r="AI7">
            <v>10000</v>
          </cell>
        </row>
      </sheetData>
      <sheetData sheetId="11358">
        <row r="7">
          <cell r="AI7">
            <v>10000</v>
          </cell>
        </row>
      </sheetData>
      <sheetData sheetId="11359">
        <row r="7">
          <cell r="AI7">
            <v>10000</v>
          </cell>
        </row>
      </sheetData>
      <sheetData sheetId="11360">
        <row r="7">
          <cell r="AI7">
            <v>10000</v>
          </cell>
        </row>
      </sheetData>
      <sheetData sheetId="11361">
        <row r="7">
          <cell r="AI7">
            <v>10000</v>
          </cell>
        </row>
      </sheetData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>
        <row r="7">
          <cell r="AI7">
            <v>10000</v>
          </cell>
        </row>
      </sheetData>
      <sheetData sheetId="11378">
        <row r="7">
          <cell r="AI7">
            <v>10000</v>
          </cell>
        </row>
      </sheetData>
      <sheetData sheetId="11379">
        <row r="7">
          <cell r="AI7">
            <v>10000</v>
          </cell>
        </row>
      </sheetData>
      <sheetData sheetId="11380">
        <row r="7">
          <cell r="AI7">
            <v>10000</v>
          </cell>
        </row>
      </sheetData>
      <sheetData sheetId="11381">
        <row r="7">
          <cell r="AI7">
            <v>10000</v>
          </cell>
        </row>
      </sheetData>
      <sheetData sheetId="11382">
        <row r="7">
          <cell r="AI7">
            <v>10000</v>
          </cell>
        </row>
      </sheetData>
      <sheetData sheetId="11383">
        <row r="7">
          <cell r="AI7">
            <v>10000</v>
          </cell>
        </row>
      </sheetData>
      <sheetData sheetId="11384">
        <row r="7">
          <cell r="AI7">
            <v>10000</v>
          </cell>
        </row>
      </sheetData>
      <sheetData sheetId="11385">
        <row r="7">
          <cell r="AI7">
            <v>10000</v>
          </cell>
        </row>
      </sheetData>
      <sheetData sheetId="11386">
        <row r="7">
          <cell r="AI7">
            <v>10000</v>
          </cell>
        </row>
      </sheetData>
      <sheetData sheetId="11387">
        <row r="7">
          <cell r="AI7">
            <v>10000</v>
          </cell>
        </row>
      </sheetData>
      <sheetData sheetId="11388">
        <row r="7">
          <cell r="AI7">
            <v>10000</v>
          </cell>
        </row>
      </sheetData>
      <sheetData sheetId="11389">
        <row r="7">
          <cell r="AI7">
            <v>10000</v>
          </cell>
        </row>
      </sheetData>
      <sheetData sheetId="11390">
        <row r="7">
          <cell r="AI7">
            <v>10000</v>
          </cell>
        </row>
      </sheetData>
      <sheetData sheetId="11391">
        <row r="7">
          <cell r="AI7">
            <v>10000</v>
          </cell>
        </row>
      </sheetData>
      <sheetData sheetId="11392">
        <row r="7">
          <cell r="AI7">
            <v>10000</v>
          </cell>
        </row>
      </sheetData>
      <sheetData sheetId="11393">
        <row r="7">
          <cell r="AI7">
            <v>10000</v>
          </cell>
        </row>
      </sheetData>
      <sheetData sheetId="11394">
        <row r="7">
          <cell r="AI7">
            <v>10000</v>
          </cell>
        </row>
      </sheetData>
      <sheetData sheetId="11395">
        <row r="7">
          <cell r="AI7">
            <v>10000</v>
          </cell>
        </row>
      </sheetData>
      <sheetData sheetId="11396">
        <row r="7">
          <cell r="AI7">
            <v>10000</v>
          </cell>
        </row>
      </sheetData>
      <sheetData sheetId="11397">
        <row r="7">
          <cell r="AI7">
            <v>10000</v>
          </cell>
        </row>
      </sheetData>
      <sheetData sheetId="11398">
        <row r="7">
          <cell r="AI7">
            <v>10000</v>
          </cell>
        </row>
      </sheetData>
      <sheetData sheetId="11399">
        <row r="7">
          <cell r="AI7">
            <v>10000</v>
          </cell>
        </row>
      </sheetData>
      <sheetData sheetId="11400">
        <row r="7">
          <cell r="AI7">
            <v>10000</v>
          </cell>
        </row>
      </sheetData>
      <sheetData sheetId="11401">
        <row r="7">
          <cell r="AI7">
            <v>10000</v>
          </cell>
        </row>
      </sheetData>
      <sheetData sheetId="11402">
        <row r="7">
          <cell r="AI7">
            <v>10000</v>
          </cell>
        </row>
      </sheetData>
      <sheetData sheetId="11403">
        <row r="7">
          <cell r="AI7">
            <v>10000</v>
          </cell>
        </row>
      </sheetData>
      <sheetData sheetId="11404">
        <row r="7">
          <cell r="AI7">
            <v>10000</v>
          </cell>
        </row>
      </sheetData>
      <sheetData sheetId="11405">
        <row r="7">
          <cell r="AI7">
            <v>10000</v>
          </cell>
        </row>
      </sheetData>
      <sheetData sheetId="11406">
        <row r="7">
          <cell r="AI7">
            <v>10000</v>
          </cell>
        </row>
      </sheetData>
      <sheetData sheetId="11407">
        <row r="7">
          <cell r="AI7">
            <v>10000</v>
          </cell>
        </row>
      </sheetData>
      <sheetData sheetId="11408">
        <row r="7">
          <cell r="AI7">
            <v>10000</v>
          </cell>
        </row>
      </sheetData>
      <sheetData sheetId="11409">
        <row r="7">
          <cell r="AI7">
            <v>10000</v>
          </cell>
        </row>
      </sheetData>
      <sheetData sheetId="11410">
        <row r="7">
          <cell r="AI7">
            <v>10000</v>
          </cell>
        </row>
      </sheetData>
      <sheetData sheetId="11411">
        <row r="7">
          <cell r="AI7">
            <v>10000</v>
          </cell>
        </row>
      </sheetData>
      <sheetData sheetId="11412">
        <row r="7">
          <cell r="AI7">
            <v>10000</v>
          </cell>
        </row>
      </sheetData>
      <sheetData sheetId="11413">
        <row r="7">
          <cell r="AI7">
            <v>10000</v>
          </cell>
        </row>
      </sheetData>
      <sheetData sheetId="11414">
        <row r="7">
          <cell r="AI7">
            <v>10000</v>
          </cell>
        </row>
      </sheetData>
      <sheetData sheetId="11415">
        <row r="7">
          <cell r="AI7">
            <v>10000</v>
          </cell>
        </row>
      </sheetData>
      <sheetData sheetId="11416">
        <row r="7">
          <cell r="AI7">
            <v>10000</v>
          </cell>
        </row>
      </sheetData>
      <sheetData sheetId="11417">
        <row r="7">
          <cell r="AI7">
            <v>10000</v>
          </cell>
        </row>
      </sheetData>
      <sheetData sheetId="11418">
        <row r="7">
          <cell r="AI7">
            <v>10000</v>
          </cell>
        </row>
      </sheetData>
      <sheetData sheetId="11419">
        <row r="7">
          <cell r="AI7">
            <v>10000</v>
          </cell>
        </row>
      </sheetData>
      <sheetData sheetId="11420">
        <row r="7">
          <cell r="AI7">
            <v>10000</v>
          </cell>
        </row>
      </sheetData>
      <sheetData sheetId="11421">
        <row r="7">
          <cell r="AI7">
            <v>10000</v>
          </cell>
        </row>
      </sheetData>
      <sheetData sheetId="11422">
        <row r="7">
          <cell r="AI7">
            <v>10000</v>
          </cell>
        </row>
      </sheetData>
      <sheetData sheetId="11423">
        <row r="7">
          <cell r="AI7">
            <v>10000</v>
          </cell>
        </row>
      </sheetData>
      <sheetData sheetId="11424">
        <row r="7">
          <cell r="AI7">
            <v>10000</v>
          </cell>
        </row>
      </sheetData>
      <sheetData sheetId="11425">
        <row r="7">
          <cell r="AI7">
            <v>10000</v>
          </cell>
        </row>
      </sheetData>
      <sheetData sheetId="11426">
        <row r="7">
          <cell r="AI7">
            <v>10000</v>
          </cell>
        </row>
      </sheetData>
      <sheetData sheetId="11427">
        <row r="7">
          <cell r="AI7">
            <v>10000</v>
          </cell>
        </row>
      </sheetData>
      <sheetData sheetId="11428">
        <row r="7">
          <cell r="AI7">
            <v>10000</v>
          </cell>
        </row>
      </sheetData>
      <sheetData sheetId="11429">
        <row r="7">
          <cell r="AI7">
            <v>10000</v>
          </cell>
        </row>
      </sheetData>
      <sheetData sheetId="11430">
        <row r="7">
          <cell r="AI7">
            <v>10000</v>
          </cell>
        </row>
      </sheetData>
      <sheetData sheetId="11431">
        <row r="7">
          <cell r="AI7">
            <v>10000</v>
          </cell>
        </row>
      </sheetData>
      <sheetData sheetId="11432">
        <row r="7">
          <cell r="AI7">
            <v>10000</v>
          </cell>
        </row>
      </sheetData>
      <sheetData sheetId="11433">
        <row r="7">
          <cell r="AI7">
            <v>10000</v>
          </cell>
        </row>
      </sheetData>
      <sheetData sheetId="11434">
        <row r="7">
          <cell r="AI7">
            <v>10000</v>
          </cell>
        </row>
      </sheetData>
      <sheetData sheetId="11435">
        <row r="7">
          <cell r="AI7">
            <v>10000</v>
          </cell>
        </row>
      </sheetData>
      <sheetData sheetId="11436">
        <row r="7">
          <cell r="AI7">
            <v>10000</v>
          </cell>
        </row>
      </sheetData>
      <sheetData sheetId="11437">
        <row r="7">
          <cell r="AI7">
            <v>10000</v>
          </cell>
        </row>
      </sheetData>
      <sheetData sheetId="11438">
        <row r="7">
          <cell r="AI7">
            <v>10000</v>
          </cell>
        </row>
      </sheetData>
      <sheetData sheetId="11439">
        <row r="7">
          <cell r="AI7">
            <v>10000</v>
          </cell>
        </row>
      </sheetData>
      <sheetData sheetId="11440">
        <row r="7">
          <cell r="AI7">
            <v>10000</v>
          </cell>
        </row>
      </sheetData>
      <sheetData sheetId="11441">
        <row r="7">
          <cell r="AI7">
            <v>10000</v>
          </cell>
        </row>
      </sheetData>
      <sheetData sheetId="11442">
        <row r="7">
          <cell r="AI7">
            <v>10000</v>
          </cell>
        </row>
      </sheetData>
      <sheetData sheetId="11443">
        <row r="7">
          <cell r="AI7">
            <v>10000</v>
          </cell>
        </row>
      </sheetData>
      <sheetData sheetId="11444">
        <row r="7">
          <cell r="AI7">
            <v>10000</v>
          </cell>
        </row>
      </sheetData>
      <sheetData sheetId="11445">
        <row r="7">
          <cell r="AI7">
            <v>10000</v>
          </cell>
        </row>
      </sheetData>
      <sheetData sheetId="11446">
        <row r="7">
          <cell r="AI7">
            <v>10000</v>
          </cell>
        </row>
      </sheetData>
      <sheetData sheetId="11447">
        <row r="7">
          <cell r="AI7">
            <v>10000</v>
          </cell>
        </row>
      </sheetData>
      <sheetData sheetId="11448">
        <row r="7">
          <cell r="AI7">
            <v>10000</v>
          </cell>
        </row>
      </sheetData>
      <sheetData sheetId="11449">
        <row r="7">
          <cell r="AI7">
            <v>10000</v>
          </cell>
        </row>
      </sheetData>
      <sheetData sheetId="11450">
        <row r="7">
          <cell r="AI7">
            <v>10000</v>
          </cell>
        </row>
      </sheetData>
      <sheetData sheetId="11451">
        <row r="7">
          <cell r="AI7">
            <v>10000</v>
          </cell>
        </row>
      </sheetData>
      <sheetData sheetId="11452">
        <row r="7">
          <cell r="AI7">
            <v>10000</v>
          </cell>
        </row>
      </sheetData>
      <sheetData sheetId="11453">
        <row r="7">
          <cell r="AI7">
            <v>10000</v>
          </cell>
        </row>
      </sheetData>
      <sheetData sheetId="11454">
        <row r="7">
          <cell r="AI7">
            <v>10000</v>
          </cell>
        </row>
      </sheetData>
      <sheetData sheetId="11455">
        <row r="7">
          <cell r="AI7">
            <v>10000</v>
          </cell>
        </row>
      </sheetData>
      <sheetData sheetId="11456">
        <row r="7">
          <cell r="AI7">
            <v>10000</v>
          </cell>
        </row>
      </sheetData>
      <sheetData sheetId="11457">
        <row r="7">
          <cell r="AI7">
            <v>10000</v>
          </cell>
        </row>
      </sheetData>
      <sheetData sheetId="11458">
        <row r="7">
          <cell r="AI7">
            <v>10000</v>
          </cell>
        </row>
      </sheetData>
      <sheetData sheetId="11459">
        <row r="7">
          <cell r="AI7">
            <v>10000</v>
          </cell>
        </row>
      </sheetData>
      <sheetData sheetId="11460">
        <row r="7">
          <cell r="AI7">
            <v>10000</v>
          </cell>
        </row>
      </sheetData>
      <sheetData sheetId="11461">
        <row r="7">
          <cell r="AI7">
            <v>10000</v>
          </cell>
        </row>
      </sheetData>
      <sheetData sheetId="11462">
        <row r="7">
          <cell r="AI7">
            <v>10000</v>
          </cell>
        </row>
      </sheetData>
      <sheetData sheetId="11463">
        <row r="7">
          <cell r="AI7">
            <v>10000</v>
          </cell>
        </row>
      </sheetData>
      <sheetData sheetId="11464">
        <row r="7">
          <cell r="AI7">
            <v>10000</v>
          </cell>
        </row>
      </sheetData>
      <sheetData sheetId="11465">
        <row r="7">
          <cell r="AI7">
            <v>10000</v>
          </cell>
        </row>
      </sheetData>
      <sheetData sheetId="11466">
        <row r="7">
          <cell r="AI7">
            <v>10000</v>
          </cell>
        </row>
      </sheetData>
      <sheetData sheetId="11467">
        <row r="7">
          <cell r="AI7">
            <v>10000</v>
          </cell>
        </row>
      </sheetData>
      <sheetData sheetId="11468">
        <row r="7">
          <cell r="AI7">
            <v>10000</v>
          </cell>
        </row>
      </sheetData>
      <sheetData sheetId="11469">
        <row r="7">
          <cell r="AI7">
            <v>10000</v>
          </cell>
        </row>
      </sheetData>
      <sheetData sheetId="11470">
        <row r="7">
          <cell r="AI7">
            <v>10000</v>
          </cell>
        </row>
      </sheetData>
      <sheetData sheetId="11471">
        <row r="7">
          <cell r="AI7">
            <v>10000</v>
          </cell>
        </row>
      </sheetData>
      <sheetData sheetId="11472">
        <row r="7">
          <cell r="AI7">
            <v>10000</v>
          </cell>
        </row>
      </sheetData>
      <sheetData sheetId="11473">
        <row r="7">
          <cell r="AI7">
            <v>10000</v>
          </cell>
        </row>
      </sheetData>
      <sheetData sheetId="11474">
        <row r="7">
          <cell r="AI7">
            <v>10000</v>
          </cell>
        </row>
      </sheetData>
      <sheetData sheetId="11475">
        <row r="7">
          <cell r="AI7">
            <v>10000</v>
          </cell>
        </row>
      </sheetData>
      <sheetData sheetId="11476">
        <row r="7">
          <cell r="AI7">
            <v>10000</v>
          </cell>
        </row>
      </sheetData>
      <sheetData sheetId="11477">
        <row r="7">
          <cell r="AI7">
            <v>10000</v>
          </cell>
        </row>
      </sheetData>
      <sheetData sheetId="11478">
        <row r="7">
          <cell r="AI7">
            <v>10000</v>
          </cell>
        </row>
      </sheetData>
      <sheetData sheetId="11479">
        <row r="7">
          <cell r="AI7">
            <v>10000</v>
          </cell>
        </row>
      </sheetData>
      <sheetData sheetId="11480">
        <row r="7">
          <cell r="AI7">
            <v>10000</v>
          </cell>
        </row>
      </sheetData>
      <sheetData sheetId="11481">
        <row r="7">
          <cell r="AI7">
            <v>10000</v>
          </cell>
        </row>
      </sheetData>
      <sheetData sheetId="11482">
        <row r="7">
          <cell r="AI7">
            <v>10000</v>
          </cell>
        </row>
      </sheetData>
      <sheetData sheetId="11483">
        <row r="7">
          <cell r="AI7">
            <v>10000</v>
          </cell>
        </row>
      </sheetData>
      <sheetData sheetId="11484">
        <row r="7">
          <cell r="AI7">
            <v>10000</v>
          </cell>
        </row>
      </sheetData>
      <sheetData sheetId="11485">
        <row r="7">
          <cell r="AI7">
            <v>10000</v>
          </cell>
        </row>
      </sheetData>
      <sheetData sheetId="11486">
        <row r="7">
          <cell r="AI7">
            <v>10000</v>
          </cell>
        </row>
      </sheetData>
      <sheetData sheetId="11487">
        <row r="7">
          <cell r="AI7">
            <v>10000</v>
          </cell>
        </row>
      </sheetData>
      <sheetData sheetId="11488">
        <row r="7">
          <cell r="AI7">
            <v>10000</v>
          </cell>
        </row>
      </sheetData>
      <sheetData sheetId="11489">
        <row r="7">
          <cell r="AI7">
            <v>10000</v>
          </cell>
        </row>
      </sheetData>
      <sheetData sheetId="11490">
        <row r="7">
          <cell r="AI7">
            <v>10000</v>
          </cell>
        </row>
      </sheetData>
      <sheetData sheetId="11491">
        <row r="7">
          <cell r="AI7">
            <v>10000</v>
          </cell>
        </row>
      </sheetData>
      <sheetData sheetId="11492">
        <row r="7">
          <cell r="AI7">
            <v>10000</v>
          </cell>
        </row>
      </sheetData>
      <sheetData sheetId="11493">
        <row r="7">
          <cell r="AI7">
            <v>10000</v>
          </cell>
        </row>
      </sheetData>
      <sheetData sheetId="11494">
        <row r="7">
          <cell r="AI7">
            <v>10000</v>
          </cell>
        </row>
      </sheetData>
      <sheetData sheetId="11495">
        <row r="7">
          <cell r="AI7">
            <v>10000</v>
          </cell>
        </row>
      </sheetData>
      <sheetData sheetId="11496">
        <row r="7">
          <cell r="AI7">
            <v>10000</v>
          </cell>
        </row>
      </sheetData>
      <sheetData sheetId="11497">
        <row r="7">
          <cell r="AI7">
            <v>10000</v>
          </cell>
        </row>
      </sheetData>
      <sheetData sheetId="11498">
        <row r="7">
          <cell r="AI7">
            <v>10000</v>
          </cell>
        </row>
      </sheetData>
      <sheetData sheetId="11499">
        <row r="7">
          <cell r="AI7">
            <v>10000</v>
          </cell>
        </row>
      </sheetData>
      <sheetData sheetId="11500">
        <row r="7">
          <cell r="AI7">
            <v>10000</v>
          </cell>
        </row>
      </sheetData>
      <sheetData sheetId="11501">
        <row r="7">
          <cell r="AI7">
            <v>10000</v>
          </cell>
        </row>
      </sheetData>
      <sheetData sheetId="11502">
        <row r="7">
          <cell r="AI7">
            <v>10000</v>
          </cell>
        </row>
      </sheetData>
      <sheetData sheetId="11503">
        <row r="7">
          <cell r="AI7">
            <v>10000</v>
          </cell>
        </row>
      </sheetData>
      <sheetData sheetId="11504">
        <row r="7">
          <cell r="AI7">
            <v>10000</v>
          </cell>
        </row>
      </sheetData>
      <sheetData sheetId="11505">
        <row r="7">
          <cell r="AI7">
            <v>10000</v>
          </cell>
        </row>
      </sheetData>
      <sheetData sheetId="11506">
        <row r="7">
          <cell r="AI7">
            <v>10000</v>
          </cell>
        </row>
      </sheetData>
      <sheetData sheetId="11507">
        <row r="7">
          <cell r="AI7">
            <v>10000</v>
          </cell>
        </row>
      </sheetData>
      <sheetData sheetId="11508">
        <row r="7">
          <cell r="AI7">
            <v>10000</v>
          </cell>
        </row>
      </sheetData>
      <sheetData sheetId="11509">
        <row r="7">
          <cell r="AI7">
            <v>10000</v>
          </cell>
        </row>
      </sheetData>
      <sheetData sheetId="11510">
        <row r="7">
          <cell r="AI7">
            <v>10000</v>
          </cell>
        </row>
      </sheetData>
      <sheetData sheetId="11511">
        <row r="7">
          <cell r="AI7">
            <v>10000</v>
          </cell>
        </row>
      </sheetData>
      <sheetData sheetId="11512">
        <row r="7">
          <cell r="AI7">
            <v>10000</v>
          </cell>
        </row>
      </sheetData>
      <sheetData sheetId="11513">
        <row r="7">
          <cell r="AI7">
            <v>10000</v>
          </cell>
        </row>
      </sheetData>
      <sheetData sheetId="11514">
        <row r="7">
          <cell r="AI7">
            <v>10000</v>
          </cell>
        </row>
      </sheetData>
      <sheetData sheetId="11515">
        <row r="7">
          <cell r="AI7">
            <v>10000</v>
          </cell>
        </row>
      </sheetData>
      <sheetData sheetId="11516">
        <row r="7">
          <cell r="AI7">
            <v>10000</v>
          </cell>
        </row>
      </sheetData>
      <sheetData sheetId="11517">
        <row r="7">
          <cell r="AI7">
            <v>10000</v>
          </cell>
        </row>
      </sheetData>
      <sheetData sheetId="11518">
        <row r="7">
          <cell r="AI7">
            <v>10000</v>
          </cell>
        </row>
      </sheetData>
      <sheetData sheetId="11519">
        <row r="7">
          <cell r="AI7">
            <v>10000</v>
          </cell>
        </row>
      </sheetData>
      <sheetData sheetId="11520">
        <row r="7">
          <cell r="AI7">
            <v>10000</v>
          </cell>
        </row>
      </sheetData>
      <sheetData sheetId="11521">
        <row r="7">
          <cell r="AI7">
            <v>10000</v>
          </cell>
        </row>
      </sheetData>
      <sheetData sheetId="11522">
        <row r="7">
          <cell r="AI7">
            <v>10000</v>
          </cell>
        </row>
      </sheetData>
      <sheetData sheetId="11523">
        <row r="7">
          <cell r="AI7">
            <v>10000</v>
          </cell>
        </row>
      </sheetData>
      <sheetData sheetId="11524">
        <row r="7">
          <cell r="AI7">
            <v>10000</v>
          </cell>
        </row>
      </sheetData>
      <sheetData sheetId="11525">
        <row r="7">
          <cell r="AI7">
            <v>10000</v>
          </cell>
        </row>
      </sheetData>
      <sheetData sheetId="11526">
        <row r="7">
          <cell r="AI7">
            <v>10000</v>
          </cell>
        </row>
      </sheetData>
      <sheetData sheetId="11527">
        <row r="7">
          <cell r="AI7">
            <v>10000</v>
          </cell>
        </row>
      </sheetData>
      <sheetData sheetId="11528">
        <row r="7">
          <cell r="AI7">
            <v>10000</v>
          </cell>
        </row>
      </sheetData>
      <sheetData sheetId="11529">
        <row r="7">
          <cell r="AI7">
            <v>10000</v>
          </cell>
        </row>
      </sheetData>
      <sheetData sheetId="11530">
        <row r="7">
          <cell r="AI7">
            <v>10000</v>
          </cell>
        </row>
      </sheetData>
      <sheetData sheetId="11531">
        <row r="7">
          <cell r="AI7">
            <v>10000</v>
          </cell>
        </row>
      </sheetData>
      <sheetData sheetId="11532">
        <row r="7">
          <cell r="AI7">
            <v>10000</v>
          </cell>
        </row>
      </sheetData>
      <sheetData sheetId="11533">
        <row r="7">
          <cell r="AI7">
            <v>10000</v>
          </cell>
        </row>
      </sheetData>
      <sheetData sheetId="11534">
        <row r="7">
          <cell r="AI7">
            <v>10000</v>
          </cell>
        </row>
      </sheetData>
      <sheetData sheetId="11535">
        <row r="7">
          <cell r="AI7">
            <v>10000</v>
          </cell>
        </row>
      </sheetData>
      <sheetData sheetId="11536">
        <row r="7">
          <cell r="AI7">
            <v>10000</v>
          </cell>
        </row>
      </sheetData>
      <sheetData sheetId="11537">
        <row r="7">
          <cell r="AI7">
            <v>10000</v>
          </cell>
        </row>
      </sheetData>
      <sheetData sheetId="11538">
        <row r="7">
          <cell r="AI7">
            <v>10000</v>
          </cell>
        </row>
      </sheetData>
      <sheetData sheetId="11539">
        <row r="7">
          <cell r="AI7">
            <v>10000</v>
          </cell>
        </row>
      </sheetData>
      <sheetData sheetId="11540">
        <row r="7">
          <cell r="AI7">
            <v>10000</v>
          </cell>
        </row>
      </sheetData>
      <sheetData sheetId="11541">
        <row r="7">
          <cell r="AI7">
            <v>10000</v>
          </cell>
        </row>
      </sheetData>
      <sheetData sheetId="11542">
        <row r="7">
          <cell r="AI7">
            <v>10000</v>
          </cell>
        </row>
      </sheetData>
      <sheetData sheetId="11543">
        <row r="7">
          <cell r="AI7">
            <v>10000</v>
          </cell>
        </row>
      </sheetData>
      <sheetData sheetId="11544">
        <row r="7">
          <cell r="AI7">
            <v>10000</v>
          </cell>
        </row>
      </sheetData>
      <sheetData sheetId="11545">
        <row r="7">
          <cell r="AI7">
            <v>10000</v>
          </cell>
        </row>
      </sheetData>
      <sheetData sheetId="11546">
        <row r="7">
          <cell r="AI7">
            <v>10000</v>
          </cell>
        </row>
      </sheetData>
      <sheetData sheetId="11547">
        <row r="7">
          <cell r="AI7">
            <v>10000</v>
          </cell>
        </row>
      </sheetData>
      <sheetData sheetId="11548">
        <row r="7">
          <cell r="AI7">
            <v>10000</v>
          </cell>
        </row>
      </sheetData>
      <sheetData sheetId="11549">
        <row r="7">
          <cell r="AI7">
            <v>10000</v>
          </cell>
        </row>
      </sheetData>
      <sheetData sheetId="11550">
        <row r="7">
          <cell r="AI7">
            <v>10000</v>
          </cell>
        </row>
      </sheetData>
      <sheetData sheetId="11551">
        <row r="7">
          <cell r="AI7">
            <v>10000</v>
          </cell>
        </row>
      </sheetData>
      <sheetData sheetId="11552">
        <row r="7">
          <cell r="AI7">
            <v>10000</v>
          </cell>
        </row>
      </sheetData>
      <sheetData sheetId="11553">
        <row r="7">
          <cell r="AI7">
            <v>10000</v>
          </cell>
        </row>
      </sheetData>
      <sheetData sheetId="11554">
        <row r="7">
          <cell r="AI7">
            <v>10000</v>
          </cell>
        </row>
      </sheetData>
      <sheetData sheetId="11555">
        <row r="7">
          <cell r="AI7">
            <v>10000</v>
          </cell>
        </row>
      </sheetData>
      <sheetData sheetId="11556">
        <row r="7">
          <cell r="AI7">
            <v>10000</v>
          </cell>
        </row>
      </sheetData>
      <sheetData sheetId="11557">
        <row r="7">
          <cell r="AI7">
            <v>10000</v>
          </cell>
        </row>
      </sheetData>
      <sheetData sheetId="11558">
        <row r="7">
          <cell r="AI7">
            <v>10000</v>
          </cell>
        </row>
      </sheetData>
      <sheetData sheetId="11559">
        <row r="7">
          <cell r="AI7">
            <v>10000</v>
          </cell>
        </row>
      </sheetData>
      <sheetData sheetId="11560">
        <row r="7">
          <cell r="AI7">
            <v>10000</v>
          </cell>
        </row>
      </sheetData>
      <sheetData sheetId="11561">
        <row r="7">
          <cell r="AI7">
            <v>10000</v>
          </cell>
        </row>
      </sheetData>
      <sheetData sheetId="11562">
        <row r="7">
          <cell r="AI7">
            <v>10000</v>
          </cell>
        </row>
      </sheetData>
      <sheetData sheetId="11563">
        <row r="7">
          <cell r="AI7">
            <v>10000</v>
          </cell>
        </row>
      </sheetData>
      <sheetData sheetId="11564">
        <row r="7">
          <cell r="AI7">
            <v>10000</v>
          </cell>
        </row>
      </sheetData>
      <sheetData sheetId="11565">
        <row r="7">
          <cell r="AI7">
            <v>10000</v>
          </cell>
        </row>
      </sheetData>
      <sheetData sheetId="11566">
        <row r="7">
          <cell r="AI7">
            <v>10000</v>
          </cell>
        </row>
      </sheetData>
      <sheetData sheetId="11567">
        <row r="7">
          <cell r="AI7">
            <v>10000</v>
          </cell>
        </row>
      </sheetData>
      <sheetData sheetId="11568">
        <row r="7">
          <cell r="AI7">
            <v>10000</v>
          </cell>
        </row>
      </sheetData>
      <sheetData sheetId="11569">
        <row r="7">
          <cell r="AI7">
            <v>10000</v>
          </cell>
        </row>
      </sheetData>
      <sheetData sheetId="11570">
        <row r="7">
          <cell r="AI7">
            <v>10000</v>
          </cell>
        </row>
      </sheetData>
      <sheetData sheetId="11571">
        <row r="7">
          <cell r="AI7">
            <v>10000</v>
          </cell>
        </row>
      </sheetData>
      <sheetData sheetId="11572">
        <row r="7">
          <cell r="AI7">
            <v>10000</v>
          </cell>
        </row>
      </sheetData>
      <sheetData sheetId="11573">
        <row r="7">
          <cell r="AI7">
            <v>10000</v>
          </cell>
        </row>
      </sheetData>
      <sheetData sheetId="11574">
        <row r="7">
          <cell r="AI7">
            <v>10000</v>
          </cell>
        </row>
      </sheetData>
      <sheetData sheetId="11575">
        <row r="7">
          <cell r="AI7">
            <v>10000</v>
          </cell>
        </row>
      </sheetData>
      <sheetData sheetId="11576">
        <row r="7">
          <cell r="AI7">
            <v>10000</v>
          </cell>
        </row>
      </sheetData>
      <sheetData sheetId="11577">
        <row r="7">
          <cell r="AI7">
            <v>10000</v>
          </cell>
        </row>
      </sheetData>
      <sheetData sheetId="11578">
        <row r="7">
          <cell r="AI7">
            <v>10000</v>
          </cell>
        </row>
      </sheetData>
      <sheetData sheetId="11579">
        <row r="7">
          <cell r="AI7">
            <v>10000</v>
          </cell>
        </row>
      </sheetData>
      <sheetData sheetId="11580">
        <row r="7">
          <cell r="AI7">
            <v>10000</v>
          </cell>
        </row>
      </sheetData>
      <sheetData sheetId="11581">
        <row r="7">
          <cell r="AI7">
            <v>10000</v>
          </cell>
        </row>
      </sheetData>
      <sheetData sheetId="11582">
        <row r="7">
          <cell r="AI7">
            <v>10000</v>
          </cell>
        </row>
      </sheetData>
      <sheetData sheetId="11583">
        <row r="7">
          <cell r="AI7">
            <v>10000</v>
          </cell>
        </row>
      </sheetData>
      <sheetData sheetId="11584">
        <row r="7">
          <cell r="AI7">
            <v>10000</v>
          </cell>
        </row>
      </sheetData>
      <sheetData sheetId="11585">
        <row r="7">
          <cell r="AI7">
            <v>10000</v>
          </cell>
        </row>
      </sheetData>
      <sheetData sheetId="11586">
        <row r="7">
          <cell r="AI7">
            <v>10000</v>
          </cell>
        </row>
      </sheetData>
      <sheetData sheetId="11587">
        <row r="7">
          <cell r="AI7">
            <v>10000</v>
          </cell>
        </row>
      </sheetData>
      <sheetData sheetId="11588">
        <row r="7">
          <cell r="AI7">
            <v>10000</v>
          </cell>
        </row>
      </sheetData>
      <sheetData sheetId="11589">
        <row r="7">
          <cell r="AI7">
            <v>10000</v>
          </cell>
        </row>
      </sheetData>
      <sheetData sheetId="11590">
        <row r="7">
          <cell r="AI7">
            <v>10000</v>
          </cell>
        </row>
      </sheetData>
      <sheetData sheetId="11591">
        <row r="7">
          <cell r="AI7">
            <v>10000</v>
          </cell>
        </row>
      </sheetData>
      <sheetData sheetId="11592">
        <row r="7">
          <cell r="AI7">
            <v>10000</v>
          </cell>
        </row>
      </sheetData>
      <sheetData sheetId="11593">
        <row r="7">
          <cell r="AI7">
            <v>10000</v>
          </cell>
        </row>
      </sheetData>
      <sheetData sheetId="11594">
        <row r="7">
          <cell r="AI7">
            <v>10000</v>
          </cell>
        </row>
      </sheetData>
      <sheetData sheetId="11595">
        <row r="7">
          <cell r="AI7">
            <v>10000</v>
          </cell>
        </row>
      </sheetData>
      <sheetData sheetId="11596">
        <row r="7">
          <cell r="AI7">
            <v>10000</v>
          </cell>
        </row>
      </sheetData>
      <sheetData sheetId="11597">
        <row r="7">
          <cell r="AI7">
            <v>10000</v>
          </cell>
        </row>
      </sheetData>
      <sheetData sheetId="11598">
        <row r="7">
          <cell r="AI7">
            <v>10000</v>
          </cell>
        </row>
      </sheetData>
      <sheetData sheetId="11599">
        <row r="7">
          <cell r="AI7">
            <v>10000</v>
          </cell>
        </row>
      </sheetData>
      <sheetData sheetId="11600">
        <row r="7">
          <cell r="AI7">
            <v>10000</v>
          </cell>
        </row>
      </sheetData>
      <sheetData sheetId="11601">
        <row r="7">
          <cell r="AI7">
            <v>10000</v>
          </cell>
        </row>
      </sheetData>
      <sheetData sheetId="11602">
        <row r="7">
          <cell r="AI7">
            <v>10000</v>
          </cell>
        </row>
      </sheetData>
      <sheetData sheetId="11603">
        <row r="7">
          <cell r="AI7">
            <v>10000</v>
          </cell>
        </row>
      </sheetData>
      <sheetData sheetId="11604">
        <row r="7">
          <cell r="AI7">
            <v>10000</v>
          </cell>
        </row>
      </sheetData>
      <sheetData sheetId="11605">
        <row r="7">
          <cell r="AI7">
            <v>10000</v>
          </cell>
        </row>
      </sheetData>
      <sheetData sheetId="11606">
        <row r="7">
          <cell r="AI7">
            <v>10000</v>
          </cell>
        </row>
      </sheetData>
      <sheetData sheetId="11607">
        <row r="7">
          <cell r="AI7">
            <v>10000</v>
          </cell>
        </row>
      </sheetData>
      <sheetData sheetId="11608">
        <row r="7">
          <cell r="AI7">
            <v>10000</v>
          </cell>
        </row>
      </sheetData>
      <sheetData sheetId="11609">
        <row r="7">
          <cell r="AI7">
            <v>10000</v>
          </cell>
        </row>
      </sheetData>
      <sheetData sheetId="11610">
        <row r="7">
          <cell r="AI7">
            <v>10000</v>
          </cell>
        </row>
      </sheetData>
      <sheetData sheetId="11611">
        <row r="7">
          <cell r="AI7">
            <v>10000</v>
          </cell>
        </row>
      </sheetData>
      <sheetData sheetId="11612">
        <row r="7">
          <cell r="AI7">
            <v>10000</v>
          </cell>
        </row>
      </sheetData>
      <sheetData sheetId="11613">
        <row r="7">
          <cell r="AI7">
            <v>10000</v>
          </cell>
        </row>
      </sheetData>
      <sheetData sheetId="11614">
        <row r="7">
          <cell r="AI7">
            <v>10000</v>
          </cell>
        </row>
      </sheetData>
      <sheetData sheetId="11615">
        <row r="7">
          <cell r="AI7">
            <v>10000</v>
          </cell>
        </row>
      </sheetData>
      <sheetData sheetId="11616">
        <row r="7">
          <cell r="AI7">
            <v>10000</v>
          </cell>
        </row>
      </sheetData>
      <sheetData sheetId="11617">
        <row r="7">
          <cell r="AI7">
            <v>10000</v>
          </cell>
        </row>
      </sheetData>
      <sheetData sheetId="11618">
        <row r="7">
          <cell r="AI7">
            <v>10000</v>
          </cell>
        </row>
      </sheetData>
      <sheetData sheetId="11619">
        <row r="7">
          <cell r="AI7">
            <v>10000</v>
          </cell>
        </row>
      </sheetData>
      <sheetData sheetId="11620">
        <row r="7">
          <cell r="AI7">
            <v>10000</v>
          </cell>
        </row>
      </sheetData>
      <sheetData sheetId="11621">
        <row r="7">
          <cell r="AI7">
            <v>10000</v>
          </cell>
        </row>
      </sheetData>
      <sheetData sheetId="11622">
        <row r="7">
          <cell r="AI7">
            <v>10000</v>
          </cell>
        </row>
      </sheetData>
      <sheetData sheetId="11623">
        <row r="7">
          <cell r="AI7">
            <v>10000</v>
          </cell>
        </row>
      </sheetData>
      <sheetData sheetId="11624">
        <row r="7">
          <cell r="AI7">
            <v>10000</v>
          </cell>
        </row>
      </sheetData>
      <sheetData sheetId="11625">
        <row r="7">
          <cell r="AI7">
            <v>10000</v>
          </cell>
        </row>
      </sheetData>
      <sheetData sheetId="11626">
        <row r="7">
          <cell r="AI7">
            <v>10000</v>
          </cell>
        </row>
      </sheetData>
      <sheetData sheetId="11627">
        <row r="7">
          <cell r="AI7">
            <v>10000</v>
          </cell>
        </row>
      </sheetData>
      <sheetData sheetId="11628">
        <row r="7">
          <cell r="AI7">
            <v>10000</v>
          </cell>
        </row>
      </sheetData>
      <sheetData sheetId="11629">
        <row r="7">
          <cell r="AI7">
            <v>10000</v>
          </cell>
        </row>
      </sheetData>
      <sheetData sheetId="11630">
        <row r="7">
          <cell r="AI7">
            <v>10000</v>
          </cell>
        </row>
      </sheetData>
      <sheetData sheetId="11631">
        <row r="7">
          <cell r="AI7">
            <v>10000</v>
          </cell>
        </row>
      </sheetData>
      <sheetData sheetId="11632">
        <row r="7">
          <cell r="AI7">
            <v>10000</v>
          </cell>
        </row>
      </sheetData>
      <sheetData sheetId="11633">
        <row r="7">
          <cell r="AI7">
            <v>10000</v>
          </cell>
        </row>
      </sheetData>
      <sheetData sheetId="11634">
        <row r="7">
          <cell r="AI7">
            <v>10000</v>
          </cell>
        </row>
      </sheetData>
      <sheetData sheetId="11635">
        <row r="7">
          <cell r="AI7">
            <v>10000</v>
          </cell>
        </row>
      </sheetData>
      <sheetData sheetId="11636">
        <row r="7">
          <cell r="AI7">
            <v>10000</v>
          </cell>
        </row>
      </sheetData>
      <sheetData sheetId="11637">
        <row r="7">
          <cell r="AI7">
            <v>10000</v>
          </cell>
        </row>
      </sheetData>
      <sheetData sheetId="11638">
        <row r="7">
          <cell r="AI7">
            <v>10000</v>
          </cell>
        </row>
      </sheetData>
      <sheetData sheetId="11639">
        <row r="7">
          <cell r="AI7">
            <v>10000</v>
          </cell>
        </row>
      </sheetData>
      <sheetData sheetId="11640">
        <row r="7">
          <cell r="AI7">
            <v>10000</v>
          </cell>
        </row>
      </sheetData>
      <sheetData sheetId="11641">
        <row r="7">
          <cell r="AI7">
            <v>10000</v>
          </cell>
        </row>
      </sheetData>
      <sheetData sheetId="11642">
        <row r="7">
          <cell r="AI7">
            <v>10000</v>
          </cell>
        </row>
      </sheetData>
      <sheetData sheetId="11643">
        <row r="7">
          <cell r="AI7">
            <v>10000</v>
          </cell>
        </row>
      </sheetData>
      <sheetData sheetId="11644">
        <row r="7">
          <cell r="AI7">
            <v>10000</v>
          </cell>
        </row>
      </sheetData>
      <sheetData sheetId="11645">
        <row r="7">
          <cell r="AI7">
            <v>10000</v>
          </cell>
        </row>
      </sheetData>
      <sheetData sheetId="11646">
        <row r="7">
          <cell r="AI7">
            <v>10000</v>
          </cell>
        </row>
      </sheetData>
      <sheetData sheetId="11647">
        <row r="7">
          <cell r="AI7">
            <v>10000</v>
          </cell>
        </row>
      </sheetData>
      <sheetData sheetId="11648">
        <row r="7">
          <cell r="AI7">
            <v>10000</v>
          </cell>
        </row>
      </sheetData>
      <sheetData sheetId="11649">
        <row r="7">
          <cell r="AI7">
            <v>10000</v>
          </cell>
        </row>
      </sheetData>
      <sheetData sheetId="11650">
        <row r="7">
          <cell r="AI7">
            <v>10000</v>
          </cell>
        </row>
      </sheetData>
      <sheetData sheetId="11651">
        <row r="7">
          <cell r="AI7">
            <v>10000</v>
          </cell>
        </row>
      </sheetData>
      <sheetData sheetId="11652">
        <row r="7">
          <cell r="AI7">
            <v>10000</v>
          </cell>
        </row>
      </sheetData>
      <sheetData sheetId="11653">
        <row r="7">
          <cell r="AI7">
            <v>10000</v>
          </cell>
        </row>
      </sheetData>
      <sheetData sheetId="11654">
        <row r="7">
          <cell r="AI7">
            <v>10000</v>
          </cell>
        </row>
      </sheetData>
      <sheetData sheetId="11655">
        <row r="7">
          <cell r="AI7">
            <v>10000</v>
          </cell>
        </row>
      </sheetData>
      <sheetData sheetId="11656">
        <row r="7">
          <cell r="AI7">
            <v>10000</v>
          </cell>
        </row>
      </sheetData>
      <sheetData sheetId="11657">
        <row r="7">
          <cell r="AI7">
            <v>10000</v>
          </cell>
        </row>
      </sheetData>
      <sheetData sheetId="11658">
        <row r="7">
          <cell r="AI7">
            <v>10000</v>
          </cell>
        </row>
      </sheetData>
      <sheetData sheetId="11659">
        <row r="7">
          <cell r="AI7">
            <v>10000</v>
          </cell>
        </row>
      </sheetData>
      <sheetData sheetId="11660">
        <row r="7">
          <cell r="AI7">
            <v>10000</v>
          </cell>
        </row>
      </sheetData>
      <sheetData sheetId="11661">
        <row r="7">
          <cell r="AI7">
            <v>10000</v>
          </cell>
        </row>
      </sheetData>
      <sheetData sheetId="11662">
        <row r="7">
          <cell r="AI7">
            <v>10000</v>
          </cell>
        </row>
      </sheetData>
      <sheetData sheetId="11663">
        <row r="7">
          <cell r="AI7">
            <v>10000</v>
          </cell>
        </row>
      </sheetData>
      <sheetData sheetId="11664">
        <row r="7">
          <cell r="AI7">
            <v>10000</v>
          </cell>
        </row>
      </sheetData>
      <sheetData sheetId="11665">
        <row r="7">
          <cell r="AI7">
            <v>10000</v>
          </cell>
        </row>
      </sheetData>
      <sheetData sheetId="11666">
        <row r="7">
          <cell r="AI7">
            <v>10000</v>
          </cell>
        </row>
      </sheetData>
      <sheetData sheetId="11667">
        <row r="7">
          <cell r="AI7">
            <v>10000</v>
          </cell>
        </row>
      </sheetData>
      <sheetData sheetId="11668">
        <row r="7">
          <cell r="AI7">
            <v>10000</v>
          </cell>
        </row>
      </sheetData>
      <sheetData sheetId="11669">
        <row r="7">
          <cell r="AI7">
            <v>10000</v>
          </cell>
        </row>
      </sheetData>
      <sheetData sheetId="11670">
        <row r="7">
          <cell r="AI7">
            <v>10000</v>
          </cell>
        </row>
      </sheetData>
      <sheetData sheetId="11671">
        <row r="7">
          <cell r="AI7">
            <v>10000</v>
          </cell>
        </row>
      </sheetData>
      <sheetData sheetId="11672">
        <row r="7">
          <cell r="AI7">
            <v>10000</v>
          </cell>
        </row>
      </sheetData>
      <sheetData sheetId="11673">
        <row r="7">
          <cell r="AI7">
            <v>10000</v>
          </cell>
        </row>
      </sheetData>
      <sheetData sheetId="11674">
        <row r="7">
          <cell r="AI7">
            <v>10000</v>
          </cell>
        </row>
      </sheetData>
      <sheetData sheetId="11675">
        <row r="7">
          <cell r="AI7">
            <v>10000</v>
          </cell>
        </row>
      </sheetData>
      <sheetData sheetId="11676">
        <row r="7">
          <cell r="AI7">
            <v>10000</v>
          </cell>
        </row>
      </sheetData>
      <sheetData sheetId="11677">
        <row r="7">
          <cell r="AI7">
            <v>10000</v>
          </cell>
        </row>
      </sheetData>
      <sheetData sheetId="11678">
        <row r="7">
          <cell r="AI7">
            <v>10000</v>
          </cell>
        </row>
      </sheetData>
      <sheetData sheetId="11679">
        <row r="7">
          <cell r="AI7">
            <v>10000</v>
          </cell>
        </row>
      </sheetData>
      <sheetData sheetId="11680">
        <row r="7">
          <cell r="AI7">
            <v>10000</v>
          </cell>
        </row>
      </sheetData>
      <sheetData sheetId="11681">
        <row r="7">
          <cell r="AI7">
            <v>10000</v>
          </cell>
        </row>
      </sheetData>
      <sheetData sheetId="11682">
        <row r="7">
          <cell r="AI7">
            <v>10000</v>
          </cell>
        </row>
      </sheetData>
      <sheetData sheetId="11683">
        <row r="7">
          <cell r="AI7">
            <v>10000</v>
          </cell>
        </row>
      </sheetData>
      <sheetData sheetId="11684">
        <row r="7">
          <cell r="AI7">
            <v>10000</v>
          </cell>
        </row>
      </sheetData>
      <sheetData sheetId="11685">
        <row r="7">
          <cell r="AI7">
            <v>10000</v>
          </cell>
        </row>
      </sheetData>
      <sheetData sheetId="11686">
        <row r="7">
          <cell r="AI7">
            <v>10000</v>
          </cell>
        </row>
      </sheetData>
      <sheetData sheetId="11687">
        <row r="7">
          <cell r="AI7">
            <v>10000</v>
          </cell>
        </row>
      </sheetData>
      <sheetData sheetId="11688">
        <row r="7">
          <cell r="AI7">
            <v>10000</v>
          </cell>
        </row>
      </sheetData>
      <sheetData sheetId="11689">
        <row r="7">
          <cell r="AI7">
            <v>10000</v>
          </cell>
        </row>
      </sheetData>
      <sheetData sheetId="11690">
        <row r="7">
          <cell r="AI7">
            <v>10000</v>
          </cell>
        </row>
      </sheetData>
      <sheetData sheetId="11691">
        <row r="7">
          <cell r="AI7">
            <v>10000</v>
          </cell>
        </row>
      </sheetData>
      <sheetData sheetId="11692">
        <row r="7">
          <cell r="AI7">
            <v>10000</v>
          </cell>
        </row>
      </sheetData>
      <sheetData sheetId="11693">
        <row r="7">
          <cell r="AI7">
            <v>10000</v>
          </cell>
        </row>
      </sheetData>
      <sheetData sheetId="11694">
        <row r="7">
          <cell r="AI7">
            <v>10000</v>
          </cell>
        </row>
      </sheetData>
      <sheetData sheetId="11695">
        <row r="7">
          <cell r="AI7">
            <v>10000</v>
          </cell>
        </row>
      </sheetData>
      <sheetData sheetId="11696">
        <row r="7">
          <cell r="AI7">
            <v>10000</v>
          </cell>
        </row>
      </sheetData>
      <sheetData sheetId="11697">
        <row r="7">
          <cell r="AI7">
            <v>10000</v>
          </cell>
        </row>
      </sheetData>
      <sheetData sheetId="11698">
        <row r="7">
          <cell r="AI7">
            <v>10000</v>
          </cell>
        </row>
      </sheetData>
      <sheetData sheetId="11699">
        <row r="7">
          <cell r="AI7">
            <v>10000</v>
          </cell>
        </row>
      </sheetData>
      <sheetData sheetId="11700">
        <row r="7">
          <cell r="AI7">
            <v>10000</v>
          </cell>
        </row>
      </sheetData>
      <sheetData sheetId="11701">
        <row r="7">
          <cell r="AI7">
            <v>10000</v>
          </cell>
        </row>
      </sheetData>
      <sheetData sheetId="11702">
        <row r="7">
          <cell r="AI7">
            <v>10000</v>
          </cell>
        </row>
      </sheetData>
      <sheetData sheetId="11703">
        <row r="7">
          <cell r="AI7">
            <v>10000</v>
          </cell>
        </row>
      </sheetData>
      <sheetData sheetId="11704">
        <row r="7">
          <cell r="AI7">
            <v>10000</v>
          </cell>
        </row>
      </sheetData>
      <sheetData sheetId="11705">
        <row r="7">
          <cell r="AI7">
            <v>10000</v>
          </cell>
        </row>
      </sheetData>
      <sheetData sheetId="11706">
        <row r="7">
          <cell r="AI7">
            <v>10000</v>
          </cell>
        </row>
      </sheetData>
      <sheetData sheetId="11707">
        <row r="7">
          <cell r="AI7">
            <v>10000</v>
          </cell>
        </row>
      </sheetData>
      <sheetData sheetId="11708">
        <row r="7">
          <cell r="AI7">
            <v>10000</v>
          </cell>
        </row>
      </sheetData>
      <sheetData sheetId="11709">
        <row r="7">
          <cell r="AI7">
            <v>10000</v>
          </cell>
        </row>
      </sheetData>
      <sheetData sheetId="11710">
        <row r="7">
          <cell r="AI7">
            <v>10000</v>
          </cell>
        </row>
      </sheetData>
      <sheetData sheetId="11711">
        <row r="7">
          <cell r="AI7">
            <v>10000</v>
          </cell>
        </row>
      </sheetData>
      <sheetData sheetId="11712">
        <row r="7">
          <cell r="AI7">
            <v>10000</v>
          </cell>
        </row>
      </sheetData>
      <sheetData sheetId="11713">
        <row r="7">
          <cell r="AI7">
            <v>10000</v>
          </cell>
        </row>
      </sheetData>
      <sheetData sheetId="11714">
        <row r="7">
          <cell r="AI7">
            <v>10000</v>
          </cell>
        </row>
      </sheetData>
      <sheetData sheetId="11715">
        <row r="7">
          <cell r="AI7">
            <v>10000</v>
          </cell>
        </row>
      </sheetData>
      <sheetData sheetId="11716">
        <row r="7">
          <cell r="AI7">
            <v>10000</v>
          </cell>
        </row>
      </sheetData>
      <sheetData sheetId="11717">
        <row r="7">
          <cell r="AI7">
            <v>10000</v>
          </cell>
        </row>
      </sheetData>
      <sheetData sheetId="11718">
        <row r="7">
          <cell r="AI7">
            <v>10000</v>
          </cell>
        </row>
      </sheetData>
      <sheetData sheetId="11719">
        <row r="7">
          <cell r="AI7">
            <v>10000</v>
          </cell>
        </row>
      </sheetData>
      <sheetData sheetId="11720">
        <row r="7">
          <cell r="AI7">
            <v>10000</v>
          </cell>
        </row>
      </sheetData>
      <sheetData sheetId="11721">
        <row r="7">
          <cell r="AI7">
            <v>10000</v>
          </cell>
        </row>
      </sheetData>
      <sheetData sheetId="11722">
        <row r="7">
          <cell r="AI7">
            <v>10000</v>
          </cell>
        </row>
      </sheetData>
      <sheetData sheetId="11723">
        <row r="7">
          <cell r="AI7">
            <v>10000</v>
          </cell>
        </row>
      </sheetData>
      <sheetData sheetId="11724">
        <row r="7">
          <cell r="AI7">
            <v>10000</v>
          </cell>
        </row>
      </sheetData>
      <sheetData sheetId="11725">
        <row r="7">
          <cell r="AI7">
            <v>10000</v>
          </cell>
        </row>
      </sheetData>
      <sheetData sheetId="11726">
        <row r="7">
          <cell r="AI7">
            <v>10000</v>
          </cell>
        </row>
      </sheetData>
      <sheetData sheetId="11727">
        <row r="7">
          <cell r="AI7">
            <v>10000</v>
          </cell>
        </row>
      </sheetData>
      <sheetData sheetId="11728">
        <row r="7">
          <cell r="AI7">
            <v>10000</v>
          </cell>
        </row>
      </sheetData>
      <sheetData sheetId="11729">
        <row r="7">
          <cell r="AI7">
            <v>10000</v>
          </cell>
        </row>
      </sheetData>
      <sheetData sheetId="11730">
        <row r="7">
          <cell r="AI7">
            <v>10000</v>
          </cell>
        </row>
      </sheetData>
      <sheetData sheetId="11731">
        <row r="7">
          <cell r="AI7">
            <v>10000</v>
          </cell>
        </row>
      </sheetData>
      <sheetData sheetId="11732">
        <row r="7">
          <cell r="AI7">
            <v>10000</v>
          </cell>
        </row>
      </sheetData>
      <sheetData sheetId="11733">
        <row r="7">
          <cell r="AI7">
            <v>10000</v>
          </cell>
        </row>
      </sheetData>
      <sheetData sheetId="11734">
        <row r="7">
          <cell r="AI7">
            <v>10000</v>
          </cell>
        </row>
      </sheetData>
      <sheetData sheetId="11735">
        <row r="7">
          <cell r="AI7">
            <v>10000</v>
          </cell>
        </row>
      </sheetData>
      <sheetData sheetId="11736">
        <row r="7">
          <cell r="AI7">
            <v>10000</v>
          </cell>
        </row>
      </sheetData>
      <sheetData sheetId="11737">
        <row r="7">
          <cell r="AI7">
            <v>10000</v>
          </cell>
        </row>
      </sheetData>
      <sheetData sheetId="11738">
        <row r="7">
          <cell r="AI7">
            <v>10000</v>
          </cell>
        </row>
      </sheetData>
      <sheetData sheetId="11739">
        <row r="7">
          <cell r="AI7">
            <v>10000</v>
          </cell>
        </row>
      </sheetData>
      <sheetData sheetId="11740">
        <row r="7">
          <cell r="AI7">
            <v>10000</v>
          </cell>
        </row>
      </sheetData>
      <sheetData sheetId="11741">
        <row r="7">
          <cell r="AI7">
            <v>10000</v>
          </cell>
        </row>
      </sheetData>
      <sheetData sheetId="11742">
        <row r="7">
          <cell r="AI7">
            <v>10000</v>
          </cell>
        </row>
      </sheetData>
      <sheetData sheetId="11743">
        <row r="7">
          <cell r="AI7">
            <v>10000</v>
          </cell>
        </row>
      </sheetData>
      <sheetData sheetId="11744">
        <row r="7">
          <cell r="AI7">
            <v>10000</v>
          </cell>
        </row>
      </sheetData>
      <sheetData sheetId="11745">
        <row r="7">
          <cell r="AI7">
            <v>10000</v>
          </cell>
        </row>
      </sheetData>
      <sheetData sheetId="11746">
        <row r="7">
          <cell r="AI7">
            <v>10000</v>
          </cell>
        </row>
      </sheetData>
      <sheetData sheetId="11747">
        <row r="7">
          <cell r="AI7">
            <v>10000</v>
          </cell>
        </row>
      </sheetData>
      <sheetData sheetId="11748">
        <row r="7">
          <cell r="AI7">
            <v>10000</v>
          </cell>
        </row>
      </sheetData>
      <sheetData sheetId="11749">
        <row r="7">
          <cell r="AI7">
            <v>10000</v>
          </cell>
        </row>
      </sheetData>
      <sheetData sheetId="11750">
        <row r="7">
          <cell r="AI7">
            <v>10000</v>
          </cell>
        </row>
      </sheetData>
      <sheetData sheetId="11751">
        <row r="7">
          <cell r="AI7">
            <v>10000</v>
          </cell>
        </row>
      </sheetData>
      <sheetData sheetId="11752">
        <row r="7">
          <cell r="AI7">
            <v>10000</v>
          </cell>
        </row>
      </sheetData>
      <sheetData sheetId="11753">
        <row r="7">
          <cell r="AI7">
            <v>10000</v>
          </cell>
        </row>
      </sheetData>
      <sheetData sheetId="11754">
        <row r="7">
          <cell r="AI7">
            <v>10000</v>
          </cell>
        </row>
      </sheetData>
      <sheetData sheetId="11755">
        <row r="7">
          <cell r="AI7">
            <v>10000</v>
          </cell>
        </row>
      </sheetData>
      <sheetData sheetId="11756">
        <row r="7">
          <cell r="AI7">
            <v>10000</v>
          </cell>
        </row>
      </sheetData>
      <sheetData sheetId="11757">
        <row r="7">
          <cell r="AI7">
            <v>10000</v>
          </cell>
        </row>
      </sheetData>
      <sheetData sheetId="11758">
        <row r="7">
          <cell r="AI7">
            <v>10000</v>
          </cell>
        </row>
      </sheetData>
      <sheetData sheetId="11759">
        <row r="7">
          <cell r="AI7">
            <v>10000</v>
          </cell>
        </row>
      </sheetData>
      <sheetData sheetId="11760">
        <row r="7">
          <cell r="AI7">
            <v>10000</v>
          </cell>
        </row>
      </sheetData>
      <sheetData sheetId="11761">
        <row r="7">
          <cell r="AI7">
            <v>10000</v>
          </cell>
        </row>
      </sheetData>
      <sheetData sheetId="11762">
        <row r="7">
          <cell r="AI7">
            <v>10000</v>
          </cell>
        </row>
      </sheetData>
      <sheetData sheetId="11763">
        <row r="7">
          <cell r="AI7">
            <v>10000</v>
          </cell>
        </row>
      </sheetData>
      <sheetData sheetId="11764">
        <row r="7">
          <cell r="AI7">
            <v>10000</v>
          </cell>
        </row>
      </sheetData>
      <sheetData sheetId="11765">
        <row r="7">
          <cell r="AI7">
            <v>10000</v>
          </cell>
        </row>
      </sheetData>
      <sheetData sheetId="11766">
        <row r="7">
          <cell r="AI7">
            <v>10000</v>
          </cell>
        </row>
      </sheetData>
      <sheetData sheetId="11767">
        <row r="7">
          <cell r="AI7">
            <v>10000</v>
          </cell>
        </row>
      </sheetData>
      <sheetData sheetId="11768">
        <row r="7">
          <cell r="AI7">
            <v>10000</v>
          </cell>
        </row>
      </sheetData>
      <sheetData sheetId="11769">
        <row r="7">
          <cell r="AI7">
            <v>10000</v>
          </cell>
        </row>
      </sheetData>
      <sheetData sheetId="11770">
        <row r="7">
          <cell r="AI7">
            <v>10000</v>
          </cell>
        </row>
      </sheetData>
      <sheetData sheetId="11771">
        <row r="7">
          <cell r="AI7">
            <v>10000</v>
          </cell>
        </row>
      </sheetData>
      <sheetData sheetId="11772">
        <row r="7">
          <cell r="AI7">
            <v>10000</v>
          </cell>
        </row>
      </sheetData>
      <sheetData sheetId="11773">
        <row r="7">
          <cell r="AI7">
            <v>10000</v>
          </cell>
        </row>
      </sheetData>
      <sheetData sheetId="11774">
        <row r="7">
          <cell r="AI7">
            <v>10000</v>
          </cell>
        </row>
      </sheetData>
      <sheetData sheetId="11775">
        <row r="7">
          <cell r="AI7">
            <v>10000</v>
          </cell>
        </row>
      </sheetData>
      <sheetData sheetId="11776">
        <row r="7">
          <cell r="AI7">
            <v>10000</v>
          </cell>
        </row>
      </sheetData>
      <sheetData sheetId="11777">
        <row r="7">
          <cell r="AI7">
            <v>10000</v>
          </cell>
        </row>
      </sheetData>
      <sheetData sheetId="11778">
        <row r="7">
          <cell r="AI7">
            <v>10000</v>
          </cell>
        </row>
      </sheetData>
      <sheetData sheetId="11779">
        <row r="7">
          <cell r="AI7">
            <v>10000</v>
          </cell>
        </row>
      </sheetData>
      <sheetData sheetId="11780">
        <row r="7">
          <cell r="AI7">
            <v>10000</v>
          </cell>
        </row>
      </sheetData>
      <sheetData sheetId="11781">
        <row r="7">
          <cell r="AI7">
            <v>10000</v>
          </cell>
        </row>
      </sheetData>
      <sheetData sheetId="11782">
        <row r="7">
          <cell r="AI7">
            <v>10000</v>
          </cell>
        </row>
      </sheetData>
      <sheetData sheetId="11783">
        <row r="7">
          <cell r="AI7">
            <v>10000</v>
          </cell>
        </row>
      </sheetData>
      <sheetData sheetId="11784">
        <row r="7">
          <cell r="AI7">
            <v>10000</v>
          </cell>
        </row>
      </sheetData>
      <sheetData sheetId="11785">
        <row r="7">
          <cell r="AI7">
            <v>10000</v>
          </cell>
        </row>
      </sheetData>
      <sheetData sheetId="11786">
        <row r="7">
          <cell r="AI7">
            <v>10000</v>
          </cell>
        </row>
      </sheetData>
      <sheetData sheetId="11787">
        <row r="7">
          <cell r="AI7">
            <v>10000</v>
          </cell>
        </row>
      </sheetData>
      <sheetData sheetId="11788">
        <row r="7">
          <cell r="AI7">
            <v>10000</v>
          </cell>
        </row>
      </sheetData>
      <sheetData sheetId="11789">
        <row r="7">
          <cell r="AI7">
            <v>10000</v>
          </cell>
        </row>
      </sheetData>
      <sheetData sheetId="11790">
        <row r="7">
          <cell r="AI7">
            <v>10000</v>
          </cell>
        </row>
      </sheetData>
      <sheetData sheetId="11791">
        <row r="7">
          <cell r="AI7">
            <v>10000</v>
          </cell>
        </row>
      </sheetData>
      <sheetData sheetId="11792">
        <row r="7">
          <cell r="AI7">
            <v>10000</v>
          </cell>
        </row>
      </sheetData>
      <sheetData sheetId="11793">
        <row r="7">
          <cell r="AI7">
            <v>10000</v>
          </cell>
        </row>
      </sheetData>
      <sheetData sheetId="11794">
        <row r="7">
          <cell r="AI7">
            <v>10000</v>
          </cell>
        </row>
      </sheetData>
      <sheetData sheetId="11795">
        <row r="7">
          <cell r="AI7">
            <v>10000</v>
          </cell>
        </row>
      </sheetData>
      <sheetData sheetId="11796">
        <row r="7">
          <cell r="AI7">
            <v>10000</v>
          </cell>
        </row>
      </sheetData>
      <sheetData sheetId="11797">
        <row r="7">
          <cell r="AI7">
            <v>10000</v>
          </cell>
        </row>
      </sheetData>
      <sheetData sheetId="11798">
        <row r="7">
          <cell r="AI7">
            <v>10000</v>
          </cell>
        </row>
      </sheetData>
      <sheetData sheetId="11799">
        <row r="7">
          <cell r="AI7">
            <v>10000</v>
          </cell>
        </row>
      </sheetData>
      <sheetData sheetId="11800">
        <row r="7">
          <cell r="AI7">
            <v>10000</v>
          </cell>
        </row>
      </sheetData>
      <sheetData sheetId="11801">
        <row r="7">
          <cell r="AI7">
            <v>10000</v>
          </cell>
        </row>
      </sheetData>
      <sheetData sheetId="11802">
        <row r="7">
          <cell r="AI7">
            <v>10000</v>
          </cell>
        </row>
      </sheetData>
      <sheetData sheetId="11803">
        <row r="7">
          <cell r="AI7">
            <v>10000</v>
          </cell>
        </row>
      </sheetData>
      <sheetData sheetId="11804">
        <row r="7">
          <cell r="AI7">
            <v>10000</v>
          </cell>
        </row>
      </sheetData>
      <sheetData sheetId="11805">
        <row r="7">
          <cell r="AI7">
            <v>10000</v>
          </cell>
        </row>
      </sheetData>
      <sheetData sheetId="11806">
        <row r="7">
          <cell r="AI7">
            <v>10000</v>
          </cell>
        </row>
      </sheetData>
      <sheetData sheetId="11807">
        <row r="7">
          <cell r="AI7">
            <v>10000</v>
          </cell>
        </row>
      </sheetData>
      <sheetData sheetId="11808">
        <row r="7">
          <cell r="AI7">
            <v>10000</v>
          </cell>
        </row>
      </sheetData>
      <sheetData sheetId="11809">
        <row r="7">
          <cell r="AI7">
            <v>10000</v>
          </cell>
        </row>
      </sheetData>
      <sheetData sheetId="11810">
        <row r="7">
          <cell r="AI7">
            <v>10000</v>
          </cell>
        </row>
      </sheetData>
      <sheetData sheetId="11811">
        <row r="7">
          <cell r="AI7">
            <v>10000</v>
          </cell>
        </row>
      </sheetData>
      <sheetData sheetId="11812">
        <row r="7">
          <cell r="AI7">
            <v>10000</v>
          </cell>
        </row>
      </sheetData>
      <sheetData sheetId="11813">
        <row r="7">
          <cell r="AI7">
            <v>10000</v>
          </cell>
        </row>
      </sheetData>
      <sheetData sheetId="11814">
        <row r="7">
          <cell r="AI7">
            <v>10000</v>
          </cell>
        </row>
      </sheetData>
      <sheetData sheetId="11815">
        <row r="7">
          <cell r="AI7">
            <v>10000</v>
          </cell>
        </row>
      </sheetData>
      <sheetData sheetId="11816">
        <row r="7">
          <cell r="AI7">
            <v>10000</v>
          </cell>
        </row>
      </sheetData>
      <sheetData sheetId="11817">
        <row r="7">
          <cell r="AI7">
            <v>10000</v>
          </cell>
        </row>
      </sheetData>
      <sheetData sheetId="11818">
        <row r="7">
          <cell r="AI7">
            <v>10000</v>
          </cell>
        </row>
      </sheetData>
      <sheetData sheetId="11819">
        <row r="7">
          <cell r="AI7">
            <v>10000</v>
          </cell>
        </row>
      </sheetData>
      <sheetData sheetId="11820">
        <row r="7">
          <cell r="AI7">
            <v>10000</v>
          </cell>
        </row>
      </sheetData>
      <sheetData sheetId="11821">
        <row r="7">
          <cell r="AI7">
            <v>10000</v>
          </cell>
        </row>
      </sheetData>
      <sheetData sheetId="11822">
        <row r="7">
          <cell r="AI7">
            <v>10000</v>
          </cell>
        </row>
      </sheetData>
      <sheetData sheetId="11823">
        <row r="7">
          <cell r="AI7">
            <v>10000</v>
          </cell>
        </row>
      </sheetData>
      <sheetData sheetId="11824">
        <row r="7">
          <cell r="AI7">
            <v>10000</v>
          </cell>
        </row>
      </sheetData>
      <sheetData sheetId="11825">
        <row r="7">
          <cell r="AI7">
            <v>10000</v>
          </cell>
        </row>
      </sheetData>
      <sheetData sheetId="11826">
        <row r="7">
          <cell r="AI7">
            <v>10000</v>
          </cell>
        </row>
      </sheetData>
      <sheetData sheetId="11827">
        <row r="7">
          <cell r="AI7">
            <v>10000</v>
          </cell>
        </row>
      </sheetData>
      <sheetData sheetId="11828">
        <row r="7">
          <cell r="AI7">
            <v>10000</v>
          </cell>
        </row>
      </sheetData>
      <sheetData sheetId="11829">
        <row r="7">
          <cell r="AI7">
            <v>10000</v>
          </cell>
        </row>
      </sheetData>
      <sheetData sheetId="11830">
        <row r="7">
          <cell r="AI7">
            <v>10000</v>
          </cell>
        </row>
      </sheetData>
      <sheetData sheetId="11831">
        <row r="7">
          <cell r="AI7">
            <v>10000</v>
          </cell>
        </row>
      </sheetData>
      <sheetData sheetId="11832">
        <row r="7">
          <cell r="AI7">
            <v>10000</v>
          </cell>
        </row>
      </sheetData>
      <sheetData sheetId="11833">
        <row r="7">
          <cell r="AI7">
            <v>10000</v>
          </cell>
        </row>
      </sheetData>
      <sheetData sheetId="11834">
        <row r="7">
          <cell r="AI7">
            <v>10000</v>
          </cell>
        </row>
      </sheetData>
      <sheetData sheetId="11835">
        <row r="7">
          <cell r="AI7">
            <v>10000</v>
          </cell>
        </row>
      </sheetData>
      <sheetData sheetId="11836">
        <row r="7">
          <cell r="AI7">
            <v>10000</v>
          </cell>
        </row>
      </sheetData>
      <sheetData sheetId="11837">
        <row r="7">
          <cell r="AI7">
            <v>10000</v>
          </cell>
        </row>
      </sheetData>
      <sheetData sheetId="11838">
        <row r="7">
          <cell r="AI7">
            <v>10000</v>
          </cell>
        </row>
      </sheetData>
      <sheetData sheetId="11839">
        <row r="7">
          <cell r="AI7">
            <v>10000</v>
          </cell>
        </row>
      </sheetData>
      <sheetData sheetId="11840">
        <row r="7">
          <cell r="AI7">
            <v>10000</v>
          </cell>
        </row>
      </sheetData>
      <sheetData sheetId="11841">
        <row r="7">
          <cell r="AI7">
            <v>10000</v>
          </cell>
        </row>
      </sheetData>
      <sheetData sheetId="11842">
        <row r="7">
          <cell r="AI7">
            <v>10000</v>
          </cell>
        </row>
      </sheetData>
      <sheetData sheetId="11843">
        <row r="7">
          <cell r="AI7">
            <v>10000</v>
          </cell>
        </row>
      </sheetData>
      <sheetData sheetId="11844">
        <row r="7">
          <cell r="AI7">
            <v>10000</v>
          </cell>
        </row>
      </sheetData>
      <sheetData sheetId="11845">
        <row r="7">
          <cell r="AI7">
            <v>10000</v>
          </cell>
        </row>
      </sheetData>
      <sheetData sheetId="11846">
        <row r="7">
          <cell r="AI7">
            <v>10000</v>
          </cell>
        </row>
      </sheetData>
      <sheetData sheetId="11847">
        <row r="7">
          <cell r="AI7">
            <v>10000</v>
          </cell>
        </row>
      </sheetData>
      <sheetData sheetId="11848">
        <row r="7">
          <cell r="AI7">
            <v>10000</v>
          </cell>
        </row>
      </sheetData>
      <sheetData sheetId="11849">
        <row r="7">
          <cell r="AI7">
            <v>10000</v>
          </cell>
        </row>
      </sheetData>
      <sheetData sheetId="11850">
        <row r="7">
          <cell r="AI7">
            <v>10000</v>
          </cell>
        </row>
      </sheetData>
      <sheetData sheetId="11851">
        <row r="7">
          <cell r="AI7">
            <v>10000</v>
          </cell>
        </row>
      </sheetData>
      <sheetData sheetId="11852">
        <row r="7">
          <cell r="AI7">
            <v>10000</v>
          </cell>
        </row>
      </sheetData>
      <sheetData sheetId="11853">
        <row r="7">
          <cell r="AI7">
            <v>10000</v>
          </cell>
        </row>
      </sheetData>
      <sheetData sheetId="11854">
        <row r="7">
          <cell r="AI7">
            <v>10000</v>
          </cell>
        </row>
      </sheetData>
      <sheetData sheetId="11855">
        <row r="7">
          <cell r="AI7">
            <v>10000</v>
          </cell>
        </row>
      </sheetData>
      <sheetData sheetId="11856">
        <row r="7">
          <cell r="AI7">
            <v>10000</v>
          </cell>
        </row>
      </sheetData>
      <sheetData sheetId="11857">
        <row r="7">
          <cell r="AI7">
            <v>10000</v>
          </cell>
        </row>
      </sheetData>
      <sheetData sheetId="11858">
        <row r="7">
          <cell r="AI7">
            <v>10000</v>
          </cell>
        </row>
      </sheetData>
      <sheetData sheetId="11859">
        <row r="7">
          <cell r="AI7">
            <v>10000</v>
          </cell>
        </row>
      </sheetData>
      <sheetData sheetId="11860">
        <row r="7">
          <cell r="AI7">
            <v>10000</v>
          </cell>
        </row>
      </sheetData>
      <sheetData sheetId="11861">
        <row r="7">
          <cell r="AI7">
            <v>10000</v>
          </cell>
        </row>
      </sheetData>
      <sheetData sheetId="11862">
        <row r="7">
          <cell r="AI7">
            <v>10000</v>
          </cell>
        </row>
      </sheetData>
      <sheetData sheetId="11863">
        <row r="7">
          <cell r="AI7">
            <v>10000</v>
          </cell>
        </row>
      </sheetData>
      <sheetData sheetId="11864">
        <row r="7">
          <cell r="AI7">
            <v>10000</v>
          </cell>
        </row>
      </sheetData>
      <sheetData sheetId="11865">
        <row r="7">
          <cell r="AI7">
            <v>10000</v>
          </cell>
        </row>
      </sheetData>
      <sheetData sheetId="11866">
        <row r="7">
          <cell r="AI7">
            <v>10000</v>
          </cell>
        </row>
      </sheetData>
      <sheetData sheetId="11867">
        <row r="7">
          <cell r="AI7">
            <v>10000</v>
          </cell>
        </row>
      </sheetData>
      <sheetData sheetId="11868">
        <row r="7">
          <cell r="AI7">
            <v>10000</v>
          </cell>
        </row>
      </sheetData>
      <sheetData sheetId="11869">
        <row r="7">
          <cell r="AI7">
            <v>10000</v>
          </cell>
        </row>
      </sheetData>
      <sheetData sheetId="11870">
        <row r="7">
          <cell r="AI7">
            <v>10000</v>
          </cell>
        </row>
      </sheetData>
      <sheetData sheetId="11871">
        <row r="7">
          <cell r="AI7">
            <v>10000</v>
          </cell>
        </row>
      </sheetData>
      <sheetData sheetId="11872">
        <row r="7">
          <cell r="AI7">
            <v>10000</v>
          </cell>
        </row>
      </sheetData>
      <sheetData sheetId="11873">
        <row r="7">
          <cell r="AI7">
            <v>10000</v>
          </cell>
        </row>
      </sheetData>
      <sheetData sheetId="11874">
        <row r="7">
          <cell r="AI7">
            <v>10000</v>
          </cell>
        </row>
      </sheetData>
      <sheetData sheetId="11875">
        <row r="7">
          <cell r="AI7">
            <v>10000</v>
          </cell>
        </row>
      </sheetData>
      <sheetData sheetId="11876">
        <row r="7">
          <cell r="AI7">
            <v>10000</v>
          </cell>
        </row>
      </sheetData>
      <sheetData sheetId="11877">
        <row r="7">
          <cell r="AI7">
            <v>10000</v>
          </cell>
        </row>
      </sheetData>
      <sheetData sheetId="11878">
        <row r="7">
          <cell r="AI7">
            <v>10000</v>
          </cell>
        </row>
      </sheetData>
      <sheetData sheetId="11879">
        <row r="7">
          <cell r="AI7">
            <v>10000</v>
          </cell>
        </row>
      </sheetData>
      <sheetData sheetId="11880">
        <row r="7">
          <cell r="AI7">
            <v>10000</v>
          </cell>
        </row>
      </sheetData>
      <sheetData sheetId="11881">
        <row r="7">
          <cell r="AI7">
            <v>10000</v>
          </cell>
        </row>
      </sheetData>
      <sheetData sheetId="11882">
        <row r="7">
          <cell r="AI7">
            <v>10000</v>
          </cell>
        </row>
      </sheetData>
      <sheetData sheetId="11883">
        <row r="7">
          <cell r="AI7">
            <v>10000</v>
          </cell>
        </row>
      </sheetData>
      <sheetData sheetId="11884">
        <row r="7">
          <cell r="AI7">
            <v>10000</v>
          </cell>
        </row>
      </sheetData>
      <sheetData sheetId="11885">
        <row r="7">
          <cell r="AI7">
            <v>10000</v>
          </cell>
        </row>
      </sheetData>
      <sheetData sheetId="11886">
        <row r="7">
          <cell r="AI7">
            <v>10000</v>
          </cell>
        </row>
      </sheetData>
      <sheetData sheetId="11887">
        <row r="7">
          <cell r="AI7">
            <v>10000</v>
          </cell>
        </row>
      </sheetData>
      <sheetData sheetId="11888">
        <row r="7">
          <cell r="AI7">
            <v>10000</v>
          </cell>
        </row>
      </sheetData>
      <sheetData sheetId="11889">
        <row r="7">
          <cell r="AI7">
            <v>10000</v>
          </cell>
        </row>
      </sheetData>
      <sheetData sheetId="11890">
        <row r="7">
          <cell r="AI7">
            <v>10000</v>
          </cell>
        </row>
      </sheetData>
      <sheetData sheetId="11891">
        <row r="7">
          <cell r="AI7">
            <v>10000</v>
          </cell>
        </row>
      </sheetData>
      <sheetData sheetId="11892">
        <row r="7">
          <cell r="AI7">
            <v>10000</v>
          </cell>
        </row>
      </sheetData>
      <sheetData sheetId="11893">
        <row r="7">
          <cell r="AI7">
            <v>10000</v>
          </cell>
        </row>
      </sheetData>
      <sheetData sheetId="11894">
        <row r="7">
          <cell r="AI7">
            <v>10000</v>
          </cell>
        </row>
      </sheetData>
      <sheetData sheetId="11895">
        <row r="7">
          <cell r="AI7">
            <v>10000</v>
          </cell>
        </row>
      </sheetData>
      <sheetData sheetId="11896">
        <row r="7">
          <cell r="AI7">
            <v>10000</v>
          </cell>
        </row>
      </sheetData>
      <sheetData sheetId="11897">
        <row r="7">
          <cell r="AI7">
            <v>10000</v>
          </cell>
        </row>
      </sheetData>
      <sheetData sheetId="11898">
        <row r="7">
          <cell r="AI7">
            <v>10000</v>
          </cell>
        </row>
      </sheetData>
      <sheetData sheetId="11899">
        <row r="7">
          <cell r="AI7">
            <v>10000</v>
          </cell>
        </row>
      </sheetData>
      <sheetData sheetId="11900">
        <row r="7">
          <cell r="AI7">
            <v>10000</v>
          </cell>
        </row>
      </sheetData>
      <sheetData sheetId="11901">
        <row r="7">
          <cell r="AI7">
            <v>10000</v>
          </cell>
        </row>
      </sheetData>
      <sheetData sheetId="11902">
        <row r="7">
          <cell r="AI7">
            <v>10000</v>
          </cell>
        </row>
      </sheetData>
      <sheetData sheetId="11903">
        <row r="7">
          <cell r="AI7">
            <v>10000</v>
          </cell>
        </row>
      </sheetData>
      <sheetData sheetId="11904">
        <row r="7">
          <cell r="AI7">
            <v>10000</v>
          </cell>
        </row>
      </sheetData>
      <sheetData sheetId="11905">
        <row r="7">
          <cell r="AI7">
            <v>10000</v>
          </cell>
        </row>
      </sheetData>
      <sheetData sheetId="11906">
        <row r="7">
          <cell r="AI7">
            <v>10000</v>
          </cell>
        </row>
      </sheetData>
      <sheetData sheetId="11907">
        <row r="7">
          <cell r="AI7">
            <v>10000</v>
          </cell>
        </row>
      </sheetData>
      <sheetData sheetId="11908">
        <row r="7">
          <cell r="AI7">
            <v>10000</v>
          </cell>
        </row>
      </sheetData>
      <sheetData sheetId="11909">
        <row r="7">
          <cell r="AI7">
            <v>10000</v>
          </cell>
        </row>
      </sheetData>
      <sheetData sheetId="11910">
        <row r="7">
          <cell r="AI7">
            <v>10000</v>
          </cell>
        </row>
      </sheetData>
      <sheetData sheetId="11911">
        <row r="7">
          <cell r="AI7">
            <v>10000</v>
          </cell>
        </row>
      </sheetData>
      <sheetData sheetId="11912">
        <row r="7">
          <cell r="AI7">
            <v>10000</v>
          </cell>
        </row>
      </sheetData>
      <sheetData sheetId="11913">
        <row r="7">
          <cell r="AI7">
            <v>10000</v>
          </cell>
        </row>
      </sheetData>
      <sheetData sheetId="11914">
        <row r="7">
          <cell r="AI7">
            <v>10000</v>
          </cell>
        </row>
      </sheetData>
      <sheetData sheetId="11915">
        <row r="7">
          <cell r="AI7">
            <v>10000</v>
          </cell>
        </row>
      </sheetData>
      <sheetData sheetId="11916">
        <row r="7">
          <cell r="AI7">
            <v>10000</v>
          </cell>
        </row>
      </sheetData>
      <sheetData sheetId="11917">
        <row r="7">
          <cell r="AI7">
            <v>10000</v>
          </cell>
        </row>
      </sheetData>
      <sheetData sheetId="11918">
        <row r="7">
          <cell r="AI7">
            <v>10000</v>
          </cell>
        </row>
      </sheetData>
      <sheetData sheetId="11919">
        <row r="7">
          <cell r="AI7">
            <v>10000</v>
          </cell>
        </row>
      </sheetData>
      <sheetData sheetId="11920">
        <row r="7">
          <cell r="AI7">
            <v>10000</v>
          </cell>
        </row>
      </sheetData>
      <sheetData sheetId="11921">
        <row r="7">
          <cell r="AI7">
            <v>10000</v>
          </cell>
        </row>
      </sheetData>
      <sheetData sheetId="11922">
        <row r="7">
          <cell r="AI7">
            <v>10000</v>
          </cell>
        </row>
      </sheetData>
      <sheetData sheetId="11923">
        <row r="7">
          <cell r="AI7">
            <v>10000</v>
          </cell>
        </row>
      </sheetData>
      <sheetData sheetId="11924">
        <row r="7">
          <cell r="AI7">
            <v>10000</v>
          </cell>
        </row>
      </sheetData>
      <sheetData sheetId="11925">
        <row r="7">
          <cell r="AI7">
            <v>10000</v>
          </cell>
        </row>
      </sheetData>
      <sheetData sheetId="11926">
        <row r="7">
          <cell r="AI7">
            <v>10000</v>
          </cell>
        </row>
      </sheetData>
      <sheetData sheetId="11927">
        <row r="7">
          <cell r="AI7">
            <v>10000</v>
          </cell>
        </row>
      </sheetData>
      <sheetData sheetId="11928">
        <row r="7">
          <cell r="AI7">
            <v>10000</v>
          </cell>
        </row>
      </sheetData>
      <sheetData sheetId="11929">
        <row r="7">
          <cell r="AI7">
            <v>10000</v>
          </cell>
        </row>
      </sheetData>
      <sheetData sheetId="11930">
        <row r="7">
          <cell r="AI7">
            <v>10000</v>
          </cell>
        </row>
      </sheetData>
      <sheetData sheetId="11931">
        <row r="7">
          <cell r="AI7">
            <v>10000</v>
          </cell>
        </row>
      </sheetData>
      <sheetData sheetId="11932">
        <row r="7">
          <cell r="AI7">
            <v>10000</v>
          </cell>
        </row>
      </sheetData>
      <sheetData sheetId="11933">
        <row r="7">
          <cell r="AI7">
            <v>10000</v>
          </cell>
        </row>
      </sheetData>
      <sheetData sheetId="11934">
        <row r="7">
          <cell r="AI7">
            <v>10000</v>
          </cell>
        </row>
      </sheetData>
      <sheetData sheetId="11935">
        <row r="7">
          <cell r="AI7">
            <v>10000</v>
          </cell>
        </row>
      </sheetData>
      <sheetData sheetId="11936">
        <row r="7">
          <cell r="AI7">
            <v>10000</v>
          </cell>
        </row>
      </sheetData>
      <sheetData sheetId="11937">
        <row r="7">
          <cell r="AI7">
            <v>10000</v>
          </cell>
        </row>
      </sheetData>
      <sheetData sheetId="11938">
        <row r="7">
          <cell r="AI7">
            <v>10000</v>
          </cell>
        </row>
      </sheetData>
      <sheetData sheetId="11939">
        <row r="7">
          <cell r="AI7">
            <v>10000</v>
          </cell>
        </row>
      </sheetData>
      <sheetData sheetId="11940">
        <row r="7">
          <cell r="AI7">
            <v>10000</v>
          </cell>
        </row>
      </sheetData>
      <sheetData sheetId="11941">
        <row r="7">
          <cell r="AI7">
            <v>10000</v>
          </cell>
        </row>
      </sheetData>
      <sheetData sheetId="11942">
        <row r="7">
          <cell r="AI7">
            <v>10000</v>
          </cell>
        </row>
      </sheetData>
      <sheetData sheetId="11943">
        <row r="7">
          <cell r="AI7">
            <v>10000</v>
          </cell>
        </row>
      </sheetData>
      <sheetData sheetId="11944">
        <row r="7">
          <cell r="AI7">
            <v>10000</v>
          </cell>
        </row>
      </sheetData>
      <sheetData sheetId="11945">
        <row r="7">
          <cell r="AI7">
            <v>10000</v>
          </cell>
        </row>
      </sheetData>
      <sheetData sheetId="11946">
        <row r="7">
          <cell r="AI7">
            <v>10000</v>
          </cell>
        </row>
      </sheetData>
      <sheetData sheetId="11947">
        <row r="7">
          <cell r="AI7">
            <v>10000</v>
          </cell>
        </row>
      </sheetData>
      <sheetData sheetId="11948">
        <row r="7">
          <cell r="AI7">
            <v>10000</v>
          </cell>
        </row>
      </sheetData>
      <sheetData sheetId="11949">
        <row r="7">
          <cell r="AI7">
            <v>10000</v>
          </cell>
        </row>
      </sheetData>
      <sheetData sheetId="11950">
        <row r="7">
          <cell r="AI7">
            <v>10000</v>
          </cell>
        </row>
      </sheetData>
      <sheetData sheetId="11951">
        <row r="7">
          <cell r="AI7">
            <v>10000</v>
          </cell>
        </row>
      </sheetData>
      <sheetData sheetId="11952">
        <row r="7">
          <cell r="AI7">
            <v>10000</v>
          </cell>
        </row>
      </sheetData>
      <sheetData sheetId="11953">
        <row r="7">
          <cell r="AI7">
            <v>10000</v>
          </cell>
        </row>
      </sheetData>
      <sheetData sheetId="11954">
        <row r="7">
          <cell r="AI7">
            <v>10000</v>
          </cell>
        </row>
      </sheetData>
      <sheetData sheetId="11955">
        <row r="7">
          <cell r="AI7">
            <v>10000</v>
          </cell>
        </row>
      </sheetData>
      <sheetData sheetId="11956">
        <row r="7">
          <cell r="AI7">
            <v>10000</v>
          </cell>
        </row>
      </sheetData>
      <sheetData sheetId="11957">
        <row r="7">
          <cell r="AI7">
            <v>10000</v>
          </cell>
        </row>
      </sheetData>
      <sheetData sheetId="11958">
        <row r="7">
          <cell r="AI7">
            <v>10000</v>
          </cell>
        </row>
      </sheetData>
      <sheetData sheetId="11959">
        <row r="7">
          <cell r="AI7">
            <v>10000</v>
          </cell>
        </row>
      </sheetData>
      <sheetData sheetId="11960">
        <row r="7">
          <cell r="AI7">
            <v>10000</v>
          </cell>
        </row>
      </sheetData>
      <sheetData sheetId="11961">
        <row r="7">
          <cell r="AI7">
            <v>10000</v>
          </cell>
        </row>
      </sheetData>
      <sheetData sheetId="11962">
        <row r="7">
          <cell r="AI7">
            <v>10000</v>
          </cell>
        </row>
      </sheetData>
      <sheetData sheetId="11963">
        <row r="7">
          <cell r="AI7">
            <v>10000</v>
          </cell>
        </row>
      </sheetData>
      <sheetData sheetId="11964">
        <row r="7">
          <cell r="AI7">
            <v>10000</v>
          </cell>
        </row>
      </sheetData>
      <sheetData sheetId="11965">
        <row r="7">
          <cell r="AI7">
            <v>10000</v>
          </cell>
        </row>
      </sheetData>
      <sheetData sheetId="11966">
        <row r="7">
          <cell r="AI7">
            <v>10000</v>
          </cell>
        </row>
      </sheetData>
      <sheetData sheetId="11967">
        <row r="7">
          <cell r="AI7">
            <v>10000</v>
          </cell>
        </row>
      </sheetData>
      <sheetData sheetId="11968">
        <row r="7">
          <cell r="AI7">
            <v>10000</v>
          </cell>
        </row>
      </sheetData>
      <sheetData sheetId="11969">
        <row r="7">
          <cell r="AI7">
            <v>10000</v>
          </cell>
        </row>
      </sheetData>
      <sheetData sheetId="11970">
        <row r="7">
          <cell r="AI7">
            <v>10000</v>
          </cell>
        </row>
      </sheetData>
      <sheetData sheetId="11971">
        <row r="7">
          <cell r="AI7">
            <v>10000</v>
          </cell>
        </row>
      </sheetData>
      <sheetData sheetId="11972">
        <row r="7">
          <cell r="AI7">
            <v>10000</v>
          </cell>
        </row>
      </sheetData>
      <sheetData sheetId="11973">
        <row r="7">
          <cell r="AI7">
            <v>10000</v>
          </cell>
        </row>
      </sheetData>
      <sheetData sheetId="11974">
        <row r="7">
          <cell r="AI7">
            <v>10000</v>
          </cell>
        </row>
      </sheetData>
      <sheetData sheetId="11975">
        <row r="7">
          <cell r="AI7">
            <v>10000</v>
          </cell>
        </row>
      </sheetData>
      <sheetData sheetId="11976">
        <row r="7">
          <cell r="AI7">
            <v>10000</v>
          </cell>
        </row>
      </sheetData>
      <sheetData sheetId="11977">
        <row r="7">
          <cell r="AI7">
            <v>10000</v>
          </cell>
        </row>
      </sheetData>
      <sheetData sheetId="11978">
        <row r="7">
          <cell r="AI7">
            <v>10000</v>
          </cell>
        </row>
      </sheetData>
      <sheetData sheetId="11979">
        <row r="7">
          <cell r="AI7">
            <v>10000</v>
          </cell>
        </row>
      </sheetData>
      <sheetData sheetId="11980">
        <row r="7">
          <cell r="AI7">
            <v>10000</v>
          </cell>
        </row>
      </sheetData>
      <sheetData sheetId="11981">
        <row r="7">
          <cell r="AI7">
            <v>10000</v>
          </cell>
        </row>
      </sheetData>
      <sheetData sheetId="11982">
        <row r="7">
          <cell r="AI7">
            <v>10000</v>
          </cell>
        </row>
      </sheetData>
      <sheetData sheetId="11983">
        <row r="7">
          <cell r="AI7">
            <v>10000</v>
          </cell>
        </row>
      </sheetData>
      <sheetData sheetId="11984">
        <row r="7">
          <cell r="AI7">
            <v>10000</v>
          </cell>
        </row>
      </sheetData>
      <sheetData sheetId="11985">
        <row r="7">
          <cell r="AI7">
            <v>10000</v>
          </cell>
        </row>
      </sheetData>
      <sheetData sheetId="11986">
        <row r="7">
          <cell r="AI7">
            <v>10000</v>
          </cell>
        </row>
      </sheetData>
      <sheetData sheetId="11987">
        <row r="7">
          <cell r="AI7">
            <v>10000</v>
          </cell>
        </row>
      </sheetData>
      <sheetData sheetId="11988">
        <row r="7">
          <cell r="AI7">
            <v>10000</v>
          </cell>
        </row>
      </sheetData>
      <sheetData sheetId="11989">
        <row r="7">
          <cell r="AI7">
            <v>10000</v>
          </cell>
        </row>
      </sheetData>
      <sheetData sheetId="11990">
        <row r="7">
          <cell r="AI7">
            <v>10000</v>
          </cell>
        </row>
      </sheetData>
      <sheetData sheetId="11991">
        <row r="7">
          <cell r="AI7">
            <v>10000</v>
          </cell>
        </row>
      </sheetData>
      <sheetData sheetId="11992">
        <row r="7">
          <cell r="AI7">
            <v>10000</v>
          </cell>
        </row>
      </sheetData>
      <sheetData sheetId="11993">
        <row r="7">
          <cell r="AI7">
            <v>10000</v>
          </cell>
        </row>
      </sheetData>
      <sheetData sheetId="11994">
        <row r="7">
          <cell r="AI7">
            <v>10000</v>
          </cell>
        </row>
      </sheetData>
      <sheetData sheetId="11995">
        <row r="7">
          <cell r="AI7">
            <v>10000</v>
          </cell>
        </row>
      </sheetData>
      <sheetData sheetId="11996">
        <row r="7">
          <cell r="AI7">
            <v>10000</v>
          </cell>
        </row>
      </sheetData>
      <sheetData sheetId="11997">
        <row r="7">
          <cell r="AI7">
            <v>10000</v>
          </cell>
        </row>
      </sheetData>
      <sheetData sheetId="11998">
        <row r="7">
          <cell r="AI7">
            <v>10000</v>
          </cell>
        </row>
      </sheetData>
      <sheetData sheetId="11999">
        <row r="7">
          <cell r="AI7">
            <v>10000</v>
          </cell>
        </row>
      </sheetData>
      <sheetData sheetId="12000">
        <row r="7">
          <cell r="AI7">
            <v>10000</v>
          </cell>
        </row>
      </sheetData>
      <sheetData sheetId="12001">
        <row r="7">
          <cell r="AI7">
            <v>10000</v>
          </cell>
        </row>
      </sheetData>
      <sheetData sheetId="12002">
        <row r="7">
          <cell r="AI7">
            <v>10000</v>
          </cell>
        </row>
      </sheetData>
      <sheetData sheetId="12003">
        <row r="7">
          <cell r="AI7">
            <v>10000</v>
          </cell>
        </row>
      </sheetData>
      <sheetData sheetId="12004">
        <row r="7">
          <cell r="AI7">
            <v>10000</v>
          </cell>
        </row>
      </sheetData>
      <sheetData sheetId="12005">
        <row r="7">
          <cell r="AI7">
            <v>10000</v>
          </cell>
        </row>
      </sheetData>
      <sheetData sheetId="12006">
        <row r="7">
          <cell r="AI7">
            <v>10000</v>
          </cell>
        </row>
      </sheetData>
      <sheetData sheetId="12007">
        <row r="7">
          <cell r="AI7">
            <v>10000</v>
          </cell>
        </row>
      </sheetData>
      <sheetData sheetId="12008">
        <row r="7">
          <cell r="AI7">
            <v>10000</v>
          </cell>
        </row>
      </sheetData>
      <sheetData sheetId="12009">
        <row r="7">
          <cell r="AI7">
            <v>10000</v>
          </cell>
        </row>
      </sheetData>
      <sheetData sheetId="12010">
        <row r="7">
          <cell r="AI7">
            <v>10000</v>
          </cell>
        </row>
      </sheetData>
      <sheetData sheetId="12011">
        <row r="7">
          <cell r="AI7">
            <v>10000</v>
          </cell>
        </row>
      </sheetData>
      <sheetData sheetId="12012">
        <row r="7">
          <cell r="AI7">
            <v>10000</v>
          </cell>
        </row>
      </sheetData>
      <sheetData sheetId="12013">
        <row r="7">
          <cell r="AI7">
            <v>10000</v>
          </cell>
        </row>
      </sheetData>
      <sheetData sheetId="12014">
        <row r="7">
          <cell r="AI7">
            <v>10000</v>
          </cell>
        </row>
      </sheetData>
      <sheetData sheetId="12015">
        <row r="7">
          <cell r="AI7">
            <v>10000</v>
          </cell>
        </row>
      </sheetData>
      <sheetData sheetId="12016">
        <row r="7">
          <cell r="AI7">
            <v>10000</v>
          </cell>
        </row>
      </sheetData>
      <sheetData sheetId="12017">
        <row r="7">
          <cell r="AI7">
            <v>10000</v>
          </cell>
        </row>
      </sheetData>
      <sheetData sheetId="12018">
        <row r="7">
          <cell r="AI7">
            <v>10000</v>
          </cell>
        </row>
      </sheetData>
      <sheetData sheetId="12019">
        <row r="7">
          <cell r="AI7">
            <v>10000</v>
          </cell>
        </row>
      </sheetData>
      <sheetData sheetId="12020">
        <row r="7">
          <cell r="AI7">
            <v>10000</v>
          </cell>
        </row>
      </sheetData>
      <sheetData sheetId="12021">
        <row r="7">
          <cell r="AI7">
            <v>10000</v>
          </cell>
        </row>
      </sheetData>
      <sheetData sheetId="12022">
        <row r="7">
          <cell r="AI7">
            <v>10000</v>
          </cell>
        </row>
      </sheetData>
      <sheetData sheetId="12023">
        <row r="7">
          <cell r="AI7">
            <v>10000</v>
          </cell>
        </row>
      </sheetData>
      <sheetData sheetId="12024">
        <row r="7">
          <cell r="AI7">
            <v>10000</v>
          </cell>
        </row>
      </sheetData>
      <sheetData sheetId="12025">
        <row r="7">
          <cell r="AI7">
            <v>10000</v>
          </cell>
        </row>
      </sheetData>
      <sheetData sheetId="12026">
        <row r="7">
          <cell r="AI7">
            <v>10000</v>
          </cell>
        </row>
      </sheetData>
      <sheetData sheetId="12027">
        <row r="7">
          <cell r="AI7">
            <v>10000</v>
          </cell>
        </row>
      </sheetData>
      <sheetData sheetId="12028">
        <row r="7">
          <cell r="AI7">
            <v>10000</v>
          </cell>
        </row>
      </sheetData>
      <sheetData sheetId="12029">
        <row r="7">
          <cell r="AI7">
            <v>10000</v>
          </cell>
        </row>
      </sheetData>
      <sheetData sheetId="12030">
        <row r="7">
          <cell r="AI7">
            <v>10000</v>
          </cell>
        </row>
      </sheetData>
      <sheetData sheetId="12031">
        <row r="7">
          <cell r="AI7">
            <v>10000</v>
          </cell>
        </row>
      </sheetData>
      <sheetData sheetId="12032">
        <row r="7">
          <cell r="AI7">
            <v>10000</v>
          </cell>
        </row>
      </sheetData>
      <sheetData sheetId="12033">
        <row r="7">
          <cell r="AI7">
            <v>10000</v>
          </cell>
        </row>
      </sheetData>
      <sheetData sheetId="12034">
        <row r="7">
          <cell r="AI7">
            <v>10000</v>
          </cell>
        </row>
      </sheetData>
      <sheetData sheetId="12035">
        <row r="7">
          <cell r="AI7">
            <v>10000</v>
          </cell>
        </row>
      </sheetData>
      <sheetData sheetId="12036">
        <row r="7">
          <cell r="AI7">
            <v>10000</v>
          </cell>
        </row>
      </sheetData>
      <sheetData sheetId="12037">
        <row r="7">
          <cell r="AI7">
            <v>10000</v>
          </cell>
        </row>
      </sheetData>
      <sheetData sheetId="12038">
        <row r="7">
          <cell r="AI7">
            <v>10000</v>
          </cell>
        </row>
      </sheetData>
      <sheetData sheetId="12039">
        <row r="7">
          <cell r="AI7">
            <v>10000</v>
          </cell>
        </row>
      </sheetData>
      <sheetData sheetId="12040">
        <row r="7">
          <cell r="AI7">
            <v>10000</v>
          </cell>
        </row>
      </sheetData>
      <sheetData sheetId="12041">
        <row r="7">
          <cell r="AI7">
            <v>10000</v>
          </cell>
        </row>
      </sheetData>
      <sheetData sheetId="12042">
        <row r="7">
          <cell r="AI7">
            <v>10000</v>
          </cell>
        </row>
      </sheetData>
      <sheetData sheetId="12043">
        <row r="7">
          <cell r="AI7">
            <v>10000</v>
          </cell>
        </row>
      </sheetData>
      <sheetData sheetId="12044">
        <row r="7">
          <cell r="AI7">
            <v>10000</v>
          </cell>
        </row>
      </sheetData>
      <sheetData sheetId="12045">
        <row r="7">
          <cell r="AI7">
            <v>10000</v>
          </cell>
        </row>
      </sheetData>
      <sheetData sheetId="12046">
        <row r="7">
          <cell r="AI7">
            <v>10000</v>
          </cell>
        </row>
      </sheetData>
      <sheetData sheetId="12047">
        <row r="7">
          <cell r="AI7">
            <v>10000</v>
          </cell>
        </row>
      </sheetData>
      <sheetData sheetId="12048">
        <row r="7">
          <cell r="AI7">
            <v>10000</v>
          </cell>
        </row>
      </sheetData>
      <sheetData sheetId="12049">
        <row r="7">
          <cell r="AI7">
            <v>10000</v>
          </cell>
        </row>
      </sheetData>
      <sheetData sheetId="12050">
        <row r="7">
          <cell r="AI7">
            <v>10000</v>
          </cell>
        </row>
      </sheetData>
      <sheetData sheetId="12051">
        <row r="7">
          <cell r="AI7">
            <v>10000</v>
          </cell>
        </row>
      </sheetData>
      <sheetData sheetId="12052">
        <row r="7">
          <cell r="AI7">
            <v>10000</v>
          </cell>
        </row>
      </sheetData>
      <sheetData sheetId="12053">
        <row r="7">
          <cell r="AI7">
            <v>10000</v>
          </cell>
        </row>
      </sheetData>
      <sheetData sheetId="12054">
        <row r="7">
          <cell r="AI7">
            <v>10000</v>
          </cell>
        </row>
      </sheetData>
      <sheetData sheetId="12055">
        <row r="7">
          <cell r="AI7">
            <v>10000</v>
          </cell>
        </row>
      </sheetData>
      <sheetData sheetId="12056">
        <row r="7">
          <cell r="AI7">
            <v>10000</v>
          </cell>
        </row>
      </sheetData>
      <sheetData sheetId="12057">
        <row r="7">
          <cell r="AI7">
            <v>10000</v>
          </cell>
        </row>
      </sheetData>
      <sheetData sheetId="12058">
        <row r="7">
          <cell r="AI7">
            <v>10000</v>
          </cell>
        </row>
      </sheetData>
      <sheetData sheetId="12059">
        <row r="7">
          <cell r="AI7">
            <v>10000</v>
          </cell>
        </row>
      </sheetData>
      <sheetData sheetId="12060">
        <row r="7">
          <cell r="AI7">
            <v>10000</v>
          </cell>
        </row>
      </sheetData>
      <sheetData sheetId="12061">
        <row r="7">
          <cell r="AI7">
            <v>10000</v>
          </cell>
        </row>
      </sheetData>
      <sheetData sheetId="12062">
        <row r="7">
          <cell r="AI7">
            <v>10000</v>
          </cell>
        </row>
      </sheetData>
      <sheetData sheetId="12063">
        <row r="7">
          <cell r="AI7">
            <v>10000</v>
          </cell>
        </row>
      </sheetData>
      <sheetData sheetId="12064">
        <row r="7">
          <cell r="AI7">
            <v>10000</v>
          </cell>
        </row>
      </sheetData>
      <sheetData sheetId="12065">
        <row r="7">
          <cell r="AI7">
            <v>10000</v>
          </cell>
        </row>
      </sheetData>
      <sheetData sheetId="12066">
        <row r="7">
          <cell r="AI7">
            <v>10000</v>
          </cell>
        </row>
      </sheetData>
      <sheetData sheetId="12067">
        <row r="7">
          <cell r="AI7">
            <v>10000</v>
          </cell>
        </row>
      </sheetData>
      <sheetData sheetId="12068">
        <row r="7">
          <cell r="AI7">
            <v>10000</v>
          </cell>
        </row>
      </sheetData>
      <sheetData sheetId="12069">
        <row r="7">
          <cell r="AI7">
            <v>10000</v>
          </cell>
        </row>
      </sheetData>
      <sheetData sheetId="12070">
        <row r="7">
          <cell r="AI7">
            <v>10000</v>
          </cell>
        </row>
      </sheetData>
      <sheetData sheetId="12071">
        <row r="7">
          <cell r="AI7">
            <v>10000</v>
          </cell>
        </row>
      </sheetData>
      <sheetData sheetId="12072">
        <row r="7">
          <cell r="AI7">
            <v>10000</v>
          </cell>
        </row>
      </sheetData>
      <sheetData sheetId="12073">
        <row r="7">
          <cell r="AI7">
            <v>10000</v>
          </cell>
        </row>
      </sheetData>
      <sheetData sheetId="12074">
        <row r="7">
          <cell r="AI7">
            <v>10000</v>
          </cell>
        </row>
      </sheetData>
      <sheetData sheetId="12075">
        <row r="7">
          <cell r="AI7">
            <v>10000</v>
          </cell>
        </row>
      </sheetData>
      <sheetData sheetId="12076">
        <row r="7">
          <cell r="AI7">
            <v>10000</v>
          </cell>
        </row>
      </sheetData>
      <sheetData sheetId="12077">
        <row r="7">
          <cell r="AI7">
            <v>10000</v>
          </cell>
        </row>
      </sheetData>
      <sheetData sheetId="12078">
        <row r="7">
          <cell r="AI7">
            <v>10000</v>
          </cell>
        </row>
      </sheetData>
      <sheetData sheetId="12079">
        <row r="7">
          <cell r="AI7">
            <v>10000</v>
          </cell>
        </row>
      </sheetData>
      <sheetData sheetId="12080">
        <row r="7">
          <cell r="AI7">
            <v>10000</v>
          </cell>
        </row>
      </sheetData>
      <sheetData sheetId="12081">
        <row r="7">
          <cell r="AI7">
            <v>10000</v>
          </cell>
        </row>
      </sheetData>
      <sheetData sheetId="12082">
        <row r="7">
          <cell r="AI7">
            <v>10000</v>
          </cell>
        </row>
      </sheetData>
      <sheetData sheetId="12083">
        <row r="7">
          <cell r="AI7">
            <v>10000</v>
          </cell>
        </row>
      </sheetData>
      <sheetData sheetId="12084">
        <row r="7">
          <cell r="AI7">
            <v>10000</v>
          </cell>
        </row>
      </sheetData>
      <sheetData sheetId="12085">
        <row r="7">
          <cell r="AI7">
            <v>10000</v>
          </cell>
        </row>
      </sheetData>
      <sheetData sheetId="12086">
        <row r="7">
          <cell r="AI7">
            <v>10000</v>
          </cell>
        </row>
      </sheetData>
      <sheetData sheetId="12087">
        <row r="7">
          <cell r="AI7">
            <v>10000</v>
          </cell>
        </row>
      </sheetData>
      <sheetData sheetId="12088">
        <row r="7">
          <cell r="AI7">
            <v>10000</v>
          </cell>
        </row>
      </sheetData>
      <sheetData sheetId="12089">
        <row r="7">
          <cell r="AI7">
            <v>10000</v>
          </cell>
        </row>
      </sheetData>
      <sheetData sheetId="12090">
        <row r="7">
          <cell r="AI7">
            <v>10000</v>
          </cell>
        </row>
      </sheetData>
      <sheetData sheetId="12091">
        <row r="7">
          <cell r="AI7">
            <v>10000</v>
          </cell>
        </row>
      </sheetData>
      <sheetData sheetId="12092">
        <row r="7">
          <cell r="AI7">
            <v>10000</v>
          </cell>
        </row>
      </sheetData>
      <sheetData sheetId="12093">
        <row r="7">
          <cell r="AI7">
            <v>10000</v>
          </cell>
        </row>
      </sheetData>
      <sheetData sheetId="12094">
        <row r="7">
          <cell r="AI7">
            <v>10000</v>
          </cell>
        </row>
      </sheetData>
      <sheetData sheetId="12095">
        <row r="7">
          <cell r="AI7">
            <v>10000</v>
          </cell>
        </row>
      </sheetData>
      <sheetData sheetId="12096">
        <row r="7">
          <cell r="AI7">
            <v>10000</v>
          </cell>
        </row>
      </sheetData>
      <sheetData sheetId="12097">
        <row r="7">
          <cell r="AI7">
            <v>10000</v>
          </cell>
        </row>
      </sheetData>
      <sheetData sheetId="12098">
        <row r="7">
          <cell r="AI7">
            <v>10000</v>
          </cell>
        </row>
      </sheetData>
      <sheetData sheetId="12099">
        <row r="7">
          <cell r="AI7">
            <v>10000</v>
          </cell>
        </row>
      </sheetData>
      <sheetData sheetId="12100">
        <row r="7">
          <cell r="AI7">
            <v>10000</v>
          </cell>
        </row>
      </sheetData>
      <sheetData sheetId="12101">
        <row r="7">
          <cell r="AI7">
            <v>10000</v>
          </cell>
        </row>
      </sheetData>
      <sheetData sheetId="12102">
        <row r="7">
          <cell r="AI7">
            <v>10000</v>
          </cell>
        </row>
      </sheetData>
      <sheetData sheetId="12103">
        <row r="7">
          <cell r="AI7">
            <v>10000</v>
          </cell>
        </row>
      </sheetData>
      <sheetData sheetId="12104">
        <row r="7">
          <cell r="AI7">
            <v>10000</v>
          </cell>
        </row>
      </sheetData>
      <sheetData sheetId="12105">
        <row r="7">
          <cell r="AI7">
            <v>10000</v>
          </cell>
        </row>
      </sheetData>
      <sheetData sheetId="12106">
        <row r="7">
          <cell r="AI7">
            <v>10000</v>
          </cell>
        </row>
      </sheetData>
      <sheetData sheetId="12107">
        <row r="7">
          <cell r="AI7">
            <v>10000</v>
          </cell>
        </row>
      </sheetData>
      <sheetData sheetId="12108">
        <row r="7">
          <cell r="AI7">
            <v>10000</v>
          </cell>
        </row>
      </sheetData>
      <sheetData sheetId="12109">
        <row r="7">
          <cell r="AI7">
            <v>10000</v>
          </cell>
        </row>
      </sheetData>
      <sheetData sheetId="12110">
        <row r="7">
          <cell r="AI7">
            <v>10000</v>
          </cell>
        </row>
      </sheetData>
      <sheetData sheetId="12111">
        <row r="7">
          <cell r="AI7">
            <v>10000</v>
          </cell>
        </row>
      </sheetData>
      <sheetData sheetId="12112">
        <row r="7">
          <cell r="AI7">
            <v>10000</v>
          </cell>
        </row>
      </sheetData>
      <sheetData sheetId="12113">
        <row r="7">
          <cell r="AI7">
            <v>10000</v>
          </cell>
        </row>
      </sheetData>
      <sheetData sheetId="12114">
        <row r="7">
          <cell r="AI7">
            <v>10000</v>
          </cell>
        </row>
      </sheetData>
      <sheetData sheetId="12115">
        <row r="7">
          <cell r="AI7">
            <v>10000</v>
          </cell>
        </row>
      </sheetData>
      <sheetData sheetId="12116">
        <row r="7">
          <cell r="AI7">
            <v>10000</v>
          </cell>
        </row>
      </sheetData>
      <sheetData sheetId="12117">
        <row r="7">
          <cell r="AI7">
            <v>10000</v>
          </cell>
        </row>
      </sheetData>
      <sheetData sheetId="12118">
        <row r="7">
          <cell r="AI7">
            <v>10000</v>
          </cell>
        </row>
      </sheetData>
      <sheetData sheetId="12119">
        <row r="7">
          <cell r="AI7">
            <v>10000</v>
          </cell>
        </row>
      </sheetData>
      <sheetData sheetId="12120">
        <row r="7">
          <cell r="AI7">
            <v>10000</v>
          </cell>
        </row>
      </sheetData>
      <sheetData sheetId="12121">
        <row r="7">
          <cell r="AI7">
            <v>10000</v>
          </cell>
        </row>
      </sheetData>
      <sheetData sheetId="12122">
        <row r="7">
          <cell r="AI7">
            <v>10000</v>
          </cell>
        </row>
      </sheetData>
      <sheetData sheetId="12123">
        <row r="7">
          <cell r="AI7">
            <v>10000</v>
          </cell>
        </row>
      </sheetData>
      <sheetData sheetId="12124">
        <row r="7">
          <cell r="AI7">
            <v>10000</v>
          </cell>
        </row>
      </sheetData>
      <sheetData sheetId="12125">
        <row r="7">
          <cell r="AI7">
            <v>10000</v>
          </cell>
        </row>
      </sheetData>
      <sheetData sheetId="12126">
        <row r="7">
          <cell r="AI7">
            <v>10000</v>
          </cell>
        </row>
      </sheetData>
      <sheetData sheetId="12127">
        <row r="7">
          <cell r="AI7">
            <v>10000</v>
          </cell>
        </row>
      </sheetData>
      <sheetData sheetId="12128">
        <row r="7">
          <cell r="AI7">
            <v>10000</v>
          </cell>
        </row>
      </sheetData>
      <sheetData sheetId="12129">
        <row r="7">
          <cell r="AI7">
            <v>10000</v>
          </cell>
        </row>
      </sheetData>
      <sheetData sheetId="12130">
        <row r="7">
          <cell r="AI7">
            <v>10000</v>
          </cell>
        </row>
      </sheetData>
      <sheetData sheetId="12131">
        <row r="7">
          <cell r="AI7">
            <v>10000</v>
          </cell>
        </row>
      </sheetData>
      <sheetData sheetId="12132">
        <row r="7">
          <cell r="AI7">
            <v>10000</v>
          </cell>
        </row>
      </sheetData>
      <sheetData sheetId="12133">
        <row r="7">
          <cell r="AI7">
            <v>10000</v>
          </cell>
        </row>
      </sheetData>
      <sheetData sheetId="12134">
        <row r="7">
          <cell r="AI7">
            <v>10000</v>
          </cell>
        </row>
      </sheetData>
      <sheetData sheetId="12135">
        <row r="7">
          <cell r="AI7">
            <v>10000</v>
          </cell>
        </row>
      </sheetData>
      <sheetData sheetId="12136">
        <row r="7">
          <cell r="AI7">
            <v>10000</v>
          </cell>
        </row>
      </sheetData>
      <sheetData sheetId="12137">
        <row r="7">
          <cell r="AI7">
            <v>10000</v>
          </cell>
        </row>
      </sheetData>
      <sheetData sheetId="12138">
        <row r="7">
          <cell r="AI7">
            <v>10000</v>
          </cell>
        </row>
      </sheetData>
      <sheetData sheetId="12139">
        <row r="7">
          <cell r="AI7">
            <v>10000</v>
          </cell>
        </row>
      </sheetData>
      <sheetData sheetId="12140">
        <row r="7">
          <cell r="AI7">
            <v>10000</v>
          </cell>
        </row>
      </sheetData>
      <sheetData sheetId="12141">
        <row r="7">
          <cell r="AI7">
            <v>10000</v>
          </cell>
        </row>
      </sheetData>
      <sheetData sheetId="12142">
        <row r="7">
          <cell r="AI7">
            <v>10000</v>
          </cell>
        </row>
      </sheetData>
      <sheetData sheetId="12143">
        <row r="7">
          <cell r="AI7">
            <v>10000</v>
          </cell>
        </row>
      </sheetData>
      <sheetData sheetId="12144">
        <row r="7">
          <cell r="AI7">
            <v>10000</v>
          </cell>
        </row>
      </sheetData>
      <sheetData sheetId="12145">
        <row r="7">
          <cell r="AI7">
            <v>10000</v>
          </cell>
        </row>
      </sheetData>
      <sheetData sheetId="12146">
        <row r="7">
          <cell r="AI7">
            <v>10000</v>
          </cell>
        </row>
      </sheetData>
      <sheetData sheetId="12147">
        <row r="7">
          <cell r="AI7">
            <v>10000</v>
          </cell>
        </row>
      </sheetData>
      <sheetData sheetId="12148">
        <row r="7">
          <cell r="AI7">
            <v>10000</v>
          </cell>
        </row>
      </sheetData>
      <sheetData sheetId="12149">
        <row r="7">
          <cell r="AI7">
            <v>10000</v>
          </cell>
        </row>
      </sheetData>
      <sheetData sheetId="12150">
        <row r="7">
          <cell r="AI7">
            <v>10000</v>
          </cell>
        </row>
      </sheetData>
      <sheetData sheetId="12151">
        <row r="7">
          <cell r="AI7">
            <v>10000</v>
          </cell>
        </row>
      </sheetData>
      <sheetData sheetId="12152">
        <row r="7">
          <cell r="AI7">
            <v>10000</v>
          </cell>
        </row>
      </sheetData>
      <sheetData sheetId="12153">
        <row r="7">
          <cell r="AI7">
            <v>10000</v>
          </cell>
        </row>
      </sheetData>
      <sheetData sheetId="12154">
        <row r="7">
          <cell r="AI7">
            <v>10000</v>
          </cell>
        </row>
      </sheetData>
      <sheetData sheetId="12155">
        <row r="7">
          <cell r="AI7">
            <v>10000</v>
          </cell>
        </row>
      </sheetData>
      <sheetData sheetId="12156">
        <row r="7">
          <cell r="AI7">
            <v>10000</v>
          </cell>
        </row>
      </sheetData>
      <sheetData sheetId="12157">
        <row r="7">
          <cell r="AI7">
            <v>10000</v>
          </cell>
        </row>
      </sheetData>
      <sheetData sheetId="12158">
        <row r="7">
          <cell r="AI7">
            <v>10000</v>
          </cell>
        </row>
      </sheetData>
      <sheetData sheetId="12159">
        <row r="7">
          <cell r="AI7">
            <v>10000</v>
          </cell>
        </row>
      </sheetData>
      <sheetData sheetId="12160">
        <row r="7">
          <cell r="AI7">
            <v>10000</v>
          </cell>
        </row>
      </sheetData>
      <sheetData sheetId="12161">
        <row r="7">
          <cell r="AI7">
            <v>10000</v>
          </cell>
        </row>
      </sheetData>
      <sheetData sheetId="12162">
        <row r="7">
          <cell r="AI7">
            <v>10000</v>
          </cell>
        </row>
      </sheetData>
      <sheetData sheetId="12163">
        <row r="7">
          <cell r="AI7">
            <v>10000</v>
          </cell>
        </row>
      </sheetData>
      <sheetData sheetId="12164">
        <row r="7">
          <cell r="AI7">
            <v>10000</v>
          </cell>
        </row>
      </sheetData>
      <sheetData sheetId="12165">
        <row r="7">
          <cell r="AI7">
            <v>10000</v>
          </cell>
        </row>
      </sheetData>
      <sheetData sheetId="12166">
        <row r="7">
          <cell r="AI7">
            <v>10000</v>
          </cell>
        </row>
      </sheetData>
      <sheetData sheetId="12167">
        <row r="7">
          <cell r="AI7">
            <v>10000</v>
          </cell>
        </row>
      </sheetData>
      <sheetData sheetId="12168">
        <row r="7">
          <cell r="AI7">
            <v>10000</v>
          </cell>
        </row>
      </sheetData>
      <sheetData sheetId="12169">
        <row r="7">
          <cell r="AI7">
            <v>10000</v>
          </cell>
        </row>
      </sheetData>
      <sheetData sheetId="12170">
        <row r="7">
          <cell r="AI7">
            <v>10000</v>
          </cell>
        </row>
      </sheetData>
      <sheetData sheetId="12171">
        <row r="7">
          <cell r="AI7">
            <v>10000</v>
          </cell>
        </row>
      </sheetData>
      <sheetData sheetId="12172">
        <row r="7">
          <cell r="AI7">
            <v>10000</v>
          </cell>
        </row>
      </sheetData>
      <sheetData sheetId="12173">
        <row r="7">
          <cell r="AI7">
            <v>10000</v>
          </cell>
        </row>
      </sheetData>
      <sheetData sheetId="12174">
        <row r="7">
          <cell r="AI7">
            <v>10000</v>
          </cell>
        </row>
      </sheetData>
      <sheetData sheetId="12175">
        <row r="7">
          <cell r="AI7">
            <v>10000</v>
          </cell>
        </row>
      </sheetData>
      <sheetData sheetId="12176">
        <row r="7">
          <cell r="AI7">
            <v>10000</v>
          </cell>
        </row>
      </sheetData>
      <sheetData sheetId="12177">
        <row r="7">
          <cell r="AI7">
            <v>10000</v>
          </cell>
        </row>
      </sheetData>
      <sheetData sheetId="12178">
        <row r="7">
          <cell r="AI7">
            <v>10000</v>
          </cell>
        </row>
      </sheetData>
      <sheetData sheetId="12179">
        <row r="7">
          <cell r="AI7">
            <v>10000</v>
          </cell>
        </row>
      </sheetData>
      <sheetData sheetId="12180">
        <row r="7">
          <cell r="AI7">
            <v>10000</v>
          </cell>
        </row>
      </sheetData>
      <sheetData sheetId="12181">
        <row r="7">
          <cell r="AI7">
            <v>10000</v>
          </cell>
        </row>
      </sheetData>
      <sheetData sheetId="12182">
        <row r="7">
          <cell r="AI7">
            <v>10000</v>
          </cell>
        </row>
      </sheetData>
      <sheetData sheetId="12183">
        <row r="7">
          <cell r="AI7">
            <v>10000</v>
          </cell>
        </row>
      </sheetData>
      <sheetData sheetId="12184">
        <row r="7">
          <cell r="AI7">
            <v>10000</v>
          </cell>
        </row>
      </sheetData>
      <sheetData sheetId="12185">
        <row r="7">
          <cell r="AI7">
            <v>10000</v>
          </cell>
        </row>
      </sheetData>
      <sheetData sheetId="12186">
        <row r="7">
          <cell r="AI7">
            <v>10000</v>
          </cell>
        </row>
      </sheetData>
      <sheetData sheetId="12187">
        <row r="7">
          <cell r="AI7">
            <v>10000</v>
          </cell>
        </row>
      </sheetData>
      <sheetData sheetId="12188">
        <row r="7">
          <cell r="AI7">
            <v>10000</v>
          </cell>
        </row>
      </sheetData>
      <sheetData sheetId="12189">
        <row r="7">
          <cell r="AI7">
            <v>10000</v>
          </cell>
        </row>
      </sheetData>
      <sheetData sheetId="12190">
        <row r="7">
          <cell r="AI7">
            <v>10000</v>
          </cell>
        </row>
      </sheetData>
      <sheetData sheetId="12191">
        <row r="7">
          <cell r="AI7">
            <v>10000</v>
          </cell>
        </row>
      </sheetData>
      <sheetData sheetId="12192">
        <row r="7">
          <cell r="AI7">
            <v>10000</v>
          </cell>
        </row>
      </sheetData>
      <sheetData sheetId="12193">
        <row r="7">
          <cell r="AI7">
            <v>10000</v>
          </cell>
        </row>
      </sheetData>
      <sheetData sheetId="12194">
        <row r="7">
          <cell r="AI7">
            <v>10000</v>
          </cell>
        </row>
      </sheetData>
      <sheetData sheetId="12195">
        <row r="7">
          <cell r="AI7">
            <v>10000</v>
          </cell>
        </row>
      </sheetData>
      <sheetData sheetId="12196">
        <row r="7">
          <cell r="AI7">
            <v>10000</v>
          </cell>
        </row>
      </sheetData>
      <sheetData sheetId="12197">
        <row r="7">
          <cell r="AI7">
            <v>10000</v>
          </cell>
        </row>
      </sheetData>
      <sheetData sheetId="12198">
        <row r="7">
          <cell r="AI7">
            <v>10000</v>
          </cell>
        </row>
      </sheetData>
      <sheetData sheetId="12199">
        <row r="7">
          <cell r="AI7">
            <v>10000</v>
          </cell>
        </row>
      </sheetData>
      <sheetData sheetId="12200">
        <row r="7">
          <cell r="AI7">
            <v>10000</v>
          </cell>
        </row>
      </sheetData>
      <sheetData sheetId="12201">
        <row r="7">
          <cell r="AI7">
            <v>10000</v>
          </cell>
        </row>
      </sheetData>
      <sheetData sheetId="12202">
        <row r="7">
          <cell r="AI7">
            <v>10000</v>
          </cell>
        </row>
      </sheetData>
      <sheetData sheetId="12203">
        <row r="7">
          <cell r="AI7">
            <v>10000</v>
          </cell>
        </row>
      </sheetData>
      <sheetData sheetId="12204">
        <row r="7">
          <cell r="AI7">
            <v>10000</v>
          </cell>
        </row>
      </sheetData>
      <sheetData sheetId="12205">
        <row r="7">
          <cell r="AI7">
            <v>10000</v>
          </cell>
        </row>
      </sheetData>
      <sheetData sheetId="12206">
        <row r="7">
          <cell r="AI7">
            <v>10000</v>
          </cell>
        </row>
      </sheetData>
      <sheetData sheetId="12207">
        <row r="7">
          <cell r="AI7">
            <v>10000</v>
          </cell>
        </row>
      </sheetData>
      <sheetData sheetId="12208">
        <row r="7">
          <cell r="AI7">
            <v>10000</v>
          </cell>
        </row>
      </sheetData>
      <sheetData sheetId="12209">
        <row r="7">
          <cell r="AI7">
            <v>10000</v>
          </cell>
        </row>
      </sheetData>
      <sheetData sheetId="12210">
        <row r="7">
          <cell r="AI7">
            <v>10000</v>
          </cell>
        </row>
      </sheetData>
      <sheetData sheetId="12211">
        <row r="7">
          <cell r="AI7">
            <v>10000</v>
          </cell>
        </row>
      </sheetData>
      <sheetData sheetId="12212">
        <row r="7">
          <cell r="AI7">
            <v>10000</v>
          </cell>
        </row>
      </sheetData>
      <sheetData sheetId="12213">
        <row r="7">
          <cell r="AI7">
            <v>10000</v>
          </cell>
        </row>
      </sheetData>
      <sheetData sheetId="12214">
        <row r="7">
          <cell r="AI7">
            <v>10000</v>
          </cell>
        </row>
      </sheetData>
      <sheetData sheetId="12215">
        <row r="7">
          <cell r="AI7">
            <v>10000</v>
          </cell>
        </row>
      </sheetData>
      <sheetData sheetId="12216">
        <row r="7">
          <cell r="AI7">
            <v>10000</v>
          </cell>
        </row>
      </sheetData>
      <sheetData sheetId="12217">
        <row r="7">
          <cell r="AI7">
            <v>10000</v>
          </cell>
        </row>
      </sheetData>
      <sheetData sheetId="12218">
        <row r="7">
          <cell r="AI7">
            <v>10000</v>
          </cell>
        </row>
      </sheetData>
      <sheetData sheetId="12219">
        <row r="7">
          <cell r="AI7">
            <v>10000</v>
          </cell>
        </row>
      </sheetData>
      <sheetData sheetId="12220">
        <row r="7">
          <cell r="AI7">
            <v>10000</v>
          </cell>
        </row>
      </sheetData>
      <sheetData sheetId="12221">
        <row r="7">
          <cell r="AI7">
            <v>10000</v>
          </cell>
        </row>
      </sheetData>
      <sheetData sheetId="12222">
        <row r="7">
          <cell r="AI7">
            <v>10000</v>
          </cell>
        </row>
      </sheetData>
      <sheetData sheetId="12223">
        <row r="7">
          <cell r="AI7">
            <v>10000</v>
          </cell>
        </row>
      </sheetData>
      <sheetData sheetId="12224">
        <row r="7">
          <cell r="AI7">
            <v>10000</v>
          </cell>
        </row>
      </sheetData>
      <sheetData sheetId="12225">
        <row r="7">
          <cell r="AI7">
            <v>10000</v>
          </cell>
        </row>
      </sheetData>
      <sheetData sheetId="12226">
        <row r="7">
          <cell r="AI7">
            <v>10000</v>
          </cell>
        </row>
      </sheetData>
      <sheetData sheetId="12227">
        <row r="7">
          <cell r="AI7">
            <v>10000</v>
          </cell>
        </row>
      </sheetData>
      <sheetData sheetId="12228">
        <row r="7">
          <cell r="AI7">
            <v>10000</v>
          </cell>
        </row>
      </sheetData>
      <sheetData sheetId="12229">
        <row r="7">
          <cell r="AI7">
            <v>10000</v>
          </cell>
        </row>
      </sheetData>
      <sheetData sheetId="12230">
        <row r="7">
          <cell r="AI7">
            <v>10000</v>
          </cell>
        </row>
      </sheetData>
      <sheetData sheetId="12231">
        <row r="7">
          <cell r="AI7">
            <v>10000</v>
          </cell>
        </row>
      </sheetData>
      <sheetData sheetId="12232">
        <row r="7">
          <cell r="AI7">
            <v>10000</v>
          </cell>
        </row>
      </sheetData>
      <sheetData sheetId="12233">
        <row r="7">
          <cell r="AI7">
            <v>10000</v>
          </cell>
        </row>
      </sheetData>
      <sheetData sheetId="12234">
        <row r="7">
          <cell r="AI7">
            <v>10000</v>
          </cell>
        </row>
      </sheetData>
      <sheetData sheetId="12235">
        <row r="7">
          <cell r="AI7">
            <v>10000</v>
          </cell>
        </row>
      </sheetData>
      <sheetData sheetId="12236">
        <row r="7">
          <cell r="AI7">
            <v>10000</v>
          </cell>
        </row>
      </sheetData>
      <sheetData sheetId="12237">
        <row r="7">
          <cell r="AI7">
            <v>10000</v>
          </cell>
        </row>
      </sheetData>
      <sheetData sheetId="12238">
        <row r="7">
          <cell r="AI7">
            <v>10000</v>
          </cell>
        </row>
      </sheetData>
      <sheetData sheetId="12239">
        <row r="7">
          <cell r="AI7">
            <v>10000</v>
          </cell>
        </row>
      </sheetData>
      <sheetData sheetId="12240">
        <row r="7">
          <cell r="AI7">
            <v>10000</v>
          </cell>
        </row>
      </sheetData>
      <sheetData sheetId="12241">
        <row r="7">
          <cell r="AI7">
            <v>10000</v>
          </cell>
        </row>
      </sheetData>
      <sheetData sheetId="12242">
        <row r="7">
          <cell r="AI7">
            <v>10000</v>
          </cell>
        </row>
      </sheetData>
      <sheetData sheetId="12243">
        <row r="7">
          <cell r="AI7">
            <v>10000</v>
          </cell>
        </row>
      </sheetData>
      <sheetData sheetId="12244">
        <row r="7">
          <cell r="AI7">
            <v>10000</v>
          </cell>
        </row>
      </sheetData>
      <sheetData sheetId="12245">
        <row r="7">
          <cell r="AI7">
            <v>10000</v>
          </cell>
        </row>
      </sheetData>
      <sheetData sheetId="12246">
        <row r="7">
          <cell r="AI7">
            <v>10000</v>
          </cell>
        </row>
      </sheetData>
      <sheetData sheetId="12247">
        <row r="7">
          <cell r="AI7">
            <v>10000</v>
          </cell>
        </row>
      </sheetData>
      <sheetData sheetId="12248">
        <row r="7">
          <cell r="AI7">
            <v>10000</v>
          </cell>
        </row>
      </sheetData>
      <sheetData sheetId="12249">
        <row r="7">
          <cell r="AI7">
            <v>10000</v>
          </cell>
        </row>
      </sheetData>
      <sheetData sheetId="12250">
        <row r="7">
          <cell r="AI7">
            <v>10000</v>
          </cell>
        </row>
      </sheetData>
      <sheetData sheetId="12251">
        <row r="7">
          <cell r="AI7">
            <v>10000</v>
          </cell>
        </row>
      </sheetData>
      <sheetData sheetId="12252">
        <row r="7">
          <cell r="AI7">
            <v>10000</v>
          </cell>
        </row>
      </sheetData>
      <sheetData sheetId="12253">
        <row r="7">
          <cell r="AI7">
            <v>10000</v>
          </cell>
        </row>
      </sheetData>
      <sheetData sheetId="12254">
        <row r="7">
          <cell r="AI7">
            <v>10000</v>
          </cell>
        </row>
      </sheetData>
      <sheetData sheetId="12255">
        <row r="7">
          <cell r="AI7">
            <v>10000</v>
          </cell>
        </row>
      </sheetData>
      <sheetData sheetId="12256">
        <row r="7">
          <cell r="AI7">
            <v>10000</v>
          </cell>
        </row>
      </sheetData>
      <sheetData sheetId="12257">
        <row r="7">
          <cell r="AI7">
            <v>10000</v>
          </cell>
        </row>
      </sheetData>
      <sheetData sheetId="12258">
        <row r="7">
          <cell r="AI7">
            <v>10000</v>
          </cell>
        </row>
      </sheetData>
      <sheetData sheetId="12259">
        <row r="7">
          <cell r="AI7">
            <v>10000</v>
          </cell>
        </row>
      </sheetData>
      <sheetData sheetId="12260">
        <row r="7">
          <cell r="AI7">
            <v>10000</v>
          </cell>
        </row>
      </sheetData>
      <sheetData sheetId="12261">
        <row r="7">
          <cell r="AI7">
            <v>10000</v>
          </cell>
        </row>
      </sheetData>
      <sheetData sheetId="12262">
        <row r="7">
          <cell r="AI7">
            <v>10000</v>
          </cell>
        </row>
      </sheetData>
      <sheetData sheetId="12263">
        <row r="7">
          <cell r="AI7">
            <v>10000</v>
          </cell>
        </row>
      </sheetData>
      <sheetData sheetId="12264">
        <row r="7">
          <cell r="AI7">
            <v>10000</v>
          </cell>
        </row>
      </sheetData>
      <sheetData sheetId="12265">
        <row r="7">
          <cell r="AI7">
            <v>10000</v>
          </cell>
        </row>
      </sheetData>
      <sheetData sheetId="12266">
        <row r="7">
          <cell r="AI7">
            <v>10000</v>
          </cell>
        </row>
      </sheetData>
      <sheetData sheetId="12267">
        <row r="7">
          <cell r="AI7">
            <v>10000</v>
          </cell>
        </row>
      </sheetData>
      <sheetData sheetId="12268">
        <row r="7">
          <cell r="AI7">
            <v>10000</v>
          </cell>
        </row>
      </sheetData>
      <sheetData sheetId="12269">
        <row r="7">
          <cell r="AI7">
            <v>10000</v>
          </cell>
        </row>
      </sheetData>
      <sheetData sheetId="12270">
        <row r="7">
          <cell r="AI7">
            <v>10000</v>
          </cell>
        </row>
      </sheetData>
      <sheetData sheetId="12271">
        <row r="7">
          <cell r="AI7">
            <v>10000</v>
          </cell>
        </row>
      </sheetData>
      <sheetData sheetId="12272">
        <row r="7">
          <cell r="AI7">
            <v>10000</v>
          </cell>
        </row>
      </sheetData>
      <sheetData sheetId="12273">
        <row r="7">
          <cell r="AI7">
            <v>10000</v>
          </cell>
        </row>
      </sheetData>
      <sheetData sheetId="12274">
        <row r="7">
          <cell r="AI7">
            <v>10000</v>
          </cell>
        </row>
      </sheetData>
      <sheetData sheetId="12275">
        <row r="7">
          <cell r="AI7">
            <v>10000</v>
          </cell>
        </row>
      </sheetData>
      <sheetData sheetId="12276">
        <row r="7">
          <cell r="AI7">
            <v>10000</v>
          </cell>
        </row>
      </sheetData>
      <sheetData sheetId="12277">
        <row r="7">
          <cell r="AI7">
            <v>10000</v>
          </cell>
        </row>
      </sheetData>
      <sheetData sheetId="12278">
        <row r="7">
          <cell r="AI7">
            <v>10000</v>
          </cell>
        </row>
      </sheetData>
      <sheetData sheetId="12279">
        <row r="7">
          <cell r="AI7">
            <v>10000</v>
          </cell>
        </row>
      </sheetData>
      <sheetData sheetId="12280">
        <row r="7">
          <cell r="AI7">
            <v>10000</v>
          </cell>
        </row>
      </sheetData>
      <sheetData sheetId="12281">
        <row r="7">
          <cell r="AI7">
            <v>10000</v>
          </cell>
        </row>
      </sheetData>
      <sheetData sheetId="12282">
        <row r="7">
          <cell r="AI7">
            <v>10000</v>
          </cell>
        </row>
      </sheetData>
      <sheetData sheetId="12283">
        <row r="7">
          <cell r="AI7">
            <v>10000</v>
          </cell>
        </row>
      </sheetData>
      <sheetData sheetId="12284">
        <row r="7">
          <cell r="AI7">
            <v>10000</v>
          </cell>
        </row>
      </sheetData>
      <sheetData sheetId="12285">
        <row r="7">
          <cell r="AI7">
            <v>10000</v>
          </cell>
        </row>
      </sheetData>
      <sheetData sheetId="12286">
        <row r="7">
          <cell r="AI7">
            <v>10000</v>
          </cell>
        </row>
      </sheetData>
      <sheetData sheetId="12287">
        <row r="7">
          <cell r="AI7">
            <v>10000</v>
          </cell>
        </row>
      </sheetData>
      <sheetData sheetId="12288">
        <row r="7">
          <cell r="AI7">
            <v>10000</v>
          </cell>
        </row>
      </sheetData>
      <sheetData sheetId="12289">
        <row r="7">
          <cell r="AI7">
            <v>10000</v>
          </cell>
        </row>
      </sheetData>
      <sheetData sheetId="12290">
        <row r="7">
          <cell r="AI7">
            <v>10000</v>
          </cell>
        </row>
      </sheetData>
      <sheetData sheetId="12291">
        <row r="7">
          <cell r="AI7">
            <v>10000</v>
          </cell>
        </row>
      </sheetData>
      <sheetData sheetId="12292">
        <row r="7">
          <cell r="AI7">
            <v>10000</v>
          </cell>
        </row>
      </sheetData>
      <sheetData sheetId="12293">
        <row r="7">
          <cell r="AI7">
            <v>10000</v>
          </cell>
        </row>
      </sheetData>
      <sheetData sheetId="12294">
        <row r="7">
          <cell r="AI7">
            <v>10000</v>
          </cell>
        </row>
      </sheetData>
      <sheetData sheetId="12295">
        <row r="7">
          <cell r="AI7">
            <v>10000</v>
          </cell>
        </row>
      </sheetData>
      <sheetData sheetId="12296">
        <row r="7">
          <cell r="AI7">
            <v>10000</v>
          </cell>
        </row>
      </sheetData>
      <sheetData sheetId="12297">
        <row r="7">
          <cell r="AI7">
            <v>10000</v>
          </cell>
        </row>
      </sheetData>
      <sheetData sheetId="12298">
        <row r="7">
          <cell r="AI7">
            <v>10000</v>
          </cell>
        </row>
      </sheetData>
      <sheetData sheetId="12299">
        <row r="7">
          <cell r="AI7">
            <v>10000</v>
          </cell>
        </row>
      </sheetData>
      <sheetData sheetId="12300">
        <row r="7">
          <cell r="AI7">
            <v>10000</v>
          </cell>
        </row>
      </sheetData>
      <sheetData sheetId="12301">
        <row r="7">
          <cell r="AI7">
            <v>10000</v>
          </cell>
        </row>
      </sheetData>
      <sheetData sheetId="12302">
        <row r="7">
          <cell r="AI7">
            <v>10000</v>
          </cell>
        </row>
      </sheetData>
      <sheetData sheetId="12303">
        <row r="7">
          <cell r="AI7">
            <v>10000</v>
          </cell>
        </row>
      </sheetData>
      <sheetData sheetId="12304">
        <row r="7">
          <cell r="AI7">
            <v>10000</v>
          </cell>
        </row>
      </sheetData>
      <sheetData sheetId="12305">
        <row r="7">
          <cell r="AI7">
            <v>10000</v>
          </cell>
        </row>
      </sheetData>
      <sheetData sheetId="12306">
        <row r="7">
          <cell r="AI7">
            <v>10000</v>
          </cell>
        </row>
      </sheetData>
      <sheetData sheetId="12307">
        <row r="7">
          <cell r="AI7">
            <v>10000</v>
          </cell>
        </row>
      </sheetData>
      <sheetData sheetId="12308">
        <row r="7">
          <cell r="AI7">
            <v>10000</v>
          </cell>
        </row>
      </sheetData>
      <sheetData sheetId="12309">
        <row r="7">
          <cell r="AI7">
            <v>10000</v>
          </cell>
        </row>
      </sheetData>
      <sheetData sheetId="12310">
        <row r="7">
          <cell r="AI7">
            <v>10000</v>
          </cell>
        </row>
      </sheetData>
      <sheetData sheetId="12311">
        <row r="7">
          <cell r="AI7">
            <v>10000</v>
          </cell>
        </row>
      </sheetData>
      <sheetData sheetId="12312">
        <row r="7">
          <cell r="AI7">
            <v>10000</v>
          </cell>
        </row>
      </sheetData>
      <sheetData sheetId="12313">
        <row r="7">
          <cell r="AI7">
            <v>10000</v>
          </cell>
        </row>
      </sheetData>
      <sheetData sheetId="12314">
        <row r="7">
          <cell r="AI7">
            <v>10000</v>
          </cell>
        </row>
      </sheetData>
      <sheetData sheetId="12315">
        <row r="7">
          <cell r="AI7">
            <v>10000</v>
          </cell>
        </row>
      </sheetData>
      <sheetData sheetId="12316">
        <row r="7">
          <cell r="AI7">
            <v>10000</v>
          </cell>
        </row>
      </sheetData>
      <sheetData sheetId="12317">
        <row r="7">
          <cell r="AI7">
            <v>10000</v>
          </cell>
        </row>
      </sheetData>
      <sheetData sheetId="12318">
        <row r="7">
          <cell r="AI7">
            <v>10000</v>
          </cell>
        </row>
      </sheetData>
      <sheetData sheetId="12319">
        <row r="7">
          <cell r="AI7">
            <v>10000</v>
          </cell>
        </row>
      </sheetData>
      <sheetData sheetId="12320">
        <row r="7">
          <cell r="AI7">
            <v>10000</v>
          </cell>
        </row>
      </sheetData>
      <sheetData sheetId="12321">
        <row r="7">
          <cell r="AI7">
            <v>10000</v>
          </cell>
        </row>
      </sheetData>
      <sheetData sheetId="12322">
        <row r="7">
          <cell r="AI7">
            <v>10000</v>
          </cell>
        </row>
      </sheetData>
      <sheetData sheetId="12323">
        <row r="7">
          <cell r="AI7">
            <v>10000</v>
          </cell>
        </row>
      </sheetData>
      <sheetData sheetId="12324">
        <row r="7">
          <cell r="AI7">
            <v>10000</v>
          </cell>
        </row>
      </sheetData>
      <sheetData sheetId="12325">
        <row r="7">
          <cell r="AI7">
            <v>10000</v>
          </cell>
        </row>
      </sheetData>
      <sheetData sheetId="12326">
        <row r="7">
          <cell r="AI7">
            <v>10000</v>
          </cell>
        </row>
      </sheetData>
      <sheetData sheetId="12327">
        <row r="7">
          <cell r="AI7">
            <v>10000</v>
          </cell>
        </row>
      </sheetData>
      <sheetData sheetId="12328">
        <row r="7">
          <cell r="AI7">
            <v>10000</v>
          </cell>
        </row>
      </sheetData>
      <sheetData sheetId="12329">
        <row r="7">
          <cell r="AI7">
            <v>10000</v>
          </cell>
        </row>
      </sheetData>
      <sheetData sheetId="12330">
        <row r="7">
          <cell r="AI7">
            <v>10000</v>
          </cell>
        </row>
      </sheetData>
      <sheetData sheetId="12331">
        <row r="7">
          <cell r="AI7">
            <v>10000</v>
          </cell>
        </row>
      </sheetData>
      <sheetData sheetId="12332">
        <row r="7">
          <cell r="AI7">
            <v>10000</v>
          </cell>
        </row>
      </sheetData>
      <sheetData sheetId="12333">
        <row r="7">
          <cell r="AI7">
            <v>10000</v>
          </cell>
        </row>
      </sheetData>
      <sheetData sheetId="12334">
        <row r="7">
          <cell r="AI7">
            <v>10000</v>
          </cell>
        </row>
      </sheetData>
      <sheetData sheetId="12335">
        <row r="7">
          <cell r="AI7">
            <v>10000</v>
          </cell>
        </row>
      </sheetData>
      <sheetData sheetId="12336">
        <row r="7">
          <cell r="AI7">
            <v>10000</v>
          </cell>
        </row>
      </sheetData>
      <sheetData sheetId="12337">
        <row r="7">
          <cell r="AI7">
            <v>10000</v>
          </cell>
        </row>
      </sheetData>
      <sheetData sheetId="12338">
        <row r="7">
          <cell r="AI7">
            <v>10000</v>
          </cell>
        </row>
      </sheetData>
      <sheetData sheetId="12339">
        <row r="7">
          <cell r="AI7">
            <v>10000</v>
          </cell>
        </row>
      </sheetData>
      <sheetData sheetId="12340">
        <row r="7">
          <cell r="AI7">
            <v>10000</v>
          </cell>
        </row>
      </sheetData>
      <sheetData sheetId="12341">
        <row r="7">
          <cell r="AI7">
            <v>10000</v>
          </cell>
        </row>
      </sheetData>
      <sheetData sheetId="12342">
        <row r="7">
          <cell r="AI7">
            <v>10000</v>
          </cell>
        </row>
      </sheetData>
      <sheetData sheetId="12343">
        <row r="7">
          <cell r="AI7">
            <v>10000</v>
          </cell>
        </row>
      </sheetData>
      <sheetData sheetId="12344">
        <row r="7">
          <cell r="AI7">
            <v>10000</v>
          </cell>
        </row>
      </sheetData>
      <sheetData sheetId="12345">
        <row r="7">
          <cell r="AI7">
            <v>10000</v>
          </cell>
        </row>
      </sheetData>
      <sheetData sheetId="12346">
        <row r="7">
          <cell r="AI7">
            <v>10000</v>
          </cell>
        </row>
      </sheetData>
      <sheetData sheetId="12347">
        <row r="7">
          <cell r="AI7">
            <v>10000</v>
          </cell>
        </row>
      </sheetData>
      <sheetData sheetId="12348">
        <row r="7">
          <cell r="AI7">
            <v>10000</v>
          </cell>
        </row>
      </sheetData>
      <sheetData sheetId="12349">
        <row r="7">
          <cell r="AI7">
            <v>10000</v>
          </cell>
        </row>
      </sheetData>
      <sheetData sheetId="12350">
        <row r="7">
          <cell r="AI7">
            <v>10000</v>
          </cell>
        </row>
      </sheetData>
      <sheetData sheetId="12351">
        <row r="7">
          <cell r="AI7">
            <v>10000</v>
          </cell>
        </row>
      </sheetData>
      <sheetData sheetId="12352">
        <row r="7">
          <cell r="AI7">
            <v>10000</v>
          </cell>
        </row>
      </sheetData>
      <sheetData sheetId="12353">
        <row r="7">
          <cell r="AI7">
            <v>10000</v>
          </cell>
        </row>
      </sheetData>
      <sheetData sheetId="12354">
        <row r="7">
          <cell r="AI7">
            <v>10000</v>
          </cell>
        </row>
      </sheetData>
      <sheetData sheetId="12355">
        <row r="7">
          <cell r="AI7">
            <v>10000</v>
          </cell>
        </row>
      </sheetData>
      <sheetData sheetId="12356">
        <row r="7">
          <cell r="AI7">
            <v>10000</v>
          </cell>
        </row>
      </sheetData>
      <sheetData sheetId="12357">
        <row r="7">
          <cell r="AI7">
            <v>10000</v>
          </cell>
        </row>
      </sheetData>
      <sheetData sheetId="12358">
        <row r="7">
          <cell r="AI7">
            <v>10000</v>
          </cell>
        </row>
      </sheetData>
      <sheetData sheetId="12359">
        <row r="7">
          <cell r="AI7">
            <v>10000</v>
          </cell>
        </row>
      </sheetData>
      <sheetData sheetId="12360">
        <row r="7">
          <cell r="AI7">
            <v>10000</v>
          </cell>
        </row>
      </sheetData>
      <sheetData sheetId="12361">
        <row r="7">
          <cell r="AI7">
            <v>10000</v>
          </cell>
        </row>
      </sheetData>
      <sheetData sheetId="12362">
        <row r="7">
          <cell r="AI7">
            <v>10000</v>
          </cell>
        </row>
      </sheetData>
      <sheetData sheetId="12363">
        <row r="7">
          <cell r="AI7">
            <v>10000</v>
          </cell>
        </row>
      </sheetData>
      <sheetData sheetId="12364">
        <row r="7">
          <cell r="AI7">
            <v>10000</v>
          </cell>
        </row>
      </sheetData>
      <sheetData sheetId="12365">
        <row r="7">
          <cell r="AI7">
            <v>10000</v>
          </cell>
        </row>
      </sheetData>
      <sheetData sheetId="12366">
        <row r="7">
          <cell r="AI7">
            <v>10000</v>
          </cell>
        </row>
      </sheetData>
      <sheetData sheetId="12367">
        <row r="7">
          <cell r="AI7">
            <v>10000</v>
          </cell>
        </row>
      </sheetData>
      <sheetData sheetId="12368">
        <row r="7">
          <cell r="AI7">
            <v>10000</v>
          </cell>
        </row>
      </sheetData>
      <sheetData sheetId="12369">
        <row r="7">
          <cell r="AI7">
            <v>10000</v>
          </cell>
        </row>
      </sheetData>
      <sheetData sheetId="12370">
        <row r="7">
          <cell r="AI7">
            <v>10000</v>
          </cell>
        </row>
      </sheetData>
      <sheetData sheetId="12371">
        <row r="7">
          <cell r="AI7">
            <v>10000</v>
          </cell>
        </row>
      </sheetData>
      <sheetData sheetId="12372">
        <row r="7">
          <cell r="AI7">
            <v>10000</v>
          </cell>
        </row>
      </sheetData>
      <sheetData sheetId="12373">
        <row r="7">
          <cell r="AI7">
            <v>10000</v>
          </cell>
        </row>
      </sheetData>
      <sheetData sheetId="12374">
        <row r="7">
          <cell r="AI7">
            <v>10000</v>
          </cell>
        </row>
      </sheetData>
      <sheetData sheetId="12375">
        <row r="7">
          <cell r="AI7">
            <v>10000</v>
          </cell>
        </row>
      </sheetData>
      <sheetData sheetId="12376">
        <row r="7">
          <cell r="AI7">
            <v>10000</v>
          </cell>
        </row>
      </sheetData>
      <sheetData sheetId="12377">
        <row r="7">
          <cell r="AI7">
            <v>10000</v>
          </cell>
        </row>
      </sheetData>
      <sheetData sheetId="12378">
        <row r="7">
          <cell r="AI7">
            <v>10000</v>
          </cell>
        </row>
      </sheetData>
      <sheetData sheetId="12379">
        <row r="7">
          <cell r="AI7">
            <v>10000</v>
          </cell>
        </row>
      </sheetData>
      <sheetData sheetId="12380">
        <row r="7">
          <cell r="AI7">
            <v>10000</v>
          </cell>
        </row>
      </sheetData>
      <sheetData sheetId="12381">
        <row r="7">
          <cell r="AI7">
            <v>10000</v>
          </cell>
        </row>
      </sheetData>
      <sheetData sheetId="12382">
        <row r="7">
          <cell r="AI7">
            <v>10000</v>
          </cell>
        </row>
      </sheetData>
      <sheetData sheetId="12383">
        <row r="7">
          <cell r="AI7">
            <v>10000</v>
          </cell>
        </row>
      </sheetData>
      <sheetData sheetId="12384">
        <row r="7">
          <cell r="AI7">
            <v>10000</v>
          </cell>
        </row>
      </sheetData>
      <sheetData sheetId="12385">
        <row r="7">
          <cell r="AI7">
            <v>10000</v>
          </cell>
        </row>
      </sheetData>
      <sheetData sheetId="12386">
        <row r="7">
          <cell r="AI7">
            <v>10000</v>
          </cell>
        </row>
      </sheetData>
      <sheetData sheetId="12387">
        <row r="7">
          <cell r="AI7">
            <v>10000</v>
          </cell>
        </row>
      </sheetData>
      <sheetData sheetId="12388">
        <row r="7">
          <cell r="AI7">
            <v>10000</v>
          </cell>
        </row>
      </sheetData>
      <sheetData sheetId="12389">
        <row r="7">
          <cell r="AI7">
            <v>10000</v>
          </cell>
        </row>
      </sheetData>
      <sheetData sheetId="12390">
        <row r="7">
          <cell r="AI7">
            <v>10000</v>
          </cell>
        </row>
      </sheetData>
      <sheetData sheetId="12391">
        <row r="7">
          <cell r="AI7">
            <v>10000</v>
          </cell>
        </row>
      </sheetData>
      <sheetData sheetId="12392">
        <row r="7">
          <cell r="AI7">
            <v>10000</v>
          </cell>
        </row>
      </sheetData>
      <sheetData sheetId="12393">
        <row r="7">
          <cell r="AI7">
            <v>10000</v>
          </cell>
        </row>
      </sheetData>
      <sheetData sheetId="12394">
        <row r="7">
          <cell r="AI7">
            <v>10000</v>
          </cell>
        </row>
      </sheetData>
      <sheetData sheetId="12395">
        <row r="7">
          <cell r="AI7">
            <v>10000</v>
          </cell>
        </row>
      </sheetData>
      <sheetData sheetId="12396">
        <row r="7">
          <cell r="AI7">
            <v>10000</v>
          </cell>
        </row>
      </sheetData>
      <sheetData sheetId="12397">
        <row r="7">
          <cell r="AI7">
            <v>10000</v>
          </cell>
        </row>
      </sheetData>
      <sheetData sheetId="12398">
        <row r="7">
          <cell r="AI7">
            <v>10000</v>
          </cell>
        </row>
      </sheetData>
      <sheetData sheetId="12399">
        <row r="7">
          <cell r="AI7">
            <v>10000</v>
          </cell>
        </row>
      </sheetData>
      <sheetData sheetId="12400">
        <row r="7">
          <cell r="AI7">
            <v>10000</v>
          </cell>
        </row>
      </sheetData>
      <sheetData sheetId="12401">
        <row r="7">
          <cell r="AI7">
            <v>10000</v>
          </cell>
        </row>
      </sheetData>
      <sheetData sheetId="12402">
        <row r="7">
          <cell r="AI7">
            <v>10000</v>
          </cell>
        </row>
      </sheetData>
      <sheetData sheetId="12403">
        <row r="7">
          <cell r="AI7">
            <v>10000</v>
          </cell>
        </row>
      </sheetData>
      <sheetData sheetId="12404">
        <row r="7">
          <cell r="AI7">
            <v>10000</v>
          </cell>
        </row>
      </sheetData>
      <sheetData sheetId="12405">
        <row r="7">
          <cell r="AI7">
            <v>10000</v>
          </cell>
        </row>
      </sheetData>
      <sheetData sheetId="12406">
        <row r="7">
          <cell r="AI7">
            <v>10000</v>
          </cell>
        </row>
      </sheetData>
      <sheetData sheetId="12407">
        <row r="7">
          <cell r="AI7">
            <v>10000</v>
          </cell>
        </row>
      </sheetData>
      <sheetData sheetId="12408">
        <row r="7">
          <cell r="AI7">
            <v>10000</v>
          </cell>
        </row>
      </sheetData>
      <sheetData sheetId="12409">
        <row r="7">
          <cell r="AI7">
            <v>10000</v>
          </cell>
        </row>
      </sheetData>
      <sheetData sheetId="12410">
        <row r="7">
          <cell r="AI7">
            <v>10000</v>
          </cell>
        </row>
      </sheetData>
      <sheetData sheetId="12411">
        <row r="7">
          <cell r="AI7">
            <v>10000</v>
          </cell>
        </row>
      </sheetData>
      <sheetData sheetId="12412">
        <row r="7">
          <cell r="AI7">
            <v>10000</v>
          </cell>
        </row>
      </sheetData>
      <sheetData sheetId="12413">
        <row r="7">
          <cell r="AI7">
            <v>10000</v>
          </cell>
        </row>
      </sheetData>
      <sheetData sheetId="12414">
        <row r="7">
          <cell r="AI7">
            <v>10000</v>
          </cell>
        </row>
      </sheetData>
      <sheetData sheetId="12415">
        <row r="7">
          <cell r="AI7">
            <v>10000</v>
          </cell>
        </row>
      </sheetData>
      <sheetData sheetId="12416">
        <row r="7">
          <cell r="AI7">
            <v>10000</v>
          </cell>
        </row>
      </sheetData>
      <sheetData sheetId="12417">
        <row r="7">
          <cell r="AI7">
            <v>10000</v>
          </cell>
        </row>
      </sheetData>
      <sheetData sheetId="12418">
        <row r="7">
          <cell r="AI7">
            <v>10000</v>
          </cell>
        </row>
      </sheetData>
      <sheetData sheetId="12419">
        <row r="7">
          <cell r="AI7">
            <v>10000</v>
          </cell>
        </row>
      </sheetData>
      <sheetData sheetId="12420">
        <row r="7">
          <cell r="AI7">
            <v>10000</v>
          </cell>
        </row>
      </sheetData>
      <sheetData sheetId="12421">
        <row r="7">
          <cell r="AI7">
            <v>10000</v>
          </cell>
        </row>
      </sheetData>
      <sheetData sheetId="12422">
        <row r="7">
          <cell r="AI7">
            <v>10000</v>
          </cell>
        </row>
      </sheetData>
      <sheetData sheetId="12423">
        <row r="7">
          <cell r="AI7">
            <v>10000</v>
          </cell>
        </row>
      </sheetData>
      <sheetData sheetId="12424">
        <row r="7">
          <cell r="AI7">
            <v>10000</v>
          </cell>
        </row>
      </sheetData>
      <sheetData sheetId="12425">
        <row r="7">
          <cell r="AI7">
            <v>10000</v>
          </cell>
        </row>
      </sheetData>
      <sheetData sheetId="12426">
        <row r="7">
          <cell r="AI7">
            <v>10000</v>
          </cell>
        </row>
      </sheetData>
      <sheetData sheetId="12427">
        <row r="7">
          <cell r="AI7">
            <v>10000</v>
          </cell>
        </row>
      </sheetData>
      <sheetData sheetId="12428">
        <row r="7">
          <cell r="AI7">
            <v>10000</v>
          </cell>
        </row>
      </sheetData>
      <sheetData sheetId="12429">
        <row r="7">
          <cell r="AI7">
            <v>10000</v>
          </cell>
        </row>
      </sheetData>
      <sheetData sheetId="12430">
        <row r="7">
          <cell r="AI7">
            <v>10000</v>
          </cell>
        </row>
      </sheetData>
      <sheetData sheetId="12431">
        <row r="7">
          <cell r="AI7">
            <v>10000</v>
          </cell>
        </row>
      </sheetData>
      <sheetData sheetId="12432">
        <row r="7">
          <cell r="AI7">
            <v>10000</v>
          </cell>
        </row>
      </sheetData>
      <sheetData sheetId="12433">
        <row r="7">
          <cell r="AI7">
            <v>10000</v>
          </cell>
        </row>
      </sheetData>
      <sheetData sheetId="12434">
        <row r="7">
          <cell r="AI7">
            <v>10000</v>
          </cell>
        </row>
      </sheetData>
      <sheetData sheetId="12435">
        <row r="7">
          <cell r="AI7">
            <v>10000</v>
          </cell>
        </row>
      </sheetData>
      <sheetData sheetId="12436">
        <row r="7">
          <cell r="AI7">
            <v>10000</v>
          </cell>
        </row>
      </sheetData>
      <sheetData sheetId="12437">
        <row r="7">
          <cell r="AI7">
            <v>10000</v>
          </cell>
        </row>
      </sheetData>
      <sheetData sheetId="12438">
        <row r="7">
          <cell r="AI7">
            <v>10000</v>
          </cell>
        </row>
      </sheetData>
      <sheetData sheetId="12439">
        <row r="7">
          <cell r="AI7">
            <v>10000</v>
          </cell>
        </row>
      </sheetData>
      <sheetData sheetId="12440">
        <row r="7">
          <cell r="AI7">
            <v>10000</v>
          </cell>
        </row>
      </sheetData>
      <sheetData sheetId="12441">
        <row r="7">
          <cell r="AI7">
            <v>10000</v>
          </cell>
        </row>
      </sheetData>
      <sheetData sheetId="12442">
        <row r="7">
          <cell r="AI7">
            <v>10000</v>
          </cell>
        </row>
      </sheetData>
      <sheetData sheetId="12443">
        <row r="7">
          <cell r="AI7">
            <v>10000</v>
          </cell>
        </row>
      </sheetData>
      <sheetData sheetId="12444">
        <row r="7">
          <cell r="AI7">
            <v>10000</v>
          </cell>
        </row>
      </sheetData>
      <sheetData sheetId="12445">
        <row r="7">
          <cell r="AI7">
            <v>10000</v>
          </cell>
        </row>
      </sheetData>
      <sheetData sheetId="12446">
        <row r="7">
          <cell r="AI7">
            <v>10000</v>
          </cell>
        </row>
      </sheetData>
      <sheetData sheetId="12447">
        <row r="7">
          <cell r="AI7">
            <v>10000</v>
          </cell>
        </row>
      </sheetData>
      <sheetData sheetId="12448">
        <row r="7">
          <cell r="AI7">
            <v>10000</v>
          </cell>
        </row>
      </sheetData>
      <sheetData sheetId="12449">
        <row r="7">
          <cell r="AI7">
            <v>10000</v>
          </cell>
        </row>
      </sheetData>
      <sheetData sheetId="12450">
        <row r="7">
          <cell r="AI7">
            <v>10000</v>
          </cell>
        </row>
      </sheetData>
      <sheetData sheetId="12451">
        <row r="7">
          <cell r="AI7">
            <v>10000</v>
          </cell>
        </row>
      </sheetData>
      <sheetData sheetId="12452">
        <row r="7">
          <cell r="AI7">
            <v>10000</v>
          </cell>
        </row>
      </sheetData>
      <sheetData sheetId="12453">
        <row r="7">
          <cell r="AI7">
            <v>10000</v>
          </cell>
        </row>
      </sheetData>
      <sheetData sheetId="12454">
        <row r="7">
          <cell r="AI7">
            <v>10000</v>
          </cell>
        </row>
      </sheetData>
      <sheetData sheetId="12455">
        <row r="7">
          <cell r="AI7">
            <v>10000</v>
          </cell>
        </row>
      </sheetData>
      <sheetData sheetId="12456">
        <row r="7">
          <cell r="AI7">
            <v>10000</v>
          </cell>
        </row>
      </sheetData>
      <sheetData sheetId="12457">
        <row r="7">
          <cell r="AI7">
            <v>10000</v>
          </cell>
        </row>
      </sheetData>
      <sheetData sheetId="12458">
        <row r="7">
          <cell r="AI7">
            <v>10000</v>
          </cell>
        </row>
      </sheetData>
      <sheetData sheetId="12459">
        <row r="7">
          <cell r="AI7">
            <v>10000</v>
          </cell>
        </row>
      </sheetData>
      <sheetData sheetId="12460">
        <row r="7">
          <cell r="AI7">
            <v>10000</v>
          </cell>
        </row>
      </sheetData>
      <sheetData sheetId="12461">
        <row r="7">
          <cell r="AI7">
            <v>10000</v>
          </cell>
        </row>
      </sheetData>
      <sheetData sheetId="12462">
        <row r="7">
          <cell r="AI7">
            <v>10000</v>
          </cell>
        </row>
      </sheetData>
      <sheetData sheetId="12463">
        <row r="7">
          <cell r="AI7">
            <v>10000</v>
          </cell>
        </row>
      </sheetData>
      <sheetData sheetId="12464">
        <row r="7">
          <cell r="AI7">
            <v>10000</v>
          </cell>
        </row>
      </sheetData>
      <sheetData sheetId="12465">
        <row r="7">
          <cell r="AI7">
            <v>10000</v>
          </cell>
        </row>
      </sheetData>
      <sheetData sheetId="12466">
        <row r="7">
          <cell r="AI7">
            <v>10000</v>
          </cell>
        </row>
      </sheetData>
      <sheetData sheetId="12467">
        <row r="7">
          <cell r="AI7">
            <v>10000</v>
          </cell>
        </row>
      </sheetData>
      <sheetData sheetId="12468">
        <row r="7">
          <cell r="AI7">
            <v>10000</v>
          </cell>
        </row>
      </sheetData>
      <sheetData sheetId="12469">
        <row r="7">
          <cell r="AI7">
            <v>10000</v>
          </cell>
        </row>
      </sheetData>
      <sheetData sheetId="12470">
        <row r="7">
          <cell r="AI7">
            <v>10000</v>
          </cell>
        </row>
      </sheetData>
      <sheetData sheetId="12471">
        <row r="7">
          <cell r="AI7">
            <v>10000</v>
          </cell>
        </row>
      </sheetData>
      <sheetData sheetId="12472">
        <row r="7">
          <cell r="AI7">
            <v>10000</v>
          </cell>
        </row>
      </sheetData>
      <sheetData sheetId="12473">
        <row r="7">
          <cell r="AI7">
            <v>10000</v>
          </cell>
        </row>
      </sheetData>
      <sheetData sheetId="12474">
        <row r="7">
          <cell r="AI7">
            <v>10000</v>
          </cell>
        </row>
      </sheetData>
      <sheetData sheetId="12475">
        <row r="7">
          <cell r="AI7">
            <v>10000</v>
          </cell>
        </row>
      </sheetData>
      <sheetData sheetId="12476">
        <row r="7">
          <cell r="AI7">
            <v>10000</v>
          </cell>
        </row>
      </sheetData>
      <sheetData sheetId="12477">
        <row r="7">
          <cell r="AI7">
            <v>10000</v>
          </cell>
        </row>
      </sheetData>
      <sheetData sheetId="12478">
        <row r="7">
          <cell r="AI7">
            <v>10000</v>
          </cell>
        </row>
      </sheetData>
      <sheetData sheetId="12479">
        <row r="7">
          <cell r="AI7">
            <v>10000</v>
          </cell>
        </row>
      </sheetData>
      <sheetData sheetId="12480">
        <row r="7">
          <cell r="AI7">
            <v>10000</v>
          </cell>
        </row>
      </sheetData>
      <sheetData sheetId="12481">
        <row r="7">
          <cell r="AI7">
            <v>10000</v>
          </cell>
        </row>
      </sheetData>
      <sheetData sheetId="12482">
        <row r="7">
          <cell r="AI7">
            <v>10000</v>
          </cell>
        </row>
      </sheetData>
      <sheetData sheetId="12483">
        <row r="7">
          <cell r="AI7">
            <v>10000</v>
          </cell>
        </row>
      </sheetData>
      <sheetData sheetId="12484">
        <row r="7">
          <cell r="AI7">
            <v>10000</v>
          </cell>
        </row>
      </sheetData>
      <sheetData sheetId="12485">
        <row r="7">
          <cell r="AI7">
            <v>10000</v>
          </cell>
        </row>
      </sheetData>
      <sheetData sheetId="12486">
        <row r="7">
          <cell r="AI7">
            <v>10000</v>
          </cell>
        </row>
      </sheetData>
      <sheetData sheetId="12487">
        <row r="7">
          <cell r="AI7">
            <v>10000</v>
          </cell>
        </row>
      </sheetData>
      <sheetData sheetId="12488">
        <row r="7">
          <cell r="AI7">
            <v>10000</v>
          </cell>
        </row>
      </sheetData>
      <sheetData sheetId="12489">
        <row r="7">
          <cell r="AI7">
            <v>10000</v>
          </cell>
        </row>
      </sheetData>
      <sheetData sheetId="12490">
        <row r="7">
          <cell r="AI7">
            <v>10000</v>
          </cell>
        </row>
      </sheetData>
      <sheetData sheetId="12491">
        <row r="7">
          <cell r="AI7">
            <v>10000</v>
          </cell>
        </row>
      </sheetData>
      <sheetData sheetId="12492">
        <row r="7">
          <cell r="AI7">
            <v>10000</v>
          </cell>
        </row>
      </sheetData>
      <sheetData sheetId="12493">
        <row r="7">
          <cell r="AI7">
            <v>10000</v>
          </cell>
        </row>
      </sheetData>
      <sheetData sheetId="12494">
        <row r="7">
          <cell r="AI7">
            <v>10000</v>
          </cell>
        </row>
      </sheetData>
      <sheetData sheetId="12495">
        <row r="7">
          <cell r="AI7">
            <v>10000</v>
          </cell>
        </row>
      </sheetData>
      <sheetData sheetId="12496">
        <row r="7">
          <cell r="AI7">
            <v>10000</v>
          </cell>
        </row>
      </sheetData>
      <sheetData sheetId="12497">
        <row r="7">
          <cell r="AI7">
            <v>10000</v>
          </cell>
        </row>
      </sheetData>
      <sheetData sheetId="12498">
        <row r="7">
          <cell r="AI7">
            <v>10000</v>
          </cell>
        </row>
      </sheetData>
      <sheetData sheetId="12499">
        <row r="7">
          <cell r="AI7">
            <v>10000</v>
          </cell>
        </row>
      </sheetData>
      <sheetData sheetId="12500">
        <row r="7">
          <cell r="AI7">
            <v>10000</v>
          </cell>
        </row>
      </sheetData>
      <sheetData sheetId="12501">
        <row r="7">
          <cell r="AI7">
            <v>10000</v>
          </cell>
        </row>
      </sheetData>
      <sheetData sheetId="12502">
        <row r="7">
          <cell r="AI7">
            <v>10000</v>
          </cell>
        </row>
      </sheetData>
      <sheetData sheetId="12503">
        <row r="7">
          <cell r="AI7">
            <v>10000</v>
          </cell>
        </row>
      </sheetData>
      <sheetData sheetId="12504">
        <row r="7">
          <cell r="AI7">
            <v>10000</v>
          </cell>
        </row>
      </sheetData>
      <sheetData sheetId="12505">
        <row r="7">
          <cell r="AI7">
            <v>10000</v>
          </cell>
        </row>
      </sheetData>
      <sheetData sheetId="12506">
        <row r="7">
          <cell r="AI7">
            <v>10000</v>
          </cell>
        </row>
      </sheetData>
      <sheetData sheetId="12507">
        <row r="7">
          <cell r="AI7">
            <v>10000</v>
          </cell>
        </row>
      </sheetData>
      <sheetData sheetId="12508">
        <row r="7">
          <cell r="AI7">
            <v>10000</v>
          </cell>
        </row>
      </sheetData>
      <sheetData sheetId="12509">
        <row r="7">
          <cell r="AI7">
            <v>10000</v>
          </cell>
        </row>
      </sheetData>
      <sheetData sheetId="12510">
        <row r="7">
          <cell r="AI7">
            <v>10000</v>
          </cell>
        </row>
      </sheetData>
      <sheetData sheetId="12511">
        <row r="7">
          <cell r="AI7">
            <v>10000</v>
          </cell>
        </row>
      </sheetData>
      <sheetData sheetId="12512">
        <row r="7">
          <cell r="AI7">
            <v>10000</v>
          </cell>
        </row>
      </sheetData>
      <sheetData sheetId="12513">
        <row r="7">
          <cell r="AI7">
            <v>10000</v>
          </cell>
        </row>
      </sheetData>
      <sheetData sheetId="12514">
        <row r="7">
          <cell r="AI7">
            <v>10000</v>
          </cell>
        </row>
      </sheetData>
      <sheetData sheetId="12515">
        <row r="7">
          <cell r="AI7">
            <v>10000</v>
          </cell>
        </row>
      </sheetData>
      <sheetData sheetId="12516">
        <row r="7">
          <cell r="AI7">
            <v>10000</v>
          </cell>
        </row>
      </sheetData>
      <sheetData sheetId="12517">
        <row r="7">
          <cell r="AI7">
            <v>10000</v>
          </cell>
        </row>
      </sheetData>
      <sheetData sheetId="12518">
        <row r="7">
          <cell r="AI7">
            <v>10000</v>
          </cell>
        </row>
      </sheetData>
      <sheetData sheetId="12519">
        <row r="7">
          <cell r="AI7">
            <v>10000</v>
          </cell>
        </row>
      </sheetData>
      <sheetData sheetId="12520">
        <row r="7">
          <cell r="AI7">
            <v>10000</v>
          </cell>
        </row>
      </sheetData>
      <sheetData sheetId="12521">
        <row r="7">
          <cell r="AI7">
            <v>10000</v>
          </cell>
        </row>
      </sheetData>
      <sheetData sheetId="12522">
        <row r="7">
          <cell r="AI7">
            <v>10000</v>
          </cell>
        </row>
      </sheetData>
      <sheetData sheetId="12523">
        <row r="7">
          <cell r="AI7">
            <v>10000</v>
          </cell>
        </row>
      </sheetData>
      <sheetData sheetId="12524">
        <row r="7">
          <cell r="AI7">
            <v>10000</v>
          </cell>
        </row>
      </sheetData>
      <sheetData sheetId="12525">
        <row r="7">
          <cell r="AI7">
            <v>10000</v>
          </cell>
        </row>
      </sheetData>
      <sheetData sheetId="12526">
        <row r="7">
          <cell r="AI7">
            <v>10000</v>
          </cell>
        </row>
      </sheetData>
      <sheetData sheetId="12527">
        <row r="7">
          <cell r="AI7">
            <v>10000</v>
          </cell>
        </row>
      </sheetData>
      <sheetData sheetId="12528">
        <row r="7">
          <cell r="AI7">
            <v>10000</v>
          </cell>
        </row>
      </sheetData>
      <sheetData sheetId="12529">
        <row r="7">
          <cell r="AI7">
            <v>10000</v>
          </cell>
        </row>
      </sheetData>
      <sheetData sheetId="12530">
        <row r="7">
          <cell r="AI7">
            <v>10000</v>
          </cell>
        </row>
      </sheetData>
      <sheetData sheetId="12531">
        <row r="7">
          <cell r="AI7">
            <v>10000</v>
          </cell>
        </row>
      </sheetData>
      <sheetData sheetId="12532">
        <row r="7">
          <cell r="AI7">
            <v>10000</v>
          </cell>
        </row>
      </sheetData>
      <sheetData sheetId="12533">
        <row r="7">
          <cell r="AI7">
            <v>10000</v>
          </cell>
        </row>
      </sheetData>
      <sheetData sheetId="12534">
        <row r="7">
          <cell r="AI7">
            <v>10000</v>
          </cell>
        </row>
      </sheetData>
      <sheetData sheetId="12535">
        <row r="7">
          <cell r="AI7">
            <v>10000</v>
          </cell>
        </row>
      </sheetData>
      <sheetData sheetId="12536">
        <row r="7">
          <cell r="AI7">
            <v>10000</v>
          </cell>
        </row>
      </sheetData>
      <sheetData sheetId="12537">
        <row r="7">
          <cell r="AI7">
            <v>10000</v>
          </cell>
        </row>
      </sheetData>
      <sheetData sheetId="12538">
        <row r="7">
          <cell r="AI7">
            <v>10000</v>
          </cell>
        </row>
      </sheetData>
      <sheetData sheetId="12539">
        <row r="7">
          <cell r="AI7">
            <v>10000</v>
          </cell>
        </row>
      </sheetData>
      <sheetData sheetId="12540">
        <row r="7">
          <cell r="AI7">
            <v>10000</v>
          </cell>
        </row>
      </sheetData>
      <sheetData sheetId="12541">
        <row r="7">
          <cell r="AI7">
            <v>10000</v>
          </cell>
        </row>
      </sheetData>
      <sheetData sheetId="12542">
        <row r="7">
          <cell r="AI7">
            <v>10000</v>
          </cell>
        </row>
      </sheetData>
      <sheetData sheetId="12543">
        <row r="7">
          <cell r="AI7">
            <v>10000</v>
          </cell>
        </row>
      </sheetData>
      <sheetData sheetId="12544">
        <row r="7">
          <cell r="AI7">
            <v>10000</v>
          </cell>
        </row>
      </sheetData>
      <sheetData sheetId="12545">
        <row r="7">
          <cell r="AI7">
            <v>10000</v>
          </cell>
        </row>
      </sheetData>
      <sheetData sheetId="12546">
        <row r="7">
          <cell r="AI7">
            <v>10000</v>
          </cell>
        </row>
      </sheetData>
      <sheetData sheetId="12547">
        <row r="7">
          <cell r="AI7">
            <v>10000</v>
          </cell>
        </row>
      </sheetData>
      <sheetData sheetId="12548">
        <row r="7">
          <cell r="AI7">
            <v>10000</v>
          </cell>
        </row>
      </sheetData>
      <sheetData sheetId="12549">
        <row r="7">
          <cell r="AI7">
            <v>10000</v>
          </cell>
        </row>
      </sheetData>
      <sheetData sheetId="12550">
        <row r="7">
          <cell r="AI7">
            <v>10000</v>
          </cell>
        </row>
      </sheetData>
      <sheetData sheetId="12551">
        <row r="7">
          <cell r="AI7">
            <v>10000</v>
          </cell>
        </row>
      </sheetData>
      <sheetData sheetId="12552">
        <row r="7">
          <cell r="AI7">
            <v>10000</v>
          </cell>
        </row>
      </sheetData>
      <sheetData sheetId="12553">
        <row r="7">
          <cell r="AI7">
            <v>10000</v>
          </cell>
        </row>
      </sheetData>
      <sheetData sheetId="12554">
        <row r="7">
          <cell r="AI7">
            <v>10000</v>
          </cell>
        </row>
      </sheetData>
      <sheetData sheetId="12555">
        <row r="7">
          <cell r="AI7">
            <v>10000</v>
          </cell>
        </row>
      </sheetData>
      <sheetData sheetId="12556">
        <row r="7">
          <cell r="AI7">
            <v>10000</v>
          </cell>
        </row>
      </sheetData>
      <sheetData sheetId="12557">
        <row r="7">
          <cell r="AI7">
            <v>10000</v>
          </cell>
        </row>
      </sheetData>
      <sheetData sheetId="12558">
        <row r="7">
          <cell r="AI7">
            <v>10000</v>
          </cell>
        </row>
      </sheetData>
      <sheetData sheetId="12559">
        <row r="7">
          <cell r="AI7">
            <v>10000</v>
          </cell>
        </row>
      </sheetData>
      <sheetData sheetId="12560">
        <row r="7">
          <cell r="AI7">
            <v>10000</v>
          </cell>
        </row>
      </sheetData>
      <sheetData sheetId="12561">
        <row r="7">
          <cell r="AI7">
            <v>10000</v>
          </cell>
        </row>
      </sheetData>
      <sheetData sheetId="12562">
        <row r="7">
          <cell r="AI7">
            <v>10000</v>
          </cell>
        </row>
      </sheetData>
      <sheetData sheetId="12563">
        <row r="7">
          <cell r="AI7">
            <v>10000</v>
          </cell>
        </row>
      </sheetData>
      <sheetData sheetId="12564">
        <row r="7">
          <cell r="AI7">
            <v>10000</v>
          </cell>
        </row>
      </sheetData>
      <sheetData sheetId="12565">
        <row r="7">
          <cell r="AI7">
            <v>10000</v>
          </cell>
        </row>
      </sheetData>
      <sheetData sheetId="12566">
        <row r="7">
          <cell r="AI7">
            <v>10000</v>
          </cell>
        </row>
      </sheetData>
      <sheetData sheetId="12567">
        <row r="7">
          <cell r="AI7">
            <v>10000</v>
          </cell>
        </row>
      </sheetData>
      <sheetData sheetId="12568">
        <row r="7">
          <cell r="AI7">
            <v>10000</v>
          </cell>
        </row>
      </sheetData>
      <sheetData sheetId="12569">
        <row r="7">
          <cell r="AI7">
            <v>10000</v>
          </cell>
        </row>
      </sheetData>
      <sheetData sheetId="12570">
        <row r="7">
          <cell r="AI7">
            <v>10000</v>
          </cell>
        </row>
      </sheetData>
      <sheetData sheetId="12571">
        <row r="7">
          <cell r="AI7">
            <v>10000</v>
          </cell>
        </row>
      </sheetData>
      <sheetData sheetId="12572">
        <row r="7">
          <cell r="AI7">
            <v>10000</v>
          </cell>
        </row>
      </sheetData>
      <sheetData sheetId="12573">
        <row r="7">
          <cell r="AI7">
            <v>10000</v>
          </cell>
        </row>
      </sheetData>
      <sheetData sheetId="12574">
        <row r="7">
          <cell r="AI7">
            <v>10000</v>
          </cell>
        </row>
      </sheetData>
      <sheetData sheetId="12575">
        <row r="7">
          <cell r="AI7">
            <v>10000</v>
          </cell>
        </row>
      </sheetData>
      <sheetData sheetId="12576">
        <row r="7">
          <cell r="AI7">
            <v>10000</v>
          </cell>
        </row>
      </sheetData>
      <sheetData sheetId="12577">
        <row r="7">
          <cell r="AI7">
            <v>10000</v>
          </cell>
        </row>
      </sheetData>
      <sheetData sheetId="12578">
        <row r="7">
          <cell r="AI7">
            <v>10000</v>
          </cell>
        </row>
      </sheetData>
      <sheetData sheetId="12579">
        <row r="7">
          <cell r="AI7">
            <v>10000</v>
          </cell>
        </row>
      </sheetData>
      <sheetData sheetId="12580">
        <row r="7">
          <cell r="AI7">
            <v>10000</v>
          </cell>
        </row>
      </sheetData>
      <sheetData sheetId="12581">
        <row r="7">
          <cell r="AI7">
            <v>10000</v>
          </cell>
        </row>
      </sheetData>
      <sheetData sheetId="12582">
        <row r="7">
          <cell r="AI7">
            <v>10000</v>
          </cell>
        </row>
      </sheetData>
      <sheetData sheetId="12583">
        <row r="7">
          <cell r="AI7">
            <v>10000</v>
          </cell>
        </row>
      </sheetData>
      <sheetData sheetId="12584">
        <row r="7">
          <cell r="AI7">
            <v>10000</v>
          </cell>
        </row>
      </sheetData>
      <sheetData sheetId="12585">
        <row r="7">
          <cell r="AI7">
            <v>10000</v>
          </cell>
        </row>
      </sheetData>
      <sheetData sheetId="12586">
        <row r="7">
          <cell r="AI7">
            <v>10000</v>
          </cell>
        </row>
      </sheetData>
      <sheetData sheetId="12587">
        <row r="7">
          <cell r="AI7">
            <v>10000</v>
          </cell>
        </row>
      </sheetData>
      <sheetData sheetId="12588">
        <row r="7">
          <cell r="AI7">
            <v>10000</v>
          </cell>
        </row>
      </sheetData>
      <sheetData sheetId="12589">
        <row r="7">
          <cell r="AI7">
            <v>10000</v>
          </cell>
        </row>
      </sheetData>
      <sheetData sheetId="12590">
        <row r="7">
          <cell r="AI7">
            <v>10000</v>
          </cell>
        </row>
      </sheetData>
      <sheetData sheetId="12591">
        <row r="7">
          <cell r="AI7">
            <v>10000</v>
          </cell>
        </row>
      </sheetData>
      <sheetData sheetId="12592">
        <row r="7">
          <cell r="AI7">
            <v>10000</v>
          </cell>
        </row>
      </sheetData>
      <sheetData sheetId="12593">
        <row r="7">
          <cell r="AI7">
            <v>10000</v>
          </cell>
        </row>
      </sheetData>
      <sheetData sheetId="12594">
        <row r="7">
          <cell r="AI7">
            <v>10000</v>
          </cell>
        </row>
      </sheetData>
      <sheetData sheetId="12595">
        <row r="7">
          <cell r="AI7">
            <v>10000</v>
          </cell>
        </row>
      </sheetData>
      <sheetData sheetId="12596">
        <row r="7">
          <cell r="AI7">
            <v>10000</v>
          </cell>
        </row>
      </sheetData>
      <sheetData sheetId="12597">
        <row r="7">
          <cell r="AI7">
            <v>10000</v>
          </cell>
        </row>
      </sheetData>
      <sheetData sheetId="12598">
        <row r="7">
          <cell r="AI7">
            <v>10000</v>
          </cell>
        </row>
      </sheetData>
      <sheetData sheetId="12599">
        <row r="7">
          <cell r="AI7">
            <v>10000</v>
          </cell>
        </row>
      </sheetData>
      <sheetData sheetId="12600">
        <row r="7">
          <cell r="AI7">
            <v>10000</v>
          </cell>
        </row>
      </sheetData>
      <sheetData sheetId="12601">
        <row r="7">
          <cell r="AI7">
            <v>10000</v>
          </cell>
        </row>
      </sheetData>
      <sheetData sheetId="12602">
        <row r="7">
          <cell r="AI7">
            <v>10000</v>
          </cell>
        </row>
      </sheetData>
      <sheetData sheetId="12603">
        <row r="7">
          <cell r="AI7">
            <v>10000</v>
          </cell>
        </row>
      </sheetData>
      <sheetData sheetId="12604">
        <row r="7">
          <cell r="AI7">
            <v>10000</v>
          </cell>
        </row>
      </sheetData>
      <sheetData sheetId="12605">
        <row r="7">
          <cell r="AI7">
            <v>10000</v>
          </cell>
        </row>
      </sheetData>
      <sheetData sheetId="12606">
        <row r="7">
          <cell r="AI7">
            <v>10000</v>
          </cell>
        </row>
      </sheetData>
      <sheetData sheetId="12607">
        <row r="7">
          <cell r="AI7">
            <v>10000</v>
          </cell>
        </row>
      </sheetData>
      <sheetData sheetId="12608">
        <row r="7">
          <cell r="AI7">
            <v>10000</v>
          </cell>
        </row>
      </sheetData>
      <sheetData sheetId="12609">
        <row r="7">
          <cell r="AI7">
            <v>10000</v>
          </cell>
        </row>
      </sheetData>
      <sheetData sheetId="12610">
        <row r="7">
          <cell r="AI7">
            <v>10000</v>
          </cell>
        </row>
      </sheetData>
      <sheetData sheetId="12611">
        <row r="7">
          <cell r="AI7">
            <v>10000</v>
          </cell>
        </row>
      </sheetData>
      <sheetData sheetId="12612">
        <row r="7">
          <cell r="AI7">
            <v>10000</v>
          </cell>
        </row>
      </sheetData>
      <sheetData sheetId="12613">
        <row r="7">
          <cell r="AI7">
            <v>10000</v>
          </cell>
        </row>
      </sheetData>
      <sheetData sheetId="12614">
        <row r="7">
          <cell r="AI7">
            <v>10000</v>
          </cell>
        </row>
      </sheetData>
      <sheetData sheetId="12615">
        <row r="7">
          <cell r="AI7">
            <v>10000</v>
          </cell>
        </row>
      </sheetData>
      <sheetData sheetId="12616">
        <row r="7">
          <cell r="AI7">
            <v>10000</v>
          </cell>
        </row>
      </sheetData>
      <sheetData sheetId="12617">
        <row r="7">
          <cell r="AI7">
            <v>10000</v>
          </cell>
        </row>
      </sheetData>
      <sheetData sheetId="12618">
        <row r="7">
          <cell r="AI7">
            <v>10000</v>
          </cell>
        </row>
      </sheetData>
      <sheetData sheetId="12619">
        <row r="7">
          <cell r="AI7">
            <v>10000</v>
          </cell>
        </row>
      </sheetData>
      <sheetData sheetId="12620">
        <row r="7">
          <cell r="AI7">
            <v>10000</v>
          </cell>
        </row>
      </sheetData>
      <sheetData sheetId="12621">
        <row r="7">
          <cell r="AI7">
            <v>10000</v>
          </cell>
        </row>
      </sheetData>
      <sheetData sheetId="12622">
        <row r="7">
          <cell r="AI7">
            <v>10000</v>
          </cell>
        </row>
      </sheetData>
      <sheetData sheetId="12623">
        <row r="7">
          <cell r="AI7">
            <v>10000</v>
          </cell>
        </row>
      </sheetData>
      <sheetData sheetId="12624">
        <row r="7">
          <cell r="AI7">
            <v>10000</v>
          </cell>
        </row>
      </sheetData>
      <sheetData sheetId="12625">
        <row r="7">
          <cell r="AI7">
            <v>10000</v>
          </cell>
        </row>
      </sheetData>
      <sheetData sheetId="12626">
        <row r="7">
          <cell r="AI7">
            <v>10000</v>
          </cell>
        </row>
      </sheetData>
      <sheetData sheetId="12627">
        <row r="7">
          <cell r="AI7">
            <v>10000</v>
          </cell>
        </row>
      </sheetData>
      <sheetData sheetId="12628">
        <row r="7">
          <cell r="AI7">
            <v>10000</v>
          </cell>
        </row>
      </sheetData>
      <sheetData sheetId="12629">
        <row r="7">
          <cell r="AI7">
            <v>10000</v>
          </cell>
        </row>
      </sheetData>
      <sheetData sheetId="12630">
        <row r="7">
          <cell r="AI7">
            <v>10000</v>
          </cell>
        </row>
      </sheetData>
      <sheetData sheetId="12631">
        <row r="7">
          <cell r="AI7">
            <v>10000</v>
          </cell>
        </row>
      </sheetData>
      <sheetData sheetId="12632">
        <row r="7">
          <cell r="AI7">
            <v>10000</v>
          </cell>
        </row>
      </sheetData>
      <sheetData sheetId="12633">
        <row r="7">
          <cell r="AI7">
            <v>10000</v>
          </cell>
        </row>
      </sheetData>
      <sheetData sheetId="12634">
        <row r="7">
          <cell r="AI7">
            <v>10000</v>
          </cell>
        </row>
      </sheetData>
      <sheetData sheetId="12635">
        <row r="7">
          <cell r="AI7">
            <v>10000</v>
          </cell>
        </row>
      </sheetData>
      <sheetData sheetId="12636">
        <row r="7">
          <cell r="AI7">
            <v>10000</v>
          </cell>
        </row>
      </sheetData>
      <sheetData sheetId="12637">
        <row r="7">
          <cell r="AI7">
            <v>10000</v>
          </cell>
        </row>
      </sheetData>
      <sheetData sheetId="12638">
        <row r="7">
          <cell r="AI7">
            <v>10000</v>
          </cell>
        </row>
      </sheetData>
      <sheetData sheetId="12639">
        <row r="7">
          <cell r="AI7">
            <v>10000</v>
          </cell>
        </row>
      </sheetData>
      <sheetData sheetId="12640">
        <row r="7">
          <cell r="AI7">
            <v>10000</v>
          </cell>
        </row>
      </sheetData>
      <sheetData sheetId="12641">
        <row r="7">
          <cell r="AI7">
            <v>10000</v>
          </cell>
        </row>
      </sheetData>
      <sheetData sheetId="12642">
        <row r="7">
          <cell r="AI7">
            <v>10000</v>
          </cell>
        </row>
      </sheetData>
      <sheetData sheetId="12643">
        <row r="7">
          <cell r="AI7">
            <v>10000</v>
          </cell>
        </row>
      </sheetData>
      <sheetData sheetId="12644">
        <row r="7">
          <cell r="AI7">
            <v>10000</v>
          </cell>
        </row>
      </sheetData>
      <sheetData sheetId="12645">
        <row r="7">
          <cell r="AI7">
            <v>10000</v>
          </cell>
        </row>
      </sheetData>
      <sheetData sheetId="12646">
        <row r="7">
          <cell r="AI7">
            <v>10000</v>
          </cell>
        </row>
      </sheetData>
      <sheetData sheetId="12647">
        <row r="7">
          <cell r="AI7">
            <v>10000</v>
          </cell>
        </row>
      </sheetData>
      <sheetData sheetId="12648">
        <row r="7">
          <cell r="AI7">
            <v>10000</v>
          </cell>
        </row>
      </sheetData>
      <sheetData sheetId="12649">
        <row r="7">
          <cell r="AI7">
            <v>10000</v>
          </cell>
        </row>
      </sheetData>
      <sheetData sheetId="12650">
        <row r="7">
          <cell r="AI7">
            <v>10000</v>
          </cell>
        </row>
      </sheetData>
      <sheetData sheetId="12651">
        <row r="7">
          <cell r="AI7">
            <v>10000</v>
          </cell>
        </row>
      </sheetData>
      <sheetData sheetId="12652">
        <row r="7">
          <cell r="AI7">
            <v>10000</v>
          </cell>
        </row>
      </sheetData>
      <sheetData sheetId="12653">
        <row r="7">
          <cell r="AI7">
            <v>10000</v>
          </cell>
        </row>
      </sheetData>
      <sheetData sheetId="12654">
        <row r="7">
          <cell r="AI7">
            <v>10000</v>
          </cell>
        </row>
      </sheetData>
      <sheetData sheetId="12655">
        <row r="7">
          <cell r="AI7">
            <v>10000</v>
          </cell>
        </row>
      </sheetData>
      <sheetData sheetId="12656">
        <row r="7">
          <cell r="AI7">
            <v>10000</v>
          </cell>
        </row>
      </sheetData>
      <sheetData sheetId="12657">
        <row r="7">
          <cell r="AI7">
            <v>10000</v>
          </cell>
        </row>
      </sheetData>
      <sheetData sheetId="12658">
        <row r="7">
          <cell r="AI7">
            <v>10000</v>
          </cell>
        </row>
      </sheetData>
      <sheetData sheetId="12659">
        <row r="7">
          <cell r="AI7">
            <v>10000</v>
          </cell>
        </row>
      </sheetData>
      <sheetData sheetId="12660">
        <row r="7">
          <cell r="AI7">
            <v>10000</v>
          </cell>
        </row>
      </sheetData>
      <sheetData sheetId="12661">
        <row r="7">
          <cell r="AI7">
            <v>10000</v>
          </cell>
        </row>
      </sheetData>
      <sheetData sheetId="12662">
        <row r="7">
          <cell r="AI7">
            <v>10000</v>
          </cell>
        </row>
      </sheetData>
      <sheetData sheetId="12663">
        <row r="7">
          <cell r="AI7">
            <v>10000</v>
          </cell>
        </row>
      </sheetData>
      <sheetData sheetId="12664">
        <row r="7">
          <cell r="AI7">
            <v>10000</v>
          </cell>
        </row>
      </sheetData>
      <sheetData sheetId="12665">
        <row r="7">
          <cell r="AI7">
            <v>10000</v>
          </cell>
        </row>
      </sheetData>
      <sheetData sheetId="12666">
        <row r="7">
          <cell r="AI7">
            <v>10000</v>
          </cell>
        </row>
      </sheetData>
      <sheetData sheetId="12667">
        <row r="7">
          <cell r="AI7">
            <v>10000</v>
          </cell>
        </row>
      </sheetData>
      <sheetData sheetId="12668">
        <row r="7">
          <cell r="AI7">
            <v>10000</v>
          </cell>
        </row>
      </sheetData>
      <sheetData sheetId="12669">
        <row r="7">
          <cell r="AI7">
            <v>10000</v>
          </cell>
        </row>
      </sheetData>
      <sheetData sheetId="12670">
        <row r="7">
          <cell r="AI7">
            <v>10000</v>
          </cell>
        </row>
      </sheetData>
      <sheetData sheetId="12671">
        <row r="7">
          <cell r="AI7">
            <v>10000</v>
          </cell>
        </row>
      </sheetData>
      <sheetData sheetId="12672">
        <row r="7">
          <cell r="AI7">
            <v>10000</v>
          </cell>
        </row>
      </sheetData>
      <sheetData sheetId="12673">
        <row r="7">
          <cell r="AI7">
            <v>10000</v>
          </cell>
        </row>
      </sheetData>
      <sheetData sheetId="12674">
        <row r="7">
          <cell r="AI7">
            <v>10000</v>
          </cell>
        </row>
      </sheetData>
      <sheetData sheetId="12675">
        <row r="7">
          <cell r="AI7">
            <v>10000</v>
          </cell>
        </row>
      </sheetData>
      <sheetData sheetId="12676">
        <row r="7">
          <cell r="AI7">
            <v>10000</v>
          </cell>
        </row>
      </sheetData>
      <sheetData sheetId="12677">
        <row r="7">
          <cell r="AI7">
            <v>10000</v>
          </cell>
        </row>
      </sheetData>
      <sheetData sheetId="12678">
        <row r="7">
          <cell r="AI7">
            <v>10000</v>
          </cell>
        </row>
      </sheetData>
      <sheetData sheetId="12679">
        <row r="7">
          <cell r="AI7">
            <v>10000</v>
          </cell>
        </row>
      </sheetData>
      <sheetData sheetId="12680">
        <row r="7">
          <cell r="AI7">
            <v>10000</v>
          </cell>
        </row>
      </sheetData>
      <sheetData sheetId="12681">
        <row r="7">
          <cell r="AI7">
            <v>10000</v>
          </cell>
        </row>
      </sheetData>
      <sheetData sheetId="12682">
        <row r="7">
          <cell r="AI7">
            <v>10000</v>
          </cell>
        </row>
      </sheetData>
      <sheetData sheetId="12683">
        <row r="7">
          <cell r="AI7">
            <v>10000</v>
          </cell>
        </row>
      </sheetData>
      <sheetData sheetId="12684">
        <row r="7">
          <cell r="AI7">
            <v>10000</v>
          </cell>
        </row>
      </sheetData>
      <sheetData sheetId="12685">
        <row r="7">
          <cell r="AI7">
            <v>10000</v>
          </cell>
        </row>
      </sheetData>
      <sheetData sheetId="12686">
        <row r="7">
          <cell r="AI7">
            <v>10000</v>
          </cell>
        </row>
      </sheetData>
      <sheetData sheetId="12687">
        <row r="7">
          <cell r="AI7">
            <v>10000</v>
          </cell>
        </row>
      </sheetData>
      <sheetData sheetId="12688">
        <row r="7">
          <cell r="AI7">
            <v>10000</v>
          </cell>
        </row>
      </sheetData>
      <sheetData sheetId="12689">
        <row r="7">
          <cell r="AI7">
            <v>10000</v>
          </cell>
        </row>
      </sheetData>
      <sheetData sheetId="12690">
        <row r="7">
          <cell r="AI7">
            <v>10000</v>
          </cell>
        </row>
      </sheetData>
      <sheetData sheetId="12691">
        <row r="7">
          <cell r="AI7">
            <v>10000</v>
          </cell>
        </row>
      </sheetData>
      <sheetData sheetId="12692">
        <row r="7">
          <cell r="AI7">
            <v>10000</v>
          </cell>
        </row>
      </sheetData>
      <sheetData sheetId="12693">
        <row r="7">
          <cell r="AI7">
            <v>10000</v>
          </cell>
        </row>
      </sheetData>
      <sheetData sheetId="12694">
        <row r="7">
          <cell r="AI7">
            <v>10000</v>
          </cell>
        </row>
      </sheetData>
      <sheetData sheetId="12695">
        <row r="7">
          <cell r="AI7">
            <v>10000</v>
          </cell>
        </row>
      </sheetData>
      <sheetData sheetId="12696">
        <row r="7">
          <cell r="AI7">
            <v>10000</v>
          </cell>
        </row>
      </sheetData>
      <sheetData sheetId="12697">
        <row r="7">
          <cell r="AI7">
            <v>10000</v>
          </cell>
        </row>
      </sheetData>
      <sheetData sheetId="12698">
        <row r="7">
          <cell r="AI7">
            <v>10000</v>
          </cell>
        </row>
      </sheetData>
      <sheetData sheetId="12699">
        <row r="7">
          <cell r="AI7">
            <v>10000</v>
          </cell>
        </row>
      </sheetData>
      <sheetData sheetId="12700">
        <row r="7">
          <cell r="AI7">
            <v>10000</v>
          </cell>
        </row>
      </sheetData>
      <sheetData sheetId="12701">
        <row r="7">
          <cell r="AI7">
            <v>10000</v>
          </cell>
        </row>
      </sheetData>
      <sheetData sheetId="12702">
        <row r="7">
          <cell r="AI7">
            <v>10000</v>
          </cell>
        </row>
      </sheetData>
      <sheetData sheetId="12703">
        <row r="7">
          <cell r="AI7">
            <v>10000</v>
          </cell>
        </row>
      </sheetData>
      <sheetData sheetId="12704">
        <row r="7">
          <cell r="AI7">
            <v>10000</v>
          </cell>
        </row>
      </sheetData>
      <sheetData sheetId="12705">
        <row r="7">
          <cell r="AI7">
            <v>10000</v>
          </cell>
        </row>
      </sheetData>
      <sheetData sheetId="12706">
        <row r="7">
          <cell r="AI7">
            <v>10000</v>
          </cell>
        </row>
      </sheetData>
      <sheetData sheetId="12707">
        <row r="7">
          <cell r="AI7">
            <v>10000</v>
          </cell>
        </row>
      </sheetData>
      <sheetData sheetId="12708">
        <row r="7">
          <cell r="AI7">
            <v>10000</v>
          </cell>
        </row>
      </sheetData>
      <sheetData sheetId="12709">
        <row r="7">
          <cell r="AI7">
            <v>10000</v>
          </cell>
        </row>
      </sheetData>
      <sheetData sheetId="12710">
        <row r="7">
          <cell r="AI7">
            <v>10000</v>
          </cell>
        </row>
      </sheetData>
      <sheetData sheetId="12711">
        <row r="7">
          <cell r="AI7">
            <v>10000</v>
          </cell>
        </row>
      </sheetData>
      <sheetData sheetId="12712">
        <row r="7">
          <cell r="AI7">
            <v>10000</v>
          </cell>
        </row>
      </sheetData>
      <sheetData sheetId="12713">
        <row r="7">
          <cell r="AI7">
            <v>10000</v>
          </cell>
        </row>
      </sheetData>
      <sheetData sheetId="12714">
        <row r="7">
          <cell r="AI7">
            <v>10000</v>
          </cell>
        </row>
      </sheetData>
      <sheetData sheetId="12715">
        <row r="7">
          <cell r="AI7">
            <v>10000</v>
          </cell>
        </row>
      </sheetData>
      <sheetData sheetId="12716">
        <row r="7">
          <cell r="AI7">
            <v>10000</v>
          </cell>
        </row>
      </sheetData>
      <sheetData sheetId="12717">
        <row r="7">
          <cell r="AI7">
            <v>10000</v>
          </cell>
        </row>
      </sheetData>
      <sheetData sheetId="12718">
        <row r="7">
          <cell r="AI7">
            <v>10000</v>
          </cell>
        </row>
      </sheetData>
      <sheetData sheetId="12719">
        <row r="7">
          <cell r="AI7">
            <v>10000</v>
          </cell>
        </row>
      </sheetData>
      <sheetData sheetId="12720">
        <row r="7">
          <cell r="AI7">
            <v>10000</v>
          </cell>
        </row>
      </sheetData>
      <sheetData sheetId="12721">
        <row r="7">
          <cell r="AI7">
            <v>10000</v>
          </cell>
        </row>
      </sheetData>
      <sheetData sheetId="12722">
        <row r="7">
          <cell r="AI7">
            <v>10000</v>
          </cell>
        </row>
      </sheetData>
      <sheetData sheetId="12723">
        <row r="7">
          <cell r="AI7">
            <v>10000</v>
          </cell>
        </row>
      </sheetData>
      <sheetData sheetId="12724">
        <row r="7">
          <cell r="AI7">
            <v>10000</v>
          </cell>
        </row>
      </sheetData>
      <sheetData sheetId="12725">
        <row r="7">
          <cell r="AI7">
            <v>10000</v>
          </cell>
        </row>
      </sheetData>
      <sheetData sheetId="12726">
        <row r="7">
          <cell r="AI7">
            <v>10000</v>
          </cell>
        </row>
      </sheetData>
      <sheetData sheetId="12727">
        <row r="7">
          <cell r="AI7">
            <v>10000</v>
          </cell>
        </row>
      </sheetData>
      <sheetData sheetId="12728">
        <row r="7">
          <cell r="AI7">
            <v>10000</v>
          </cell>
        </row>
      </sheetData>
      <sheetData sheetId="12729">
        <row r="7">
          <cell r="AI7">
            <v>10000</v>
          </cell>
        </row>
      </sheetData>
      <sheetData sheetId="12730">
        <row r="7">
          <cell r="AI7">
            <v>10000</v>
          </cell>
        </row>
      </sheetData>
      <sheetData sheetId="12731">
        <row r="7">
          <cell r="AI7">
            <v>10000</v>
          </cell>
        </row>
      </sheetData>
      <sheetData sheetId="12732">
        <row r="7">
          <cell r="AI7">
            <v>10000</v>
          </cell>
        </row>
      </sheetData>
      <sheetData sheetId="12733">
        <row r="7">
          <cell r="AI7">
            <v>10000</v>
          </cell>
        </row>
      </sheetData>
      <sheetData sheetId="12734">
        <row r="7">
          <cell r="AI7">
            <v>10000</v>
          </cell>
        </row>
      </sheetData>
      <sheetData sheetId="12735">
        <row r="7">
          <cell r="AI7">
            <v>10000</v>
          </cell>
        </row>
      </sheetData>
      <sheetData sheetId="12736">
        <row r="7">
          <cell r="AI7">
            <v>10000</v>
          </cell>
        </row>
      </sheetData>
      <sheetData sheetId="12737">
        <row r="7">
          <cell r="AI7">
            <v>10000</v>
          </cell>
        </row>
      </sheetData>
      <sheetData sheetId="12738">
        <row r="7">
          <cell r="AI7">
            <v>10000</v>
          </cell>
        </row>
      </sheetData>
      <sheetData sheetId="12739">
        <row r="7">
          <cell r="AI7">
            <v>10000</v>
          </cell>
        </row>
      </sheetData>
      <sheetData sheetId="12740">
        <row r="7">
          <cell r="AI7">
            <v>10000</v>
          </cell>
        </row>
      </sheetData>
      <sheetData sheetId="12741">
        <row r="7">
          <cell r="AI7">
            <v>10000</v>
          </cell>
        </row>
      </sheetData>
      <sheetData sheetId="12742">
        <row r="7">
          <cell r="AI7">
            <v>10000</v>
          </cell>
        </row>
      </sheetData>
      <sheetData sheetId="12743">
        <row r="7">
          <cell r="AI7">
            <v>10000</v>
          </cell>
        </row>
      </sheetData>
      <sheetData sheetId="12744">
        <row r="7">
          <cell r="AI7">
            <v>10000</v>
          </cell>
        </row>
      </sheetData>
      <sheetData sheetId="12745">
        <row r="7">
          <cell r="AI7">
            <v>10000</v>
          </cell>
        </row>
      </sheetData>
      <sheetData sheetId="12746">
        <row r="7">
          <cell r="AI7">
            <v>10000</v>
          </cell>
        </row>
      </sheetData>
      <sheetData sheetId="12747">
        <row r="7">
          <cell r="AI7">
            <v>10000</v>
          </cell>
        </row>
      </sheetData>
      <sheetData sheetId="12748">
        <row r="7">
          <cell r="AI7">
            <v>10000</v>
          </cell>
        </row>
      </sheetData>
      <sheetData sheetId="12749">
        <row r="7">
          <cell r="AI7">
            <v>10000</v>
          </cell>
        </row>
      </sheetData>
      <sheetData sheetId="12750">
        <row r="7">
          <cell r="AI7">
            <v>10000</v>
          </cell>
        </row>
      </sheetData>
      <sheetData sheetId="12751">
        <row r="7">
          <cell r="AI7">
            <v>10000</v>
          </cell>
        </row>
      </sheetData>
      <sheetData sheetId="12752">
        <row r="7">
          <cell r="AI7">
            <v>10000</v>
          </cell>
        </row>
      </sheetData>
      <sheetData sheetId="12753">
        <row r="7">
          <cell r="AI7">
            <v>10000</v>
          </cell>
        </row>
      </sheetData>
      <sheetData sheetId="12754">
        <row r="7">
          <cell r="AI7">
            <v>10000</v>
          </cell>
        </row>
      </sheetData>
      <sheetData sheetId="12755">
        <row r="7">
          <cell r="AI7">
            <v>10000</v>
          </cell>
        </row>
      </sheetData>
      <sheetData sheetId="12756">
        <row r="7">
          <cell r="AI7">
            <v>10000</v>
          </cell>
        </row>
      </sheetData>
      <sheetData sheetId="12757">
        <row r="7">
          <cell r="AI7">
            <v>10000</v>
          </cell>
        </row>
      </sheetData>
      <sheetData sheetId="12758">
        <row r="7">
          <cell r="AI7">
            <v>10000</v>
          </cell>
        </row>
      </sheetData>
      <sheetData sheetId="12759">
        <row r="7">
          <cell r="AI7">
            <v>10000</v>
          </cell>
        </row>
      </sheetData>
      <sheetData sheetId="12760">
        <row r="7">
          <cell r="AI7">
            <v>10000</v>
          </cell>
        </row>
      </sheetData>
      <sheetData sheetId="12761">
        <row r="7">
          <cell r="AI7">
            <v>10000</v>
          </cell>
        </row>
      </sheetData>
      <sheetData sheetId="12762">
        <row r="7">
          <cell r="AI7">
            <v>10000</v>
          </cell>
        </row>
      </sheetData>
      <sheetData sheetId="12763">
        <row r="7">
          <cell r="AI7">
            <v>10000</v>
          </cell>
        </row>
      </sheetData>
      <sheetData sheetId="12764">
        <row r="7">
          <cell r="AI7">
            <v>10000</v>
          </cell>
        </row>
      </sheetData>
      <sheetData sheetId="12765">
        <row r="7">
          <cell r="AI7">
            <v>10000</v>
          </cell>
        </row>
      </sheetData>
      <sheetData sheetId="12766">
        <row r="7">
          <cell r="AI7">
            <v>10000</v>
          </cell>
        </row>
      </sheetData>
      <sheetData sheetId="12767">
        <row r="7">
          <cell r="AI7">
            <v>10000</v>
          </cell>
        </row>
      </sheetData>
      <sheetData sheetId="12768">
        <row r="7">
          <cell r="AI7">
            <v>10000</v>
          </cell>
        </row>
      </sheetData>
      <sheetData sheetId="12769">
        <row r="7">
          <cell r="AI7">
            <v>10000</v>
          </cell>
        </row>
      </sheetData>
      <sheetData sheetId="12770">
        <row r="7">
          <cell r="AI7">
            <v>10000</v>
          </cell>
        </row>
      </sheetData>
      <sheetData sheetId="12771">
        <row r="7">
          <cell r="AI7">
            <v>10000</v>
          </cell>
        </row>
      </sheetData>
      <sheetData sheetId="12772">
        <row r="7">
          <cell r="AI7">
            <v>10000</v>
          </cell>
        </row>
      </sheetData>
      <sheetData sheetId="12773">
        <row r="7">
          <cell r="AI7">
            <v>10000</v>
          </cell>
        </row>
      </sheetData>
      <sheetData sheetId="12774">
        <row r="7">
          <cell r="AI7">
            <v>10000</v>
          </cell>
        </row>
      </sheetData>
      <sheetData sheetId="12775">
        <row r="7">
          <cell r="AI7">
            <v>10000</v>
          </cell>
        </row>
      </sheetData>
      <sheetData sheetId="12776">
        <row r="7">
          <cell r="AI7">
            <v>10000</v>
          </cell>
        </row>
      </sheetData>
      <sheetData sheetId="12777">
        <row r="7">
          <cell r="AI7">
            <v>10000</v>
          </cell>
        </row>
      </sheetData>
      <sheetData sheetId="12778">
        <row r="7">
          <cell r="AI7">
            <v>10000</v>
          </cell>
        </row>
      </sheetData>
      <sheetData sheetId="12779">
        <row r="7">
          <cell r="AI7">
            <v>10000</v>
          </cell>
        </row>
      </sheetData>
      <sheetData sheetId="12780">
        <row r="7">
          <cell r="AI7">
            <v>10000</v>
          </cell>
        </row>
      </sheetData>
      <sheetData sheetId="12781">
        <row r="7">
          <cell r="AI7">
            <v>10000</v>
          </cell>
        </row>
      </sheetData>
      <sheetData sheetId="12782">
        <row r="7">
          <cell r="AI7">
            <v>10000</v>
          </cell>
        </row>
      </sheetData>
      <sheetData sheetId="12783">
        <row r="7">
          <cell r="AI7">
            <v>10000</v>
          </cell>
        </row>
      </sheetData>
      <sheetData sheetId="12784">
        <row r="7">
          <cell r="AI7">
            <v>10000</v>
          </cell>
        </row>
      </sheetData>
      <sheetData sheetId="12785">
        <row r="7">
          <cell r="AI7">
            <v>10000</v>
          </cell>
        </row>
      </sheetData>
      <sheetData sheetId="12786">
        <row r="7">
          <cell r="AI7">
            <v>10000</v>
          </cell>
        </row>
      </sheetData>
      <sheetData sheetId="12787">
        <row r="7">
          <cell r="AI7">
            <v>10000</v>
          </cell>
        </row>
      </sheetData>
      <sheetData sheetId="12788">
        <row r="7">
          <cell r="AI7">
            <v>10000</v>
          </cell>
        </row>
      </sheetData>
      <sheetData sheetId="12789">
        <row r="7">
          <cell r="AI7">
            <v>10000</v>
          </cell>
        </row>
      </sheetData>
      <sheetData sheetId="12790">
        <row r="7">
          <cell r="AI7">
            <v>10000</v>
          </cell>
        </row>
      </sheetData>
      <sheetData sheetId="12791">
        <row r="7">
          <cell r="AI7">
            <v>10000</v>
          </cell>
        </row>
      </sheetData>
      <sheetData sheetId="12792">
        <row r="7">
          <cell r="AI7">
            <v>10000</v>
          </cell>
        </row>
      </sheetData>
      <sheetData sheetId="12793">
        <row r="7">
          <cell r="AI7">
            <v>10000</v>
          </cell>
        </row>
      </sheetData>
      <sheetData sheetId="12794">
        <row r="7">
          <cell r="AI7">
            <v>10000</v>
          </cell>
        </row>
      </sheetData>
      <sheetData sheetId="12795">
        <row r="7">
          <cell r="AI7">
            <v>10000</v>
          </cell>
        </row>
      </sheetData>
      <sheetData sheetId="12796">
        <row r="7">
          <cell r="AI7">
            <v>10000</v>
          </cell>
        </row>
      </sheetData>
      <sheetData sheetId="12797">
        <row r="7">
          <cell r="AI7">
            <v>10000</v>
          </cell>
        </row>
      </sheetData>
      <sheetData sheetId="12798">
        <row r="7">
          <cell r="AI7">
            <v>10000</v>
          </cell>
        </row>
      </sheetData>
      <sheetData sheetId="12799">
        <row r="7">
          <cell r="AI7">
            <v>10000</v>
          </cell>
        </row>
      </sheetData>
      <sheetData sheetId="12800">
        <row r="7">
          <cell r="AI7">
            <v>10000</v>
          </cell>
        </row>
      </sheetData>
      <sheetData sheetId="12801">
        <row r="7">
          <cell r="AI7">
            <v>10000</v>
          </cell>
        </row>
      </sheetData>
      <sheetData sheetId="12802">
        <row r="7">
          <cell r="AI7">
            <v>10000</v>
          </cell>
        </row>
      </sheetData>
      <sheetData sheetId="12803">
        <row r="7">
          <cell r="AI7">
            <v>10000</v>
          </cell>
        </row>
      </sheetData>
      <sheetData sheetId="12804">
        <row r="7">
          <cell r="AI7">
            <v>10000</v>
          </cell>
        </row>
      </sheetData>
      <sheetData sheetId="12805">
        <row r="7">
          <cell r="AI7">
            <v>10000</v>
          </cell>
        </row>
      </sheetData>
      <sheetData sheetId="12806">
        <row r="7">
          <cell r="AI7">
            <v>10000</v>
          </cell>
        </row>
      </sheetData>
      <sheetData sheetId="12807">
        <row r="7">
          <cell r="AI7">
            <v>10000</v>
          </cell>
        </row>
      </sheetData>
      <sheetData sheetId="12808">
        <row r="7">
          <cell r="AI7">
            <v>10000</v>
          </cell>
        </row>
      </sheetData>
      <sheetData sheetId="12809">
        <row r="7">
          <cell r="AI7">
            <v>10000</v>
          </cell>
        </row>
      </sheetData>
      <sheetData sheetId="12810">
        <row r="7">
          <cell r="AI7">
            <v>10000</v>
          </cell>
        </row>
      </sheetData>
      <sheetData sheetId="12811">
        <row r="7">
          <cell r="AI7">
            <v>10000</v>
          </cell>
        </row>
      </sheetData>
      <sheetData sheetId="12812">
        <row r="7">
          <cell r="AI7">
            <v>10000</v>
          </cell>
        </row>
      </sheetData>
      <sheetData sheetId="12813">
        <row r="7">
          <cell r="AI7">
            <v>10000</v>
          </cell>
        </row>
      </sheetData>
      <sheetData sheetId="12814">
        <row r="7">
          <cell r="AI7">
            <v>10000</v>
          </cell>
        </row>
      </sheetData>
      <sheetData sheetId="12815">
        <row r="7">
          <cell r="AI7">
            <v>10000</v>
          </cell>
        </row>
      </sheetData>
      <sheetData sheetId="12816">
        <row r="7">
          <cell r="AI7">
            <v>10000</v>
          </cell>
        </row>
      </sheetData>
      <sheetData sheetId="12817">
        <row r="7">
          <cell r="AI7">
            <v>10000</v>
          </cell>
        </row>
      </sheetData>
      <sheetData sheetId="12818">
        <row r="7">
          <cell r="AI7">
            <v>10000</v>
          </cell>
        </row>
      </sheetData>
      <sheetData sheetId="12819">
        <row r="7">
          <cell r="AI7">
            <v>10000</v>
          </cell>
        </row>
      </sheetData>
      <sheetData sheetId="12820">
        <row r="7">
          <cell r="AI7">
            <v>10000</v>
          </cell>
        </row>
      </sheetData>
      <sheetData sheetId="12821">
        <row r="7">
          <cell r="AI7">
            <v>10000</v>
          </cell>
        </row>
      </sheetData>
      <sheetData sheetId="12822">
        <row r="7">
          <cell r="AI7">
            <v>10000</v>
          </cell>
        </row>
      </sheetData>
      <sheetData sheetId="12823">
        <row r="7">
          <cell r="AI7">
            <v>10000</v>
          </cell>
        </row>
      </sheetData>
      <sheetData sheetId="12824">
        <row r="7">
          <cell r="AI7">
            <v>10000</v>
          </cell>
        </row>
      </sheetData>
      <sheetData sheetId="12825">
        <row r="7">
          <cell r="AI7">
            <v>10000</v>
          </cell>
        </row>
      </sheetData>
      <sheetData sheetId="12826">
        <row r="7">
          <cell r="AI7">
            <v>10000</v>
          </cell>
        </row>
      </sheetData>
      <sheetData sheetId="12827">
        <row r="7">
          <cell r="AI7">
            <v>10000</v>
          </cell>
        </row>
      </sheetData>
      <sheetData sheetId="12828">
        <row r="7">
          <cell r="AI7">
            <v>10000</v>
          </cell>
        </row>
      </sheetData>
      <sheetData sheetId="12829">
        <row r="7">
          <cell r="AI7">
            <v>10000</v>
          </cell>
        </row>
      </sheetData>
      <sheetData sheetId="12830">
        <row r="7">
          <cell r="AI7">
            <v>10000</v>
          </cell>
        </row>
      </sheetData>
      <sheetData sheetId="12831">
        <row r="7">
          <cell r="AI7">
            <v>10000</v>
          </cell>
        </row>
      </sheetData>
      <sheetData sheetId="12832">
        <row r="7">
          <cell r="AI7">
            <v>10000</v>
          </cell>
        </row>
      </sheetData>
      <sheetData sheetId="12833">
        <row r="7">
          <cell r="AI7">
            <v>10000</v>
          </cell>
        </row>
      </sheetData>
      <sheetData sheetId="12834">
        <row r="7">
          <cell r="AI7">
            <v>10000</v>
          </cell>
        </row>
      </sheetData>
      <sheetData sheetId="12835">
        <row r="7">
          <cell r="AI7">
            <v>10000</v>
          </cell>
        </row>
      </sheetData>
      <sheetData sheetId="12836">
        <row r="7">
          <cell r="AI7">
            <v>10000</v>
          </cell>
        </row>
      </sheetData>
      <sheetData sheetId="12837">
        <row r="7">
          <cell r="AI7">
            <v>10000</v>
          </cell>
        </row>
      </sheetData>
      <sheetData sheetId="12838">
        <row r="7">
          <cell r="AI7">
            <v>10000</v>
          </cell>
        </row>
      </sheetData>
      <sheetData sheetId="12839">
        <row r="7">
          <cell r="AI7">
            <v>10000</v>
          </cell>
        </row>
      </sheetData>
      <sheetData sheetId="12840">
        <row r="7">
          <cell r="AI7">
            <v>10000</v>
          </cell>
        </row>
      </sheetData>
      <sheetData sheetId="12841">
        <row r="7">
          <cell r="AI7">
            <v>10000</v>
          </cell>
        </row>
      </sheetData>
      <sheetData sheetId="12842">
        <row r="7">
          <cell r="AI7">
            <v>10000</v>
          </cell>
        </row>
      </sheetData>
      <sheetData sheetId="12843">
        <row r="7">
          <cell r="AI7">
            <v>10000</v>
          </cell>
        </row>
      </sheetData>
      <sheetData sheetId="12844">
        <row r="7">
          <cell r="AI7">
            <v>10000</v>
          </cell>
        </row>
      </sheetData>
      <sheetData sheetId="12845">
        <row r="7">
          <cell r="AI7">
            <v>10000</v>
          </cell>
        </row>
      </sheetData>
      <sheetData sheetId="12846">
        <row r="7">
          <cell r="AI7">
            <v>10000</v>
          </cell>
        </row>
      </sheetData>
      <sheetData sheetId="12847">
        <row r="7">
          <cell r="AI7">
            <v>10000</v>
          </cell>
        </row>
      </sheetData>
      <sheetData sheetId="12848">
        <row r="7">
          <cell r="AI7">
            <v>10000</v>
          </cell>
        </row>
      </sheetData>
      <sheetData sheetId="12849">
        <row r="7">
          <cell r="AI7">
            <v>10000</v>
          </cell>
        </row>
      </sheetData>
      <sheetData sheetId="12850">
        <row r="7">
          <cell r="AI7">
            <v>10000</v>
          </cell>
        </row>
      </sheetData>
      <sheetData sheetId="12851">
        <row r="7">
          <cell r="AI7">
            <v>10000</v>
          </cell>
        </row>
      </sheetData>
      <sheetData sheetId="12852">
        <row r="7">
          <cell r="AI7">
            <v>10000</v>
          </cell>
        </row>
      </sheetData>
      <sheetData sheetId="12853">
        <row r="7">
          <cell r="AI7">
            <v>10000</v>
          </cell>
        </row>
      </sheetData>
      <sheetData sheetId="12854"/>
      <sheetData sheetId="12855"/>
      <sheetData sheetId="12856"/>
      <sheetData sheetId="12857">
        <row r="7">
          <cell r="AI7">
            <v>10000</v>
          </cell>
        </row>
      </sheetData>
      <sheetData sheetId="12858">
        <row r="7">
          <cell r="AI7">
            <v>10000</v>
          </cell>
        </row>
      </sheetData>
      <sheetData sheetId="12859"/>
      <sheetData sheetId="12860">
        <row r="7">
          <cell r="AI7">
            <v>10000</v>
          </cell>
        </row>
      </sheetData>
      <sheetData sheetId="12861">
        <row r="7">
          <cell r="AI7">
            <v>10000</v>
          </cell>
        </row>
      </sheetData>
      <sheetData sheetId="12862">
        <row r="7">
          <cell r="AI7">
            <v>10000</v>
          </cell>
        </row>
      </sheetData>
      <sheetData sheetId="12863">
        <row r="7">
          <cell r="AI7">
            <v>10000</v>
          </cell>
        </row>
      </sheetData>
      <sheetData sheetId="12864">
        <row r="7">
          <cell r="AI7">
            <v>10000</v>
          </cell>
        </row>
      </sheetData>
      <sheetData sheetId="12865">
        <row r="7">
          <cell r="AI7">
            <v>10000</v>
          </cell>
        </row>
      </sheetData>
      <sheetData sheetId="12866">
        <row r="7">
          <cell r="AI7">
            <v>10000</v>
          </cell>
        </row>
      </sheetData>
      <sheetData sheetId="12867">
        <row r="7">
          <cell r="AI7">
            <v>10000</v>
          </cell>
        </row>
      </sheetData>
      <sheetData sheetId="12868">
        <row r="7">
          <cell r="AI7">
            <v>10000</v>
          </cell>
        </row>
      </sheetData>
      <sheetData sheetId="12869">
        <row r="7">
          <cell r="AI7">
            <v>10000</v>
          </cell>
        </row>
      </sheetData>
      <sheetData sheetId="12870">
        <row r="7">
          <cell r="AI7">
            <v>10000</v>
          </cell>
        </row>
      </sheetData>
      <sheetData sheetId="12871">
        <row r="7">
          <cell r="AI7">
            <v>10000</v>
          </cell>
        </row>
      </sheetData>
      <sheetData sheetId="12872">
        <row r="7">
          <cell r="AI7">
            <v>10000</v>
          </cell>
        </row>
      </sheetData>
      <sheetData sheetId="12873">
        <row r="7">
          <cell r="AI7">
            <v>10000</v>
          </cell>
        </row>
      </sheetData>
      <sheetData sheetId="12874"/>
      <sheetData sheetId="12875">
        <row r="7">
          <cell r="AI7">
            <v>10000</v>
          </cell>
        </row>
      </sheetData>
      <sheetData sheetId="12876">
        <row r="7">
          <cell r="AI7">
            <v>10000</v>
          </cell>
        </row>
      </sheetData>
      <sheetData sheetId="12877">
        <row r="7">
          <cell r="AI7">
            <v>10000</v>
          </cell>
        </row>
      </sheetData>
      <sheetData sheetId="12878">
        <row r="7">
          <cell r="AI7">
            <v>10000</v>
          </cell>
        </row>
      </sheetData>
      <sheetData sheetId="12879">
        <row r="7">
          <cell r="AI7">
            <v>10000</v>
          </cell>
        </row>
      </sheetData>
      <sheetData sheetId="12880">
        <row r="7">
          <cell r="AI7">
            <v>10000</v>
          </cell>
        </row>
      </sheetData>
      <sheetData sheetId="12881">
        <row r="7">
          <cell r="AI7">
            <v>10000</v>
          </cell>
        </row>
      </sheetData>
      <sheetData sheetId="12882">
        <row r="7">
          <cell r="AI7">
            <v>10000</v>
          </cell>
        </row>
      </sheetData>
      <sheetData sheetId="12883">
        <row r="7">
          <cell r="AI7">
            <v>10000</v>
          </cell>
        </row>
      </sheetData>
      <sheetData sheetId="12884">
        <row r="7">
          <cell r="AI7">
            <v>10000</v>
          </cell>
        </row>
      </sheetData>
      <sheetData sheetId="12885">
        <row r="7">
          <cell r="AI7">
            <v>10000</v>
          </cell>
        </row>
      </sheetData>
      <sheetData sheetId="12886">
        <row r="7">
          <cell r="AI7">
            <v>10000</v>
          </cell>
        </row>
      </sheetData>
      <sheetData sheetId="12887">
        <row r="7">
          <cell r="AI7">
            <v>10000</v>
          </cell>
        </row>
      </sheetData>
      <sheetData sheetId="12888">
        <row r="7">
          <cell r="AI7">
            <v>10000</v>
          </cell>
        </row>
      </sheetData>
      <sheetData sheetId="12889">
        <row r="7">
          <cell r="AI7">
            <v>10000</v>
          </cell>
        </row>
      </sheetData>
      <sheetData sheetId="12890">
        <row r="7">
          <cell r="AI7">
            <v>10000</v>
          </cell>
        </row>
      </sheetData>
      <sheetData sheetId="12891">
        <row r="7">
          <cell r="AI7">
            <v>10000</v>
          </cell>
        </row>
      </sheetData>
      <sheetData sheetId="12892">
        <row r="7">
          <cell r="AI7">
            <v>10000</v>
          </cell>
        </row>
      </sheetData>
      <sheetData sheetId="12893">
        <row r="7">
          <cell r="AI7">
            <v>10000</v>
          </cell>
        </row>
      </sheetData>
      <sheetData sheetId="12894">
        <row r="7">
          <cell r="AI7">
            <v>10000</v>
          </cell>
        </row>
      </sheetData>
      <sheetData sheetId="12895">
        <row r="7">
          <cell r="AI7">
            <v>10000</v>
          </cell>
        </row>
      </sheetData>
      <sheetData sheetId="12896">
        <row r="7">
          <cell r="AI7">
            <v>10000</v>
          </cell>
        </row>
      </sheetData>
      <sheetData sheetId="12897">
        <row r="7">
          <cell r="AI7">
            <v>10000</v>
          </cell>
        </row>
      </sheetData>
      <sheetData sheetId="12898">
        <row r="7">
          <cell r="AI7">
            <v>10000</v>
          </cell>
        </row>
      </sheetData>
      <sheetData sheetId="12899">
        <row r="7">
          <cell r="AI7">
            <v>10000</v>
          </cell>
        </row>
      </sheetData>
      <sheetData sheetId="12900">
        <row r="7">
          <cell r="AI7">
            <v>10000</v>
          </cell>
        </row>
      </sheetData>
      <sheetData sheetId="12901">
        <row r="7">
          <cell r="AI7">
            <v>10000</v>
          </cell>
        </row>
      </sheetData>
      <sheetData sheetId="12902">
        <row r="7">
          <cell r="AI7">
            <v>10000</v>
          </cell>
        </row>
      </sheetData>
      <sheetData sheetId="12903">
        <row r="7">
          <cell r="AI7">
            <v>10000</v>
          </cell>
        </row>
      </sheetData>
      <sheetData sheetId="12904">
        <row r="7">
          <cell r="AI7">
            <v>10000</v>
          </cell>
        </row>
      </sheetData>
      <sheetData sheetId="12905">
        <row r="7">
          <cell r="AI7">
            <v>10000</v>
          </cell>
        </row>
      </sheetData>
      <sheetData sheetId="12906">
        <row r="7">
          <cell r="AI7">
            <v>10000</v>
          </cell>
        </row>
      </sheetData>
      <sheetData sheetId="12907">
        <row r="7">
          <cell r="AI7">
            <v>10000</v>
          </cell>
        </row>
      </sheetData>
      <sheetData sheetId="12908">
        <row r="7">
          <cell r="AI7">
            <v>10000</v>
          </cell>
        </row>
      </sheetData>
      <sheetData sheetId="12909">
        <row r="7">
          <cell r="AI7">
            <v>10000</v>
          </cell>
        </row>
      </sheetData>
      <sheetData sheetId="12910">
        <row r="7">
          <cell r="AI7">
            <v>10000</v>
          </cell>
        </row>
      </sheetData>
      <sheetData sheetId="12911">
        <row r="7">
          <cell r="AI7">
            <v>10000</v>
          </cell>
        </row>
      </sheetData>
      <sheetData sheetId="12912">
        <row r="7">
          <cell r="AI7">
            <v>10000</v>
          </cell>
        </row>
      </sheetData>
      <sheetData sheetId="12913">
        <row r="7">
          <cell r="AI7">
            <v>10000</v>
          </cell>
        </row>
      </sheetData>
      <sheetData sheetId="12914">
        <row r="7">
          <cell r="AI7">
            <v>10000</v>
          </cell>
        </row>
      </sheetData>
      <sheetData sheetId="12915">
        <row r="7">
          <cell r="AI7">
            <v>10000</v>
          </cell>
        </row>
      </sheetData>
      <sheetData sheetId="12916">
        <row r="7">
          <cell r="AI7">
            <v>10000</v>
          </cell>
        </row>
      </sheetData>
      <sheetData sheetId="12917">
        <row r="7">
          <cell r="AI7">
            <v>10000</v>
          </cell>
        </row>
      </sheetData>
      <sheetData sheetId="12918">
        <row r="7">
          <cell r="AI7">
            <v>10000</v>
          </cell>
        </row>
      </sheetData>
      <sheetData sheetId="12919">
        <row r="7">
          <cell r="AI7">
            <v>10000</v>
          </cell>
        </row>
      </sheetData>
      <sheetData sheetId="12920">
        <row r="7">
          <cell r="AI7">
            <v>10000</v>
          </cell>
        </row>
      </sheetData>
      <sheetData sheetId="12921">
        <row r="7">
          <cell r="AI7">
            <v>10000</v>
          </cell>
        </row>
      </sheetData>
      <sheetData sheetId="12922">
        <row r="7">
          <cell r="AI7">
            <v>10000</v>
          </cell>
        </row>
      </sheetData>
      <sheetData sheetId="12923">
        <row r="7">
          <cell r="AI7">
            <v>10000</v>
          </cell>
        </row>
      </sheetData>
      <sheetData sheetId="12924">
        <row r="7">
          <cell r="AI7">
            <v>10000</v>
          </cell>
        </row>
      </sheetData>
      <sheetData sheetId="12925">
        <row r="7">
          <cell r="AI7">
            <v>10000</v>
          </cell>
        </row>
      </sheetData>
      <sheetData sheetId="12926">
        <row r="7">
          <cell r="AI7">
            <v>10000</v>
          </cell>
        </row>
      </sheetData>
      <sheetData sheetId="12927">
        <row r="7">
          <cell r="AI7">
            <v>10000</v>
          </cell>
        </row>
      </sheetData>
      <sheetData sheetId="12928">
        <row r="7">
          <cell r="AI7">
            <v>10000</v>
          </cell>
        </row>
      </sheetData>
      <sheetData sheetId="12929">
        <row r="7">
          <cell r="AI7">
            <v>10000</v>
          </cell>
        </row>
      </sheetData>
      <sheetData sheetId="12930">
        <row r="7">
          <cell r="AI7">
            <v>10000</v>
          </cell>
        </row>
      </sheetData>
      <sheetData sheetId="12931">
        <row r="7">
          <cell r="AI7">
            <v>10000</v>
          </cell>
        </row>
      </sheetData>
      <sheetData sheetId="12932">
        <row r="7">
          <cell r="AI7">
            <v>10000</v>
          </cell>
        </row>
      </sheetData>
      <sheetData sheetId="12933">
        <row r="7">
          <cell r="AI7">
            <v>10000</v>
          </cell>
        </row>
      </sheetData>
      <sheetData sheetId="12934">
        <row r="7">
          <cell r="AI7">
            <v>10000</v>
          </cell>
        </row>
      </sheetData>
      <sheetData sheetId="12935">
        <row r="7">
          <cell r="AI7">
            <v>10000</v>
          </cell>
        </row>
      </sheetData>
      <sheetData sheetId="12936">
        <row r="7">
          <cell r="AI7">
            <v>10000</v>
          </cell>
        </row>
      </sheetData>
      <sheetData sheetId="12937">
        <row r="7">
          <cell r="AI7">
            <v>10000</v>
          </cell>
        </row>
      </sheetData>
      <sheetData sheetId="12938">
        <row r="7">
          <cell r="AI7">
            <v>10000</v>
          </cell>
        </row>
      </sheetData>
      <sheetData sheetId="12939">
        <row r="7">
          <cell r="AI7">
            <v>10000</v>
          </cell>
        </row>
      </sheetData>
      <sheetData sheetId="12940">
        <row r="7">
          <cell r="AI7">
            <v>10000</v>
          </cell>
        </row>
      </sheetData>
      <sheetData sheetId="12941">
        <row r="7">
          <cell r="AI7">
            <v>10000</v>
          </cell>
        </row>
      </sheetData>
      <sheetData sheetId="12942">
        <row r="7">
          <cell r="AI7">
            <v>10000</v>
          </cell>
        </row>
      </sheetData>
      <sheetData sheetId="12943">
        <row r="7">
          <cell r="AI7">
            <v>10000</v>
          </cell>
        </row>
      </sheetData>
      <sheetData sheetId="12944">
        <row r="7">
          <cell r="AI7">
            <v>10000</v>
          </cell>
        </row>
      </sheetData>
      <sheetData sheetId="12945">
        <row r="7">
          <cell r="AI7">
            <v>10000</v>
          </cell>
        </row>
      </sheetData>
      <sheetData sheetId="12946">
        <row r="7">
          <cell r="AI7">
            <v>10000</v>
          </cell>
        </row>
      </sheetData>
      <sheetData sheetId="12947">
        <row r="7">
          <cell r="AI7">
            <v>10000</v>
          </cell>
        </row>
      </sheetData>
      <sheetData sheetId="12948">
        <row r="7">
          <cell r="AI7">
            <v>10000</v>
          </cell>
        </row>
      </sheetData>
      <sheetData sheetId="12949">
        <row r="7">
          <cell r="AI7">
            <v>10000</v>
          </cell>
        </row>
      </sheetData>
      <sheetData sheetId="12950">
        <row r="7">
          <cell r="AI7">
            <v>10000</v>
          </cell>
        </row>
      </sheetData>
      <sheetData sheetId="12951">
        <row r="7">
          <cell r="AI7">
            <v>10000</v>
          </cell>
        </row>
      </sheetData>
      <sheetData sheetId="12952">
        <row r="7">
          <cell r="AI7">
            <v>10000</v>
          </cell>
        </row>
      </sheetData>
      <sheetData sheetId="12953">
        <row r="7">
          <cell r="AI7">
            <v>10000</v>
          </cell>
        </row>
      </sheetData>
      <sheetData sheetId="12954">
        <row r="7">
          <cell r="AI7">
            <v>10000</v>
          </cell>
        </row>
      </sheetData>
      <sheetData sheetId="12955">
        <row r="7">
          <cell r="AI7">
            <v>10000</v>
          </cell>
        </row>
      </sheetData>
      <sheetData sheetId="12956">
        <row r="7">
          <cell r="AI7">
            <v>10000</v>
          </cell>
        </row>
      </sheetData>
      <sheetData sheetId="12957">
        <row r="7">
          <cell r="AI7">
            <v>10000</v>
          </cell>
        </row>
      </sheetData>
      <sheetData sheetId="12958">
        <row r="7">
          <cell r="AI7">
            <v>10000</v>
          </cell>
        </row>
      </sheetData>
      <sheetData sheetId="12959">
        <row r="7">
          <cell r="AI7">
            <v>10000</v>
          </cell>
        </row>
      </sheetData>
      <sheetData sheetId="12960">
        <row r="7">
          <cell r="AI7">
            <v>10000</v>
          </cell>
        </row>
      </sheetData>
      <sheetData sheetId="12961">
        <row r="7">
          <cell r="AI7">
            <v>10000</v>
          </cell>
        </row>
      </sheetData>
      <sheetData sheetId="12962">
        <row r="7">
          <cell r="AI7">
            <v>10000</v>
          </cell>
        </row>
      </sheetData>
      <sheetData sheetId="12963">
        <row r="7">
          <cell r="AI7">
            <v>10000</v>
          </cell>
        </row>
      </sheetData>
      <sheetData sheetId="12964">
        <row r="7">
          <cell r="AI7">
            <v>10000</v>
          </cell>
        </row>
      </sheetData>
      <sheetData sheetId="12965">
        <row r="7">
          <cell r="AI7">
            <v>10000</v>
          </cell>
        </row>
      </sheetData>
      <sheetData sheetId="12966">
        <row r="7">
          <cell r="AI7">
            <v>10000</v>
          </cell>
        </row>
      </sheetData>
      <sheetData sheetId="12967">
        <row r="7">
          <cell r="AI7">
            <v>10000</v>
          </cell>
        </row>
      </sheetData>
      <sheetData sheetId="12968">
        <row r="7">
          <cell r="AI7">
            <v>10000</v>
          </cell>
        </row>
      </sheetData>
      <sheetData sheetId="12969">
        <row r="7">
          <cell r="AI7">
            <v>10000</v>
          </cell>
        </row>
      </sheetData>
      <sheetData sheetId="12970">
        <row r="7">
          <cell r="AI7">
            <v>10000</v>
          </cell>
        </row>
      </sheetData>
      <sheetData sheetId="12971">
        <row r="7">
          <cell r="AI7">
            <v>10000</v>
          </cell>
        </row>
      </sheetData>
      <sheetData sheetId="12972">
        <row r="7">
          <cell r="AI7">
            <v>10000</v>
          </cell>
        </row>
      </sheetData>
      <sheetData sheetId="12973">
        <row r="7">
          <cell r="AI7">
            <v>10000</v>
          </cell>
        </row>
      </sheetData>
      <sheetData sheetId="12974">
        <row r="7">
          <cell r="AI7">
            <v>10000</v>
          </cell>
        </row>
      </sheetData>
      <sheetData sheetId="12975">
        <row r="7">
          <cell r="AI7">
            <v>10000</v>
          </cell>
        </row>
      </sheetData>
      <sheetData sheetId="12976">
        <row r="7">
          <cell r="AI7">
            <v>10000</v>
          </cell>
        </row>
      </sheetData>
      <sheetData sheetId="12977">
        <row r="7">
          <cell r="AI7">
            <v>10000</v>
          </cell>
        </row>
      </sheetData>
      <sheetData sheetId="12978">
        <row r="7">
          <cell r="AI7">
            <v>10000</v>
          </cell>
        </row>
      </sheetData>
      <sheetData sheetId="12979">
        <row r="7">
          <cell r="AI7">
            <v>10000</v>
          </cell>
        </row>
      </sheetData>
      <sheetData sheetId="12980">
        <row r="7">
          <cell r="AI7">
            <v>10000</v>
          </cell>
        </row>
      </sheetData>
      <sheetData sheetId="12981">
        <row r="7">
          <cell r="AI7">
            <v>10000</v>
          </cell>
        </row>
      </sheetData>
      <sheetData sheetId="12982">
        <row r="7">
          <cell r="AI7">
            <v>10000</v>
          </cell>
        </row>
      </sheetData>
      <sheetData sheetId="12983">
        <row r="7">
          <cell r="AI7">
            <v>10000</v>
          </cell>
        </row>
      </sheetData>
      <sheetData sheetId="12984">
        <row r="7">
          <cell r="AI7">
            <v>10000</v>
          </cell>
        </row>
      </sheetData>
      <sheetData sheetId="12985">
        <row r="7">
          <cell r="AI7">
            <v>10000</v>
          </cell>
        </row>
      </sheetData>
      <sheetData sheetId="12986">
        <row r="7">
          <cell r="AI7">
            <v>10000</v>
          </cell>
        </row>
      </sheetData>
      <sheetData sheetId="12987">
        <row r="7">
          <cell r="AI7">
            <v>10000</v>
          </cell>
        </row>
      </sheetData>
      <sheetData sheetId="12988">
        <row r="7">
          <cell r="AI7">
            <v>10000</v>
          </cell>
        </row>
      </sheetData>
      <sheetData sheetId="12989">
        <row r="7">
          <cell r="AI7">
            <v>10000</v>
          </cell>
        </row>
      </sheetData>
      <sheetData sheetId="12990">
        <row r="7">
          <cell r="AI7">
            <v>10000</v>
          </cell>
        </row>
      </sheetData>
      <sheetData sheetId="12991">
        <row r="7">
          <cell r="AI7">
            <v>10000</v>
          </cell>
        </row>
      </sheetData>
      <sheetData sheetId="12992">
        <row r="7">
          <cell r="AI7">
            <v>10000</v>
          </cell>
        </row>
      </sheetData>
      <sheetData sheetId="12993">
        <row r="7">
          <cell r="AI7">
            <v>10000</v>
          </cell>
        </row>
      </sheetData>
      <sheetData sheetId="12994">
        <row r="7">
          <cell r="AI7">
            <v>10000</v>
          </cell>
        </row>
      </sheetData>
      <sheetData sheetId="12995">
        <row r="7">
          <cell r="AI7">
            <v>10000</v>
          </cell>
        </row>
      </sheetData>
      <sheetData sheetId="12996">
        <row r="7">
          <cell r="AI7">
            <v>10000</v>
          </cell>
        </row>
      </sheetData>
      <sheetData sheetId="12997">
        <row r="7">
          <cell r="AI7">
            <v>10000</v>
          </cell>
        </row>
      </sheetData>
      <sheetData sheetId="12998">
        <row r="7">
          <cell r="AI7">
            <v>10000</v>
          </cell>
        </row>
      </sheetData>
      <sheetData sheetId="12999">
        <row r="7">
          <cell r="AI7">
            <v>10000</v>
          </cell>
        </row>
      </sheetData>
      <sheetData sheetId="13000">
        <row r="7">
          <cell r="AI7">
            <v>10000</v>
          </cell>
        </row>
      </sheetData>
      <sheetData sheetId="13001">
        <row r="7">
          <cell r="AI7">
            <v>10000</v>
          </cell>
        </row>
      </sheetData>
      <sheetData sheetId="13002">
        <row r="7">
          <cell r="AI7">
            <v>10000</v>
          </cell>
        </row>
      </sheetData>
      <sheetData sheetId="13003">
        <row r="7">
          <cell r="AI7">
            <v>10000</v>
          </cell>
        </row>
      </sheetData>
      <sheetData sheetId="13004">
        <row r="7">
          <cell r="AI7">
            <v>10000</v>
          </cell>
        </row>
      </sheetData>
      <sheetData sheetId="13005">
        <row r="7">
          <cell r="AI7">
            <v>10000</v>
          </cell>
        </row>
      </sheetData>
      <sheetData sheetId="13006">
        <row r="7">
          <cell r="AI7">
            <v>10000</v>
          </cell>
        </row>
      </sheetData>
      <sheetData sheetId="13007">
        <row r="7">
          <cell r="AI7">
            <v>10000</v>
          </cell>
        </row>
      </sheetData>
      <sheetData sheetId="13008">
        <row r="7">
          <cell r="AI7">
            <v>10000</v>
          </cell>
        </row>
      </sheetData>
      <sheetData sheetId="13009">
        <row r="7">
          <cell r="AI7">
            <v>10000</v>
          </cell>
        </row>
      </sheetData>
      <sheetData sheetId="13010">
        <row r="7">
          <cell r="AI7">
            <v>10000</v>
          </cell>
        </row>
      </sheetData>
      <sheetData sheetId="13011">
        <row r="7">
          <cell r="AI7">
            <v>10000</v>
          </cell>
        </row>
      </sheetData>
      <sheetData sheetId="13012">
        <row r="7">
          <cell r="AI7">
            <v>10000</v>
          </cell>
        </row>
      </sheetData>
      <sheetData sheetId="13013">
        <row r="7">
          <cell r="AI7">
            <v>10000</v>
          </cell>
        </row>
      </sheetData>
      <sheetData sheetId="13014">
        <row r="7">
          <cell r="AI7">
            <v>10000</v>
          </cell>
        </row>
      </sheetData>
      <sheetData sheetId="13015">
        <row r="7">
          <cell r="AI7">
            <v>10000</v>
          </cell>
        </row>
      </sheetData>
      <sheetData sheetId="13016">
        <row r="7">
          <cell r="AI7">
            <v>10000</v>
          </cell>
        </row>
      </sheetData>
      <sheetData sheetId="13017">
        <row r="7">
          <cell r="AI7">
            <v>10000</v>
          </cell>
        </row>
      </sheetData>
      <sheetData sheetId="13018">
        <row r="7">
          <cell r="AI7">
            <v>10000</v>
          </cell>
        </row>
      </sheetData>
      <sheetData sheetId="13019">
        <row r="7">
          <cell r="AI7">
            <v>10000</v>
          </cell>
        </row>
      </sheetData>
      <sheetData sheetId="13020">
        <row r="7">
          <cell r="AI7">
            <v>10000</v>
          </cell>
        </row>
      </sheetData>
      <sheetData sheetId="13021">
        <row r="7">
          <cell r="AI7">
            <v>10000</v>
          </cell>
        </row>
      </sheetData>
      <sheetData sheetId="13022">
        <row r="7">
          <cell r="AI7">
            <v>10000</v>
          </cell>
        </row>
      </sheetData>
      <sheetData sheetId="13023">
        <row r="7">
          <cell r="AI7">
            <v>10000</v>
          </cell>
        </row>
      </sheetData>
      <sheetData sheetId="13024">
        <row r="7">
          <cell r="AI7">
            <v>10000</v>
          </cell>
        </row>
      </sheetData>
      <sheetData sheetId="13025">
        <row r="7">
          <cell r="AI7">
            <v>10000</v>
          </cell>
        </row>
      </sheetData>
      <sheetData sheetId="13026">
        <row r="7">
          <cell r="AI7">
            <v>10000</v>
          </cell>
        </row>
      </sheetData>
      <sheetData sheetId="13027">
        <row r="7">
          <cell r="AI7">
            <v>10000</v>
          </cell>
        </row>
      </sheetData>
      <sheetData sheetId="13028">
        <row r="7">
          <cell r="AI7">
            <v>10000</v>
          </cell>
        </row>
      </sheetData>
      <sheetData sheetId="13029">
        <row r="7">
          <cell r="AI7">
            <v>10000</v>
          </cell>
        </row>
      </sheetData>
      <sheetData sheetId="13030">
        <row r="7">
          <cell r="AI7">
            <v>10000</v>
          </cell>
        </row>
      </sheetData>
      <sheetData sheetId="13031">
        <row r="7">
          <cell r="AI7">
            <v>10000</v>
          </cell>
        </row>
      </sheetData>
      <sheetData sheetId="13032">
        <row r="7">
          <cell r="AI7">
            <v>10000</v>
          </cell>
        </row>
      </sheetData>
      <sheetData sheetId="13033">
        <row r="7">
          <cell r="AI7">
            <v>10000</v>
          </cell>
        </row>
      </sheetData>
      <sheetData sheetId="13034">
        <row r="7">
          <cell r="AI7">
            <v>10000</v>
          </cell>
        </row>
      </sheetData>
      <sheetData sheetId="13035">
        <row r="7">
          <cell r="AI7">
            <v>10000</v>
          </cell>
        </row>
      </sheetData>
      <sheetData sheetId="13036">
        <row r="7">
          <cell r="AI7">
            <v>10000</v>
          </cell>
        </row>
      </sheetData>
      <sheetData sheetId="13037">
        <row r="7">
          <cell r="AI7">
            <v>10000</v>
          </cell>
        </row>
      </sheetData>
      <sheetData sheetId="13038">
        <row r="7">
          <cell r="AI7">
            <v>10000</v>
          </cell>
        </row>
      </sheetData>
      <sheetData sheetId="13039">
        <row r="7">
          <cell r="AI7">
            <v>10000</v>
          </cell>
        </row>
      </sheetData>
      <sheetData sheetId="13040">
        <row r="7">
          <cell r="AI7">
            <v>10000</v>
          </cell>
        </row>
      </sheetData>
      <sheetData sheetId="13041">
        <row r="7">
          <cell r="AI7">
            <v>10000</v>
          </cell>
        </row>
      </sheetData>
      <sheetData sheetId="13042">
        <row r="7">
          <cell r="AI7">
            <v>10000</v>
          </cell>
        </row>
      </sheetData>
      <sheetData sheetId="13043">
        <row r="7">
          <cell r="AI7">
            <v>10000</v>
          </cell>
        </row>
      </sheetData>
      <sheetData sheetId="13044">
        <row r="7">
          <cell r="AI7">
            <v>10000</v>
          </cell>
        </row>
      </sheetData>
      <sheetData sheetId="13045">
        <row r="7">
          <cell r="AI7">
            <v>10000</v>
          </cell>
        </row>
      </sheetData>
      <sheetData sheetId="13046">
        <row r="7">
          <cell r="AI7">
            <v>10000</v>
          </cell>
        </row>
      </sheetData>
      <sheetData sheetId="13047">
        <row r="7">
          <cell r="AI7">
            <v>10000</v>
          </cell>
        </row>
      </sheetData>
      <sheetData sheetId="13048">
        <row r="7">
          <cell r="AI7">
            <v>10000</v>
          </cell>
        </row>
      </sheetData>
      <sheetData sheetId="13049">
        <row r="7">
          <cell r="AI7">
            <v>10000</v>
          </cell>
        </row>
      </sheetData>
      <sheetData sheetId="13050">
        <row r="7">
          <cell r="AI7">
            <v>10000</v>
          </cell>
        </row>
      </sheetData>
      <sheetData sheetId="13051">
        <row r="7">
          <cell r="AI7">
            <v>10000</v>
          </cell>
        </row>
      </sheetData>
      <sheetData sheetId="13052">
        <row r="7">
          <cell r="AI7">
            <v>10000</v>
          </cell>
        </row>
      </sheetData>
      <sheetData sheetId="13053">
        <row r="7">
          <cell r="AI7">
            <v>10000</v>
          </cell>
        </row>
      </sheetData>
      <sheetData sheetId="13054">
        <row r="7">
          <cell r="AI7">
            <v>10000</v>
          </cell>
        </row>
      </sheetData>
      <sheetData sheetId="13055">
        <row r="7">
          <cell r="AI7">
            <v>10000</v>
          </cell>
        </row>
      </sheetData>
      <sheetData sheetId="13056">
        <row r="7">
          <cell r="AI7">
            <v>10000</v>
          </cell>
        </row>
      </sheetData>
      <sheetData sheetId="13057">
        <row r="7">
          <cell r="AI7">
            <v>10000</v>
          </cell>
        </row>
      </sheetData>
      <sheetData sheetId="13058">
        <row r="7">
          <cell r="AI7">
            <v>10000</v>
          </cell>
        </row>
      </sheetData>
      <sheetData sheetId="13059">
        <row r="7">
          <cell r="AI7">
            <v>10000</v>
          </cell>
        </row>
      </sheetData>
      <sheetData sheetId="13060">
        <row r="7">
          <cell r="AI7">
            <v>10000</v>
          </cell>
        </row>
      </sheetData>
      <sheetData sheetId="13061">
        <row r="7">
          <cell r="AI7">
            <v>10000</v>
          </cell>
        </row>
      </sheetData>
      <sheetData sheetId="13062">
        <row r="7">
          <cell r="AI7">
            <v>10000</v>
          </cell>
        </row>
      </sheetData>
      <sheetData sheetId="13063">
        <row r="7">
          <cell r="AI7">
            <v>10000</v>
          </cell>
        </row>
      </sheetData>
      <sheetData sheetId="13064">
        <row r="7">
          <cell r="AI7">
            <v>10000</v>
          </cell>
        </row>
      </sheetData>
      <sheetData sheetId="13065">
        <row r="7">
          <cell r="AI7">
            <v>10000</v>
          </cell>
        </row>
      </sheetData>
      <sheetData sheetId="13066">
        <row r="7">
          <cell r="AI7">
            <v>10000</v>
          </cell>
        </row>
      </sheetData>
      <sheetData sheetId="13067">
        <row r="7">
          <cell r="AI7">
            <v>10000</v>
          </cell>
        </row>
      </sheetData>
      <sheetData sheetId="13068">
        <row r="7">
          <cell r="AI7">
            <v>10000</v>
          </cell>
        </row>
      </sheetData>
      <sheetData sheetId="13069">
        <row r="7">
          <cell r="AI7">
            <v>10000</v>
          </cell>
        </row>
      </sheetData>
      <sheetData sheetId="13070">
        <row r="7">
          <cell r="AI7">
            <v>10000</v>
          </cell>
        </row>
      </sheetData>
      <sheetData sheetId="13071">
        <row r="7">
          <cell r="AI7">
            <v>10000</v>
          </cell>
        </row>
      </sheetData>
      <sheetData sheetId="13072">
        <row r="7">
          <cell r="AI7">
            <v>10000</v>
          </cell>
        </row>
      </sheetData>
      <sheetData sheetId="13073">
        <row r="7">
          <cell r="AI7">
            <v>10000</v>
          </cell>
        </row>
      </sheetData>
      <sheetData sheetId="13074">
        <row r="7">
          <cell r="AI7">
            <v>10000</v>
          </cell>
        </row>
      </sheetData>
      <sheetData sheetId="13075">
        <row r="7">
          <cell r="AI7">
            <v>10000</v>
          </cell>
        </row>
      </sheetData>
      <sheetData sheetId="13076">
        <row r="7">
          <cell r="AI7">
            <v>10000</v>
          </cell>
        </row>
      </sheetData>
      <sheetData sheetId="13077">
        <row r="7">
          <cell r="AI7">
            <v>10000</v>
          </cell>
        </row>
      </sheetData>
      <sheetData sheetId="13078">
        <row r="7">
          <cell r="AI7">
            <v>10000</v>
          </cell>
        </row>
      </sheetData>
      <sheetData sheetId="13079">
        <row r="7">
          <cell r="AI7">
            <v>10000</v>
          </cell>
        </row>
      </sheetData>
      <sheetData sheetId="13080">
        <row r="7">
          <cell r="AI7">
            <v>10000</v>
          </cell>
        </row>
      </sheetData>
      <sheetData sheetId="13081">
        <row r="7">
          <cell r="AI7">
            <v>10000</v>
          </cell>
        </row>
      </sheetData>
      <sheetData sheetId="13082">
        <row r="7">
          <cell r="AI7">
            <v>10000</v>
          </cell>
        </row>
      </sheetData>
      <sheetData sheetId="13083">
        <row r="7">
          <cell r="AI7">
            <v>10000</v>
          </cell>
        </row>
      </sheetData>
      <sheetData sheetId="13084">
        <row r="7">
          <cell r="AI7">
            <v>10000</v>
          </cell>
        </row>
      </sheetData>
      <sheetData sheetId="13085">
        <row r="7">
          <cell r="AI7">
            <v>10000</v>
          </cell>
        </row>
      </sheetData>
      <sheetData sheetId="13086">
        <row r="7">
          <cell r="AI7">
            <v>10000</v>
          </cell>
        </row>
      </sheetData>
      <sheetData sheetId="13087">
        <row r="7">
          <cell r="AI7">
            <v>10000</v>
          </cell>
        </row>
      </sheetData>
      <sheetData sheetId="13088">
        <row r="7">
          <cell r="AI7">
            <v>10000</v>
          </cell>
        </row>
      </sheetData>
      <sheetData sheetId="13089">
        <row r="7">
          <cell r="AI7">
            <v>10000</v>
          </cell>
        </row>
      </sheetData>
      <sheetData sheetId="13090">
        <row r="7">
          <cell r="AI7">
            <v>10000</v>
          </cell>
        </row>
      </sheetData>
      <sheetData sheetId="13091">
        <row r="7">
          <cell r="AI7">
            <v>10000</v>
          </cell>
        </row>
      </sheetData>
      <sheetData sheetId="13092">
        <row r="7">
          <cell r="AI7">
            <v>10000</v>
          </cell>
        </row>
      </sheetData>
      <sheetData sheetId="13093">
        <row r="7">
          <cell r="AI7">
            <v>10000</v>
          </cell>
        </row>
      </sheetData>
      <sheetData sheetId="13094">
        <row r="7">
          <cell r="AI7">
            <v>10000</v>
          </cell>
        </row>
      </sheetData>
      <sheetData sheetId="13095">
        <row r="7">
          <cell r="AI7">
            <v>10000</v>
          </cell>
        </row>
      </sheetData>
      <sheetData sheetId="13096">
        <row r="7">
          <cell r="AI7">
            <v>10000</v>
          </cell>
        </row>
      </sheetData>
      <sheetData sheetId="13097">
        <row r="7">
          <cell r="AI7">
            <v>10000</v>
          </cell>
        </row>
      </sheetData>
      <sheetData sheetId="13098">
        <row r="7">
          <cell r="AI7">
            <v>10000</v>
          </cell>
        </row>
      </sheetData>
      <sheetData sheetId="13099">
        <row r="7">
          <cell r="AI7">
            <v>10000</v>
          </cell>
        </row>
      </sheetData>
      <sheetData sheetId="13100">
        <row r="7">
          <cell r="AI7">
            <v>10000</v>
          </cell>
        </row>
      </sheetData>
      <sheetData sheetId="13101">
        <row r="7">
          <cell r="AI7">
            <v>10000</v>
          </cell>
        </row>
      </sheetData>
      <sheetData sheetId="13102">
        <row r="7">
          <cell r="AI7">
            <v>10000</v>
          </cell>
        </row>
      </sheetData>
      <sheetData sheetId="13103">
        <row r="7">
          <cell r="AI7">
            <v>10000</v>
          </cell>
        </row>
      </sheetData>
      <sheetData sheetId="13104">
        <row r="7">
          <cell r="AI7">
            <v>10000</v>
          </cell>
        </row>
      </sheetData>
      <sheetData sheetId="13105">
        <row r="7">
          <cell r="AI7">
            <v>10000</v>
          </cell>
        </row>
      </sheetData>
      <sheetData sheetId="13106">
        <row r="7">
          <cell r="AI7">
            <v>10000</v>
          </cell>
        </row>
      </sheetData>
      <sheetData sheetId="13107">
        <row r="7">
          <cell r="AI7">
            <v>10000</v>
          </cell>
        </row>
      </sheetData>
      <sheetData sheetId="13108">
        <row r="7">
          <cell r="AI7">
            <v>10000</v>
          </cell>
        </row>
      </sheetData>
      <sheetData sheetId="13109">
        <row r="7">
          <cell r="AI7">
            <v>10000</v>
          </cell>
        </row>
      </sheetData>
      <sheetData sheetId="13110">
        <row r="7">
          <cell r="AI7">
            <v>10000</v>
          </cell>
        </row>
      </sheetData>
      <sheetData sheetId="13111">
        <row r="7">
          <cell r="AI7">
            <v>10000</v>
          </cell>
        </row>
      </sheetData>
      <sheetData sheetId="13112">
        <row r="7">
          <cell r="AI7">
            <v>10000</v>
          </cell>
        </row>
      </sheetData>
      <sheetData sheetId="13113">
        <row r="7">
          <cell r="AI7">
            <v>10000</v>
          </cell>
        </row>
      </sheetData>
      <sheetData sheetId="13114">
        <row r="7">
          <cell r="AI7">
            <v>10000</v>
          </cell>
        </row>
      </sheetData>
      <sheetData sheetId="13115">
        <row r="7">
          <cell r="AI7">
            <v>10000</v>
          </cell>
        </row>
      </sheetData>
      <sheetData sheetId="13116">
        <row r="7">
          <cell r="AI7">
            <v>10000</v>
          </cell>
        </row>
      </sheetData>
      <sheetData sheetId="13117">
        <row r="7">
          <cell r="AI7">
            <v>10000</v>
          </cell>
        </row>
      </sheetData>
      <sheetData sheetId="13118">
        <row r="7">
          <cell r="AI7">
            <v>10000</v>
          </cell>
        </row>
      </sheetData>
      <sheetData sheetId="13119">
        <row r="7">
          <cell r="AI7">
            <v>10000</v>
          </cell>
        </row>
      </sheetData>
      <sheetData sheetId="13120">
        <row r="7">
          <cell r="AI7">
            <v>10000</v>
          </cell>
        </row>
      </sheetData>
      <sheetData sheetId="13121">
        <row r="7">
          <cell r="AI7">
            <v>10000</v>
          </cell>
        </row>
      </sheetData>
      <sheetData sheetId="13122">
        <row r="7">
          <cell r="AI7">
            <v>10000</v>
          </cell>
        </row>
      </sheetData>
      <sheetData sheetId="13123">
        <row r="7">
          <cell r="AI7">
            <v>10000</v>
          </cell>
        </row>
      </sheetData>
      <sheetData sheetId="13124">
        <row r="7">
          <cell r="AI7">
            <v>10000</v>
          </cell>
        </row>
      </sheetData>
      <sheetData sheetId="13125">
        <row r="7">
          <cell r="AI7">
            <v>10000</v>
          </cell>
        </row>
      </sheetData>
      <sheetData sheetId="13126">
        <row r="7">
          <cell r="AI7">
            <v>10000</v>
          </cell>
        </row>
      </sheetData>
      <sheetData sheetId="13127">
        <row r="7">
          <cell r="AI7">
            <v>10000</v>
          </cell>
        </row>
      </sheetData>
      <sheetData sheetId="13128">
        <row r="7">
          <cell r="AI7">
            <v>10000</v>
          </cell>
        </row>
      </sheetData>
      <sheetData sheetId="13129">
        <row r="7">
          <cell r="AI7">
            <v>10000</v>
          </cell>
        </row>
      </sheetData>
      <sheetData sheetId="13130">
        <row r="7">
          <cell r="AI7">
            <v>10000</v>
          </cell>
        </row>
      </sheetData>
      <sheetData sheetId="13131">
        <row r="7">
          <cell r="AI7">
            <v>10000</v>
          </cell>
        </row>
      </sheetData>
      <sheetData sheetId="13132">
        <row r="7">
          <cell r="AI7">
            <v>10000</v>
          </cell>
        </row>
      </sheetData>
      <sheetData sheetId="13133">
        <row r="7">
          <cell r="AI7">
            <v>10000</v>
          </cell>
        </row>
      </sheetData>
      <sheetData sheetId="13134">
        <row r="7">
          <cell r="AI7">
            <v>10000</v>
          </cell>
        </row>
      </sheetData>
      <sheetData sheetId="13135">
        <row r="7">
          <cell r="AI7">
            <v>10000</v>
          </cell>
        </row>
      </sheetData>
      <sheetData sheetId="13136">
        <row r="7">
          <cell r="AI7">
            <v>10000</v>
          </cell>
        </row>
      </sheetData>
      <sheetData sheetId="13137">
        <row r="7">
          <cell r="AI7">
            <v>10000</v>
          </cell>
        </row>
      </sheetData>
      <sheetData sheetId="13138">
        <row r="7">
          <cell r="AI7">
            <v>10000</v>
          </cell>
        </row>
      </sheetData>
      <sheetData sheetId="13139">
        <row r="7">
          <cell r="AI7">
            <v>10000</v>
          </cell>
        </row>
      </sheetData>
      <sheetData sheetId="13140">
        <row r="7">
          <cell r="AI7">
            <v>10000</v>
          </cell>
        </row>
      </sheetData>
      <sheetData sheetId="13141">
        <row r="7">
          <cell r="AI7">
            <v>10000</v>
          </cell>
        </row>
      </sheetData>
      <sheetData sheetId="13142">
        <row r="7">
          <cell r="AI7">
            <v>10000</v>
          </cell>
        </row>
      </sheetData>
      <sheetData sheetId="13143">
        <row r="7">
          <cell r="AI7">
            <v>10000</v>
          </cell>
        </row>
      </sheetData>
      <sheetData sheetId="13144">
        <row r="7">
          <cell r="AI7">
            <v>10000</v>
          </cell>
        </row>
      </sheetData>
      <sheetData sheetId="13145">
        <row r="7">
          <cell r="AI7">
            <v>10000</v>
          </cell>
        </row>
      </sheetData>
      <sheetData sheetId="13146">
        <row r="7">
          <cell r="AI7">
            <v>10000</v>
          </cell>
        </row>
      </sheetData>
      <sheetData sheetId="13147">
        <row r="7">
          <cell r="AI7">
            <v>10000</v>
          </cell>
        </row>
      </sheetData>
      <sheetData sheetId="13148">
        <row r="7">
          <cell r="AI7">
            <v>10000</v>
          </cell>
        </row>
      </sheetData>
      <sheetData sheetId="13149">
        <row r="7">
          <cell r="AI7">
            <v>10000</v>
          </cell>
        </row>
      </sheetData>
      <sheetData sheetId="13150">
        <row r="7">
          <cell r="AI7">
            <v>10000</v>
          </cell>
        </row>
      </sheetData>
      <sheetData sheetId="13151">
        <row r="7">
          <cell r="AI7">
            <v>10000</v>
          </cell>
        </row>
      </sheetData>
      <sheetData sheetId="13152">
        <row r="7">
          <cell r="AI7">
            <v>10000</v>
          </cell>
        </row>
      </sheetData>
      <sheetData sheetId="13153">
        <row r="7">
          <cell r="AI7">
            <v>10000</v>
          </cell>
        </row>
      </sheetData>
      <sheetData sheetId="13154">
        <row r="7">
          <cell r="AI7">
            <v>10000</v>
          </cell>
        </row>
      </sheetData>
      <sheetData sheetId="13155">
        <row r="7">
          <cell r="AI7">
            <v>10000</v>
          </cell>
        </row>
      </sheetData>
      <sheetData sheetId="13156">
        <row r="7">
          <cell r="AI7">
            <v>10000</v>
          </cell>
        </row>
      </sheetData>
      <sheetData sheetId="13157">
        <row r="7">
          <cell r="AI7">
            <v>10000</v>
          </cell>
        </row>
      </sheetData>
      <sheetData sheetId="13158">
        <row r="7">
          <cell r="AI7">
            <v>10000</v>
          </cell>
        </row>
      </sheetData>
      <sheetData sheetId="13159">
        <row r="7">
          <cell r="AI7">
            <v>10000</v>
          </cell>
        </row>
      </sheetData>
      <sheetData sheetId="13160">
        <row r="7">
          <cell r="AI7">
            <v>10000</v>
          </cell>
        </row>
      </sheetData>
      <sheetData sheetId="13161">
        <row r="7">
          <cell r="AI7">
            <v>10000</v>
          </cell>
        </row>
      </sheetData>
      <sheetData sheetId="13162">
        <row r="7">
          <cell r="AI7">
            <v>10000</v>
          </cell>
        </row>
      </sheetData>
      <sheetData sheetId="13163">
        <row r="7">
          <cell r="AI7">
            <v>10000</v>
          </cell>
        </row>
      </sheetData>
      <sheetData sheetId="13164">
        <row r="7">
          <cell r="AI7">
            <v>10000</v>
          </cell>
        </row>
      </sheetData>
      <sheetData sheetId="13165">
        <row r="7">
          <cell r="AI7">
            <v>10000</v>
          </cell>
        </row>
      </sheetData>
      <sheetData sheetId="13166">
        <row r="7">
          <cell r="AI7">
            <v>10000</v>
          </cell>
        </row>
      </sheetData>
      <sheetData sheetId="13167">
        <row r="7">
          <cell r="AI7">
            <v>10000</v>
          </cell>
        </row>
      </sheetData>
      <sheetData sheetId="13168">
        <row r="7">
          <cell r="AI7">
            <v>10000</v>
          </cell>
        </row>
      </sheetData>
      <sheetData sheetId="13169">
        <row r="7">
          <cell r="AI7">
            <v>10000</v>
          </cell>
        </row>
      </sheetData>
      <sheetData sheetId="13170">
        <row r="7">
          <cell r="AI7">
            <v>10000</v>
          </cell>
        </row>
      </sheetData>
      <sheetData sheetId="13171">
        <row r="7">
          <cell r="AI7">
            <v>10000</v>
          </cell>
        </row>
      </sheetData>
      <sheetData sheetId="13172">
        <row r="7">
          <cell r="AI7">
            <v>10000</v>
          </cell>
        </row>
      </sheetData>
      <sheetData sheetId="13173">
        <row r="7">
          <cell r="AI7">
            <v>10000</v>
          </cell>
        </row>
      </sheetData>
      <sheetData sheetId="13174">
        <row r="7">
          <cell r="AI7">
            <v>10000</v>
          </cell>
        </row>
      </sheetData>
      <sheetData sheetId="13175">
        <row r="7">
          <cell r="AI7">
            <v>10000</v>
          </cell>
        </row>
      </sheetData>
      <sheetData sheetId="13176">
        <row r="7">
          <cell r="AI7">
            <v>10000</v>
          </cell>
        </row>
      </sheetData>
      <sheetData sheetId="13177">
        <row r="7">
          <cell r="AI7">
            <v>10000</v>
          </cell>
        </row>
      </sheetData>
      <sheetData sheetId="13178">
        <row r="7">
          <cell r="AI7">
            <v>10000</v>
          </cell>
        </row>
      </sheetData>
      <sheetData sheetId="13179">
        <row r="7">
          <cell r="AI7">
            <v>10000</v>
          </cell>
        </row>
      </sheetData>
      <sheetData sheetId="13180">
        <row r="7">
          <cell r="AI7">
            <v>10000</v>
          </cell>
        </row>
      </sheetData>
      <sheetData sheetId="13181">
        <row r="7">
          <cell r="AI7">
            <v>10000</v>
          </cell>
        </row>
      </sheetData>
      <sheetData sheetId="13182">
        <row r="7">
          <cell r="AI7">
            <v>10000</v>
          </cell>
        </row>
      </sheetData>
      <sheetData sheetId="13183">
        <row r="7">
          <cell r="AI7">
            <v>10000</v>
          </cell>
        </row>
      </sheetData>
      <sheetData sheetId="13184">
        <row r="7">
          <cell r="AI7">
            <v>10000</v>
          </cell>
        </row>
      </sheetData>
      <sheetData sheetId="13185">
        <row r="7">
          <cell r="AI7">
            <v>10000</v>
          </cell>
        </row>
      </sheetData>
      <sheetData sheetId="13186">
        <row r="7">
          <cell r="AI7">
            <v>10000</v>
          </cell>
        </row>
      </sheetData>
      <sheetData sheetId="13187">
        <row r="7">
          <cell r="AI7">
            <v>10000</v>
          </cell>
        </row>
      </sheetData>
      <sheetData sheetId="13188">
        <row r="7">
          <cell r="AI7">
            <v>10000</v>
          </cell>
        </row>
      </sheetData>
      <sheetData sheetId="13189">
        <row r="7">
          <cell r="AI7">
            <v>10000</v>
          </cell>
        </row>
      </sheetData>
      <sheetData sheetId="13190">
        <row r="7">
          <cell r="AI7">
            <v>10000</v>
          </cell>
        </row>
      </sheetData>
      <sheetData sheetId="13191">
        <row r="7">
          <cell r="AI7">
            <v>10000</v>
          </cell>
        </row>
      </sheetData>
      <sheetData sheetId="13192">
        <row r="7">
          <cell r="AI7">
            <v>10000</v>
          </cell>
        </row>
      </sheetData>
      <sheetData sheetId="13193">
        <row r="7">
          <cell r="AI7">
            <v>10000</v>
          </cell>
        </row>
      </sheetData>
      <sheetData sheetId="13194">
        <row r="7">
          <cell r="AI7">
            <v>10000</v>
          </cell>
        </row>
      </sheetData>
      <sheetData sheetId="13195">
        <row r="7">
          <cell r="AI7">
            <v>10000</v>
          </cell>
        </row>
      </sheetData>
      <sheetData sheetId="13196">
        <row r="7">
          <cell r="AI7">
            <v>10000</v>
          </cell>
        </row>
      </sheetData>
      <sheetData sheetId="13197">
        <row r="7">
          <cell r="AI7">
            <v>10000</v>
          </cell>
        </row>
      </sheetData>
      <sheetData sheetId="13198">
        <row r="7">
          <cell r="AI7">
            <v>10000</v>
          </cell>
        </row>
      </sheetData>
      <sheetData sheetId="13199">
        <row r="7">
          <cell r="AI7">
            <v>10000</v>
          </cell>
        </row>
      </sheetData>
      <sheetData sheetId="13200">
        <row r="7">
          <cell r="AI7">
            <v>10000</v>
          </cell>
        </row>
      </sheetData>
      <sheetData sheetId="13201">
        <row r="7">
          <cell r="AI7">
            <v>10000</v>
          </cell>
        </row>
      </sheetData>
      <sheetData sheetId="13202">
        <row r="7">
          <cell r="AI7">
            <v>10000</v>
          </cell>
        </row>
      </sheetData>
      <sheetData sheetId="13203">
        <row r="7">
          <cell r="AI7">
            <v>10000</v>
          </cell>
        </row>
      </sheetData>
      <sheetData sheetId="13204">
        <row r="7">
          <cell r="AI7">
            <v>10000</v>
          </cell>
        </row>
      </sheetData>
      <sheetData sheetId="13205">
        <row r="7">
          <cell r="AI7">
            <v>10000</v>
          </cell>
        </row>
      </sheetData>
      <sheetData sheetId="13206">
        <row r="7">
          <cell r="AI7">
            <v>10000</v>
          </cell>
        </row>
      </sheetData>
      <sheetData sheetId="13207">
        <row r="7">
          <cell r="AI7">
            <v>10000</v>
          </cell>
        </row>
      </sheetData>
      <sheetData sheetId="13208">
        <row r="7">
          <cell r="AI7">
            <v>10000</v>
          </cell>
        </row>
      </sheetData>
      <sheetData sheetId="13209">
        <row r="7">
          <cell r="AI7">
            <v>10000</v>
          </cell>
        </row>
      </sheetData>
      <sheetData sheetId="13210">
        <row r="7">
          <cell r="AI7">
            <v>10000</v>
          </cell>
        </row>
      </sheetData>
      <sheetData sheetId="13211">
        <row r="7">
          <cell r="AI7">
            <v>10000</v>
          </cell>
        </row>
      </sheetData>
      <sheetData sheetId="13212">
        <row r="7">
          <cell r="AI7">
            <v>10000</v>
          </cell>
        </row>
      </sheetData>
      <sheetData sheetId="13213">
        <row r="7">
          <cell r="AI7">
            <v>10000</v>
          </cell>
        </row>
      </sheetData>
      <sheetData sheetId="13214">
        <row r="7">
          <cell r="AI7">
            <v>10000</v>
          </cell>
        </row>
      </sheetData>
      <sheetData sheetId="13215">
        <row r="7">
          <cell r="AI7">
            <v>10000</v>
          </cell>
        </row>
      </sheetData>
      <sheetData sheetId="13216">
        <row r="7">
          <cell r="AI7">
            <v>10000</v>
          </cell>
        </row>
      </sheetData>
      <sheetData sheetId="13217">
        <row r="7">
          <cell r="AI7">
            <v>10000</v>
          </cell>
        </row>
      </sheetData>
      <sheetData sheetId="13218">
        <row r="7">
          <cell r="AI7">
            <v>10000</v>
          </cell>
        </row>
      </sheetData>
      <sheetData sheetId="13219">
        <row r="7">
          <cell r="AI7">
            <v>10000</v>
          </cell>
        </row>
      </sheetData>
      <sheetData sheetId="13220">
        <row r="7">
          <cell r="AI7">
            <v>10000</v>
          </cell>
        </row>
      </sheetData>
      <sheetData sheetId="13221">
        <row r="7">
          <cell r="AI7">
            <v>10000</v>
          </cell>
        </row>
      </sheetData>
      <sheetData sheetId="13222">
        <row r="7">
          <cell r="AI7">
            <v>10000</v>
          </cell>
        </row>
      </sheetData>
      <sheetData sheetId="13223">
        <row r="7">
          <cell r="AI7">
            <v>10000</v>
          </cell>
        </row>
      </sheetData>
      <sheetData sheetId="13224">
        <row r="7">
          <cell r="AI7">
            <v>10000</v>
          </cell>
        </row>
      </sheetData>
      <sheetData sheetId="13225">
        <row r="7">
          <cell r="AI7">
            <v>10000</v>
          </cell>
        </row>
      </sheetData>
      <sheetData sheetId="13226">
        <row r="7">
          <cell r="AI7">
            <v>10000</v>
          </cell>
        </row>
      </sheetData>
      <sheetData sheetId="13227">
        <row r="7">
          <cell r="AI7">
            <v>10000</v>
          </cell>
        </row>
      </sheetData>
      <sheetData sheetId="13228">
        <row r="7">
          <cell r="AI7">
            <v>10000</v>
          </cell>
        </row>
      </sheetData>
      <sheetData sheetId="13229">
        <row r="7">
          <cell r="AI7">
            <v>10000</v>
          </cell>
        </row>
      </sheetData>
      <sheetData sheetId="13230">
        <row r="7">
          <cell r="AI7">
            <v>10000</v>
          </cell>
        </row>
      </sheetData>
      <sheetData sheetId="13231">
        <row r="7">
          <cell r="AI7">
            <v>10000</v>
          </cell>
        </row>
      </sheetData>
      <sheetData sheetId="13232">
        <row r="7">
          <cell r="AI7">
            <v>10000</v>
          </cell>
        </row>
      </sheetData>
      <sheetData sheetId="13233">
        <row r="7">
          <cell r="AI7">
            <v>10000</v>
          </cell>
        </row>
      </sheetData>
      <sheetData sheetId="13234">
        <row r="7">
          <cell r="AI7">
            <v>10000</v>
          </cell>
        </row>
      </sheetData>
      <sheetData sheetId="13235">
        <row r="7">
          <cell r="AI7">
            <v>10000</v>
          </cell>
        </row>
      </sheetData>
      <sheetData sheetId="13236">
        <row r="7">
          <cell r="AI7">
            <v>10000</v>
          </cell>
        </row>
      </sheetData>
      <sheetData sheetId="13237">
        <row r="7">
          <cell r="AI7">
            <v>10000</v>
          </cell>
        </row>
      </sheetData>
      <sheetData sheetId="13238">
        <row r="7">
          <cell r="AI7">
            <v>10000</v>
          </cell>
        </row>
      </sheetData>
      <sheetData sheetId="13239">
        <row r="7">
          <cell r="AI7">
            <v>10000</v>
          </cell>
        </row>
      </sheetData>
      <sheetData sheetId="13240">
        <row r="7">
          <cell r="AI7">
            <v>10000</v>
          </cell>
        </row>
      </sheetData>
      <sheetData sheetId="13241">
        <row r="7">
          <cell r="AI7">
            <v>10000</v>
          </cell>
        </row>
      </sheetData>
      <sheetData sheetId="13242">
        <row r="7">
          <cell r="AI7">
            <v>10000</v>
          </cell>
        </row>
      </sheetData>
      <sheetData sheetId="13243">
        <row r="7">
          <cell r="AI7">
            <v>10000</v>
          </cell>
        </row>
      </sheetData>
      <sheetData sheetId="13244">
        <row r="7">
          <cell r="AI7">
            <v>10000</v>
          </cell>
        </row>
      </sheetData>
      <sheetData sheetId="13245">
        <row r="7">
          <cell r="AI7">
            <v>10000</v>
          </cell>
        </row>
      </sheetData>
      <sheetData sheetId="13246">
        <row r="7">
          <cell r="AI7">
            <v>10000</v>
          </cell>
        </row>
      </sheetData>
      <sheetData sheetId="13247">
        <row r="7">
          <cell r="AI7">
            <v>10000</v>
          </cell>
        </row>
      </sheetData>
      <sheetData sheetId="13248">
        <row r="7">
          <cell r="AI7">
            <v>10000</v>
          </cell>
        </row>
      </sheetData>
      <sheetData sheetId="13249">
        <row r="7">
          <cell r="AI7">
            <v>10000</v>
          </cell>
        </row>
      </sheetData>
      <sheetData sheetId="13250">
        <row r="7">
          <cell r="AI7">
            <v>10000</v>
          </cell>
        </row>
      </sheetData>
      <sheetData sheetId="13251">
        <row r="7">
          <cell r="AI7">
            <v>10000</v>
          </cell>
        </row>
      </sheetData>
      <sheetData sheetId="13252">
        <row r="7">
          <cell r="AI7">
            <v>10000</v>
          </cell>
        </row>
      </sheetData>
      <sheetData sheetId="13253">
        <row r="7">
          <cell r="AI7">
            <v>10000</v>
          </cell>
        </row>
      </sheetData>
      <sheetData sheetId="13254">
        <row r="7">
          <cell r="AI7">
            <v>10000</v>
          </cell>
        </row>
      </sheetData>
      <sheetData sheetId="13255">
        <row r="7">
          <cell r="AI7">
            <v>10000</v>
          </cell>
        </row>
      </sheetData>
      <sheetData sheetId="13256">
        <row r="7">
          <cell r="AI7">
            <v>10000</v>
          </cell>
        </row>
      </sheetData>
      <sheetData sheetId="13257">
        <row r="7">
          <cell r="AI7">
            <v>10000</v>
          </cell>
        </row>
      </sheetData>
      <sheetData sheetId="13258">
        <row r="7">
          <cell r="AI7">
            <v>10000</v>
          </cell>
        </row>
      </sheetData>
      <sheetData sheetId="13259">
        <row r="7">
          <cell r="AI7">
            <v>10000</v>
          </cell>
        </row>
      </sheetData>
      <sheetData sheetId="13260">
        <row r="7">
          <cell r="AI7">
            <v>10000</v>
          </cell>
        </row>
      </sheetData>
      <sheetData sheetId="13261">
        <row r="7">
          <cell r="AI7">
            <v>10000</v>
          </cell>
        </row>
      </sheetData>
      <sheetData sheetId="13262">
        <row r="7">
          <cell r="AI7">
            <v>10000</v>
          </cell>
        </row>
      </sheetData>
      <sheetData sheetId="13263">
        <row r="7">
          <cell r="AI7">
            <v>10000</v>
          </cell>
        </row>
      </sheetData>
      <sheetData sheetId="13264">
        <row r="7">
          <cell r="AI7">
            <v>10000</v>
          </cell>
        </row>
      </sheetData>
      <sheetData sheetId="13265">
        <row r="7">
          <cell r="AI7">
            <v>10000</v>
          </cell>
        </row>
      </sheetData>
      <sheetData sheetId="13266">
        <row r="7">
          <cell r="AI7">
            <v>10000</v>
          </cell>
        </row>
      </sheetData>
      <sheetData sheetId="13267">
        <row r="7">
          <cell r="AI7">
            <v>10000</v>
          </cell>
        </row>
      </sheetData>
      <sheetData sheetId="13268">
        <row r="7">
          <cell r="AI7">
            <v>10000</v>
          </cell>
        </row>
      </sheetData>
      <sheetData sheetId="13269">
        <row r="7">
          <cell r="AI7">
            <v>10000</v>
          </cell>
        </row>
      </sheetData>
      <sheetData sheetId="13270">
        <row r="7">
          <cell r="AI7">
            <v>10000</v>
          </cell>
        </row>
      </sheetData>
      <sheetData sheetId="13271">
        <row r="7">
          <cell r="AI7">
            <v>10000</v>
          </cell>
        </row>
      </sheetData>
      <sheetData sheetId="13272">
        <row r="7">
          <cell r="AI7">
            <v>10000</v>
          </cell>
        </row>
      </sheetData>
      <sheetData sheetId="13273">
        <row r="7">
          <cell r="AI7">
            <v>10000</v>
          </cell>
        </row>
      </sheetData>
      <sheetData sheetId="13274">
        <row r="7">
          <cell r="AI7">
            <v>10000</v>
          </cell>
        </row>
      </sheetData>
      <sheetData sheetId="13275">
        <row r="7">
          <cell r="AI7">
            <v>10000</v>
          </cell>
        </row>
      </sheetData>
      <sheetData sheetId="13276">
        <row r="7">
          <cell r="AI7">
            <v>10000</v>
          </cell>
        </row>
      </sheetData>
      <sheetData sheetId="13277">
        <row r="7">
          <cell r="AI7">
            <v>10000</v>
          </cell>
        </row>
      </sheetData>
      <sheetData sheetId="13278">
        <row r="7">
          <cell r="AI7">
            <v>10000</v>
          </cell>
        </row>
      </sheetData>
      <sheetData sheetId="13279">
        <row r="7">
          <cell r="AI7">
            <v>10000</v>
          </cell>
        </row>
      </sheetData>
      <sheetData sheetId="13280">
        <row r="7">
          <cell r="AI7">
            <v>10000</v>
          </cell>
        </row>
      </sheetData>
      <sheetData sheetId="13281">
        <row r="7">
          <cell r="AI7">
            <v>10000</v>
          </cell>
        </row>
      </sheetData>
      <sheetData sheetId="13282">
        <row r="7">
          <cell r="AI7">
            <v>10000</v>
          </cell>
        </row>
      </sheetData>
      <sheetData sheetId="13283">
        <row r="7">
          <cell r="AI7">
            <v>10000</v>
          </cell>
        </row>
      </sheetData>
      <sheetData sheetId="13284">
        <row r="7">
          <cell r="AI7">
            <v>10000</v>
          </cell>
        </row>
      </sheetData>
      <sheetData sheetId="13285">
        <row r="7">
          <cell r="AI7">
            <v>10000</v>
          </cell>
        </row>
      </sheetData>
      <sheetData sheetId="13286">
        <row r="7">
          <cell r="AI7">
            <v>10000</v>
          </cell>
        </row>
      </sheetData>
      <sheetData sheetId="13287">
        <row r="7">
          <cell r="AI7">
            <v>10000</v>
          </cell>
        </row>
      </sheetData>
      <sheetData sheetId="13288">
        <row r="7">
          <cell r="AI7">
            <v>10000</v>
          </cell>
        </row>
      </sheetData>
      <sheetData sheetId="13289">
        <row r="7">
          <cell r="AI7">
            <v>10000</v>
          </cell>
        </row>
      </sheetData>
      <sheetData sheetId="13290">
        <row r="7">
          <cell r="AI7">
            <v>10000</v>
          </cell>
        </row>
      </sheetData>
      <sheetData sheetId="13291">
        <row r="7">
          <cell r="AI7">
            <v>10000</v>
          </cell>
        </row>
      </sheetData>
      <sheetData sheetId="13292">
        <row r="7">
          <cell r="AI7">
            <v>10000</v>
          </cell>
        </row>
      </sheetData>
      <sheetData sheetId="13293">
        <row r="7">
          <cell r="AI7">
            <v>10000</v>
          </cell>
        </row>
      </sheetData>
      <sheetData sheetId="13294">
        <row r="7">
          <cell r="AI7">
            <v>10000</v>
          </cell>
        </row>
      </sheetData>
      <sheetData sheetId="13295">
        <row r="7">
          <cell r="AI7">
            <v>10000</v>
          </cell>
        </row>
      </sheetData>
      <sheetData sheetId="13296">
        <row r="7">
          <cell r="AI7">
            <v>10000</v>
          </cell>
        </row>
      </sheetData>
      <sheetData sheetId="13297">
        <row r="7">
          <cell r="AI7">
            <v>10000</v>
          </cell>
        </row>
      </sheetData>
      <sheetData sheetId="13298">
        <row r="7">
          <cell r="AI7">
            <v>10000</v>
          </cell>
        </row>
      </sheetData>
      <sheetData sheetId="13299">
        <row r="7">
          <cell r="AI7">
            <v>10000</v>
          </cell>
        </row>
      </sheetData>
      <sheetData sheetId="13300">
        <row r="7">
          <cell r="AI7">
            <v>10000</v>
          </cell>
        </row>
      </sheetData>
      <sheetData sheetId="13301">
        <row r="7">
          <cell r="AI7">
            <v>10000</v>
          </cell>
        </row>
      </sheetData>
      <sheetData sheetId="13302">
        <row r="7">
          <cell r="AI7">
            <v>10000</v>
          </cell>
        </row>
      </sheetData>
      <sheetData sheetId="13303">
        <row r="7">
          <cell r="AI7">
            <v>10000</v>
          </cell>
        </row>
      </sheetData>
      <sheetData sheetId="13304">
        <row r="7">
          <cell r="AI7">
            <v>10000</v>
          </cell>
        </row>
      </sheetData>
      <sheetData sheetId="13305">
        <row r="7">
          <cell r="AI7">
            <v>10000</v>
          </cell>
        </row>
      </sheetData>
      <sheetData sheetId="13306">
        <row r="7">
          <cell r="AI7">
            <v>10000</v>
          </cell>
        </row>
      </sheetData>
      <sheetData sheetId="13307">
        <row r="7">
          <cell r="AI7">
            <v>10000</v>
          </cell>
        </row>
      </sheetData>
      <sheetData sheetId="13308">
        <row r="7">
          <cell r="AI7">
            <v>10000</v>
          </cell>
        </row>
      </sheetData>
      <sheetData sheetId="13309">
        <row r="7">
          <cell r="AI7">
            <v>10000</v>
          </cell>
        </row>
      </sheetData>
      <sheetData sheetId="13310">
        <row r="7">
          <cell r="AI7">
            <v>10000</v>
          </cell>
        </row>
      </sheetData>
      <sheetData sheetId="13311">
        <row r="7">
          <cell r="AI7">
            <v>10000</v>
          </cell>
        </row>
      </sheetData>
      <sheetData sheetId="13312">
        <row r="7">
          <cell r="AI7">
            <v>10000</v>
          </cell>
        </row>
      </sheetData>
      <sheetData sheetId="13313">
        <row r="7">
          <cell r="AI7">
            <v>10000</v>
          </cell>
        </row>
      </sheetData>
      <sheetData sheetId="13314">
        <row r="7">
          <cell r="AI7">
            <v>10000</v>
          </cell>
        </row>
      </sheetData>
      <sheetData sheetId="13315">
        <row r="7">
          <cell r="AI7">
            <v>10000</v>
          </cell>
        </row>
      </sheetData>
      <sheetData sheetId="13316">
        <row r="7">
          <cell r="AI7">
            <v>10000</v>
          </cell>
        </row>
      </sheetData>
      <sheetData sheetId="13317">
        <row r="7">
          <cell r="AI7">
            <v>10000</v>
          </cell>
        </row>
      </sheetData>
      <sheetData sheetId="13318">
        <row r="7">
          <cell r="AI7">
            <v>10000</v>
          </cell>
        </row>
      </sheetData>
      <sheetData sheetId="13319">
        <row r="7">
          <cell r="AI7">
            <v>10000</v>
          </cell>
        </row>
      </sheetData>
      <sheetData sheetId="13320">
        <row r="7">
          <cell r="AI7">
            <v>10000</v>
          </cell>
        </row>
      </sheetData>
      <sheetData sheetId="13321">
        <row r="7">
          <cell r="AI7">
            <v>10000</v>
          </cell>
        </row>
      </sheetData>
      <sheetData sheetId="13322">
        <row r="7">
          <cell r="AI7">
            <v>10000</v>
          </cell>
        </row>
      </sheetData>
      <sheetData sheetId="13323">
        <row r="7">
          <cell r="AI7">
            <v>10000</v>
          </cell>
        </row>
      </sheetData>
      <sheetData sheetId="13324">
        <row r="7">
          <cell r="AI7">
            <v>10000</v>
          </cell>
        </row>
      </sheetData>
      <sheetData sheetId="13325">
        <row r="7">
          <cell r="AI7">
            <v>10000</v>
          </cell>
        </row>
      </sheetData>
      <sheetData sheetId="13326">
        <row r="7">
          <cell r="AI7">
            <v>10000</v>
          </cell>
        </row>
      </sheetData>
      <sheetData sheetId="13327">
        <row r="7">
          <cell r="AI7">
            <v>10000</v>
          </cell>
        </row>
      </sheetData>
      <sheetData sheetId="13328">
        <row r="7">
          <cell r="AI7">
            <v>10000</v>
          </cell>
        </row>
      </sheetData>
      <sheetData sheetId="13329">
        <row r="7">
          <cell r="AI7">
            <v>10000</v>
          </cell>
        </row>
      </sheetData>
      <sheetData sheetId="13330">
        <row r="7">
          <cell r="AI7">
            <v>10000</v>
          </cell>
        </row>
      </sheetData>
      <sheetData sheetId="13331">
        <row r="7">
          <cell r="AI7">
            <v>10000</v>
          </cell>
        </row>
      </sheetData>
      <sheetData sheetId="13332">
        <row r="7">
          <cell r="AI7">
            <v>10000</v>
          </cell>
        </row>
      </sheetData>
      <sheetData sheetId="13333">
        <row r="7">
          <cell r="AI7">
            <v>10000</v>
          </cell>
        </row>
      </sheetData>
      <sheetData sheetId="13334">
        <row r="7">
          <cell r="AI7">
            <v>10000</v>
          </cell>
        </row>
      </sheetData>
      <sheetData sheetId="13335">
        <row r="7">
          <cell r="AI7">
            <v>10000</v>
          </cell>
        </row>
      </sheetData>
      <sheetData sheetId="13336">
        <row r="7">
          <cell r="AI7">
            <v>10000</v>
          </cell>
        </row>
      </sheetData>
      <sheetData sheetId="13337">
        <row r="7">
          <cell r="AI7">
            <v>10000</v>
          </cell>
        </row>
      </sheetData>
      <sheetData sheetId="13338">
        <row r="7">
          <cell r="AI7">
            <v>10000</v>
          </cell>
        </row>
      </sheetData>
      <sheetData sheetId="13339">
        <row r="7">
          <cell r="AI7">
            <v>10000</v>
          </cell>
        </row>
      </sheetData>
      <sheetData sheetId="13340">
        <row r="7">
          <cell r="AI7">
            <v>10000</v>
          </cell>
        </row>
      </sheetData>
      <sheetData sheetId="13341">
        <row r="7">
          <cell r="AI7">
            <v>10000</v>
          </cell>
        </row>
      </sheetData>
      <sheetData sheetId="13342">
        <row r="7">
          <cell r="AI7">
            <v>10000</v>
          </cell>
        </row>
      </sheetData>
      <sheetData sheetId="13343">
        <row r="7">
          <cell r="AI7">
            <v>10000</v>
          </cell>
        </row>
      </sheetData>
      <sheetData sheetId="13344">
        <row r="7">
          <cell r="AI7">
            <v>10000</v>
          </cell>
        </row>
      </sheetData>
      <sheetData sheetId="13345">
        <row r="7">
          <cell r="AI7">
            <v>10000</v>
          </cell>
        </row>
      </sheetData>
      <sheetData sheetId="13346">
        <row r="7">
          <cell r="AI7">
            <v>10000</v>
          </cell>
        </row>
      </sheetData>
      <sheetData sheetId="13347">
        <row r="7">
          <cell r="AI7">
            <v>10000</v>
          </cell>
        </row>
      </sheetData>
      <sheetData sheetId="13348">
        <row r="7">
          <cell r="AI7">
            <v>10000</v>
          </cell>
        </row>
      </sheetData>
      <sheetData sheetId="13349">
        <row r="7">
          <cell r="AI7">
            <v>10000</v>
          </cell>
        </row>
      </sheetData>
      <sheetData sheetId="13350">
        <row r="7">
          <cell r="AI7">
            <v>10000</v>
          </cell>
        </row>
      </sheetData>
      <sheetData sheetId="13351">
        <row r="7">
          <cell r="AI7">
            <v>10000</v>
          </cell>
        </row>
      </sheetData>
      <sheetData sheetId="13352">
        <row r="7">
          <cell r="AI7">
            <v>10000</v>
          </cell>
        </row>
      </sheetData>
      <sheetData sheetId="13353">
        <row r="7">
          <cell r="AI7">
            <v>10000</v>
          </cell>
        </row>
      </sheetData>
      <sheetData sheetId="13354">
        <row r="7">
          <cell r="AI7">
            <v>10000</v>
          </cell>
        </row>
      </sheetData>
      <sheetData sheetId="13355">
        <row r="7">
          <cell r="AI7">
            <v>10000</v>
          </cell>
        </row>
      </sheetData>
      <sheetData sheetId="13356">
        <row r="7">
          <cell r="AI7">
            <v>10000</v>
          </cell>
        </row>
      </sheetData>
      <sheetData sheetId="13357">
        <row r="7">
          <cell r="AI7">
            <v>10000</v>
          </cell>
        </row>
      </sheetData>
      <sheetData sheetId="13358">
        <row r="7">
          <cell r="AI7">
            <v>10000</v>
          </cell>
        </row>
      </sheetData>
      <sheetData sheetId="13359">
        <row r="7">
          <cell r="AI7">
            <v>10000</v>
          </cell>
        </row>
      </sheetData>
      <sheetData sheetId="13360">
        <row r="7">
          <cell r="AI7">
            <v>10000</v>
          </cell>
        </row>
      </sheetData>
      <sheetData sheetId="13361">
        <row r="7">
          <cell r="AI7">
            <v>10000</v>
          </cell>
        </row>
      </sheetData>
      <sheetData sheetId="13362">
        <row r="7">
          <cell r="AI7">
            <v>10000</v>
          </cell>
        </row>
      </sheetData>
      <sheetData sheetId="13363">
        <row r="7">
          <cell r="AI7">
            <v>10000</v>
          </cell>
        </row>
      </sheetData>
      <sheetData sheetId="13364">
        <row r="7">
          <cell r="AI7">
            <v>10000</v>
          </cell>
        </row>
      </sheetData>
      <sheetData sheetId="13365">
        <row r="7">
          <cell r="AI7">
            <v>10000</v>
          </cell>
        </row>
      </sheetData>
      <sheetData sheetId="13366">
        <row r="7">
          <cell r="AI7">
            <v>10000</v>
          </cell>
        </row>
      </sheetData>
      <sheetData sheetId="13367">
        <row r="7">
          <cell r="AI7">
            <v>10000</v>
          </cell>
        </row>
      </sheetData>
      <sheetData sheetId="13368">
        <row r="7">
          <cell r="AI7">
            <v>10000</v>
          </cell>
        </row>
      </sheetData>
      <sheetData sheetId="13369">
        <row r="7">
          <cell r="AI7">
            <v>10000</v>
          </cell>
        </row>
      </sheetData>
      <sheetData sheetId="13370">
        <row r="7">
          <cell r="AI7">
            <v>10000</v>
          </cell>
        </row>
      </sheetData>
      <sheetData sheetId="13371">
        <row r="7">
          <cell r="AI7">
            <v>10000</v>
          </cell>
        </row>
      </sheetData>
      <sheetData sheetId="13372">
        <row r="7">
          <cell r="AI7">
            <v>10000</v>
          </cell>
        </row>
      </sheetData>
      <sheetData sheetId="13373">
        <row r="7">
          <cell r="AI7">
            <v>10000</v>
          </cell>
        </row>
      </sheetData>
      <sheetData sheetId="13374">
        <row r="7">
          <cell r="AI7">
            <v>10000</v>
          </cell>
        </row>
      </sheetData>
      <sheetData sheetId="13375">
        <row r="7">
          <cell r="AI7">
            <v>10000</v>
          </cell>
        </row>
      </sheetData>
      <sheetData sheetId="13376">
        <row r="7">
          <cell r="AI7">
            <v>10000</v>
          </cell>
        </row>
      </sheetData>
      <sheetData sheetId="13377">
        <row r="7">
          <cell r="AI7">
            <v>10000</v>
          </cell>
        </row>
      </sheetData>
      <sheetData sheetId="13378">
        <row r="7">
          <cell r="AI7">
            <v>10000</v>
          </cell>
        </row>
      </sheetData>
      <sheetData sheetId="13379">
        <row r="7">
          <cell r="AI7">
            <v>10000</v>
          </cell>
        </row>
      </sheetData>
      <sheetData sheetId="13380">
        <row r="7">
          <cell r="AI7">
            <v>10000</v>
          </cell>
        </row>
      </sheetData>
      <sheetData sheetId="13381">
        <row r="7">
          <cell r="AI7">
            <v>10000</v>
          </cell>
        </row>
      </sheetData>
      <sheetData sheetId="13382">
        <row r="7">
          <cell r="AI7">
            <v>10000</v>
          </cell>
        </row>
      </sheetData>
      <sheetData sheetId="13383">
        <row r="7">
          <cell r="AI7">
            <v>10000</v>
          </cell>
        </row>
      </sheetData>
      <sheetData sheetId="13384">
        <row r="7">
          <cell r="AI7">
            <v>10000</v>
          </cell>
        </row>
      </sheetData>
      <sheetData sheetId="13385">
        <row r="7">
          <cell r="AI7">
            <v>10000</v>
          </cell>
        </row>
      </sheetData>
      <sheetData sheetId="13386">
        <row r="7">
          <cell r="AI7">
            <v>10000</v>
          </cell>
        </row>
      </sheetData>
      <sheetData sheetId="13387">
        <row r="7">
          <cell r="AI7">
            <v>10000</v>
          </cell>
        </row>
      </sheetData>
      <sheetData sheetId="13388">
        <row r="7">
          <cell r="AI7">
            <v>10000</v>
          </cell>
        </row>
      </sheetData>
      <sheetData sheetId="13389">
        <row r="7">
          <cell r="AI7">
            <v>10000</v>
          </cell>
        </row>
      </sheetData>
      <sheetData sheetId="13390">
        <row r="7">
          <cell r="AI7">
            <v>10000</v>
          </cell>
        </row>
      </sheetData>
      <sheetData sheetId="13391">
        <row r="7">
          <cell r="AI7">
            <v>10000</v>
          </cell>
        </row>
      </sheetData>
      <sheetData sheetId="13392">
        <row r="7">
          <cell r="AI7">
            <v>10000</v>
          </cell>
        </row>
      </sheetData>
      <sheetData sheetId="13393">
        <row r="7">
          <cell r="AI7">
            <v>10000</v>
          </cell>
        </row>
      </sheetData>
      <sheetData sheetId="13394">
        <row r="7">
          <cell r="AI7">
            <v>10000</v>
          </cell>
        </row>
      </sheetData>
      <sheetData sheetId="13395">
        <row r="7">
          <cell r="AI7">
            <v>10000</v>
          </cell>
        </row>
      </sheetData>
      <sheetData sheetId="13396">
        <row r="7">
          <cell r="AI7">
            <v>10000</v>
          </cell>
        </row>
      </sheetData>
      <sheetData sheetId="13397">
        <row r="7">
          <cell r="AI7">
            <v>10000</v>
          </cell>
        </row>
      </sheetData>
      <sheetData sheetId="13398">
        <row r="7">
          <cell r="AI7">
            <v>10000</v>
          </cell>
        </row>
      </sheetData>
      <sheetData sheetId="13399">
        <row r="7">
          <cell r="AI7">
            <v>10000</v>
          </cell>
        </row>
      </sheetData>
      <sheetData sheetId="13400">
        <row r="7">
          <cell r="AI7">
            <v>10000</v>
          </cell>
        </row>
      </sheetData>
      <sheetData sheetId="13401">
        <row r="7">
          <cell r="AI7">
            <v>10000</v>
          </cell>
        </row>
      </sheetData>
      <sheetData sheetId="13402">
        <row r="7">
          <cell r="AI7">
            <v>10000</v>
          </cell>
        </row>
      </sheetData>
      <sheetData sheetId="13403">
        <row r="7">
          <cell r="AI7">
            <v>10000</v>
          </cell>
        </row>
      </sheetData>
      <sheetData sheetId="13404">
        <row r="7">
          <cell r="AI7">
            <v>10000</v>
          </cell>
        </row>
      </sheetData>
      <sheetData sheetId="13405">
        <row r="7">
          <cell r="AI7">
            <v>10000</v>
          </cell>
        </row>
      </sheetData>
      <sheetData sheetId="13406">
        <row r="7">
          <cell r="AI7">
            <v>10000</v>
          </cell>
        </row>
      </sheetData>
      <sheetData sheetId="13407">
        <row r="7">
          <cell r="AI7">
            <v>10000</v>
          </cell>
        </row>
      </sheetData>
      <sheetData sheetId="13408">
        <row r="7">
          <cell r="AI7">
            <v>10000</v>
          </cell>
        </row>
      </sheetData>
      <sheetData sheetId="13409">
        <row r="7">
          <cell r="AI7">
            <v>10000</v>
          </cell>
        </row>
      </sheetData>
      <sheetData sheetId="13410">
        <row r="7">
          <cell r="AI7">
            <v>10000</v>
          </cell>
        </row>
      </sheetData>
      <sheetData sheetId="13411">
        <row r="7">
          <cell r="AI7">
            <v>10000</v>
          </cell>
        </row>
      </sheetData>
      <sheetData sheetId="13412">
        <row r="7">
          <cell r="AI7">
            <v>10000</v>
          </cell>
        </row>
      </sheetData>
      <sheetData sheetId="13413">
        <row r="7">
          <cell r="AI7">
            <v>10000</v>
          </cell>
        </row>
      </sheetData>
      <sheetData sheetId="13414">
        <row r="7">
          <cell r="AI7">
            <v>10000</v>
          </cell>
        </row>
      </sheetData>
      <sheetData sheetId="13415">
        <row r="7">
          <cell r="AI7">
            <v>10000</v>
          </cell>
        </row>
      </sheetData>
      <sheetData sheetId="13416">
        <row r="7">
          <cell r="AI7">
            <v>10000</v>
          </cell>
        </row>
      </sheetData>
      <sheetData sheetId="13417">
        <row r="7">
          <cell r="AI7">
            <v>10000</v>
          </cell>
        </row>
      </sheetData>
      <sheetData sheetId="13418">
        <row r="7">
          <cell r="AI7">
            <v>10000</v>
          </cell>
        </row>
      </sheetData>
      <sheetData sheetId="13419">
        <row r="7">
          <cell r="AI7">
            <v>10000</v>
          </cell>
        </row>
      </sheetData>
      <sheetData sheetId="13420">
        <row r="7">
          <cell r="AI7">
            <v>10000</v>
          </cell>
        </row>
      </sheetData>
      <sheetData sheetId="13421">
        <row r="7">
          <cell r="AI7">
            <v>10000</v>
          </cell>
        </row>
      </sheetData>
      <sheetData sheetId="13422">
        <row r="7">
          <cell r="AI7">
            <v>10000</v>
          </cell>
        </row>
      </sheetData>
      <sheetData sheetId="13423">
        <row r="7">
          <cell r="AI7">
            <v>10000</v>
          </cell>
        </row>
      </sheetData>
      <sheetData sheetId="13424">
        <row r="7">
          <cell r="AI7">
            <v>10000</v>
          </cell>
        </row>
      </sheetData>
      <sheetData sheetId="13425">
        <row r="7">
          <cell r="AI7">
            <v>10000</v>
          </cell>
        </row>
      </sheetData>
      <sheetData sheetId="13426">
        <row r="7">
          <cell r="AI7">
            <v>10000</v>
          </cell>
        </row>
      </sheetData>
      <sheetData sheetId="13427">
        <row r="7">
          <cell r="AI7">
            <v>10000</v>
          </cell>
        </row>
      </sheetData>
      <sheetData sheetId="13428">
        <row r="7">
          <cell r="AI7">
            <v>10000</v>
          </cell>
        </row>
      </sheetData>
      <sheetData sheetId="13429">
        <row r="7">
          <cell r="AI7">
            <v>10000</v>
          </cell>
        </row>
      </sheetData>
      <sheetData sheetId="13430">
        <row r="7">
          <cell r="AI7">
            <v>10000</v>
          </cell>
        </row>
      </sheetData>
      <sheetData sheetId="13431">
        <row r="7">
          <cell r="AI7">
            <v>10000</v>
          </cell>
        </row>
      </sheetData>
      <sheetData sheetId="13432">
        <row r="7">
          <cell r="AI7">
            <v>10000</v>
          </cell>
        </row>
      </sheetData>
      <sheetData sheetId="13433">
        <row r="7">
          <cell r="AI7">
            <v>10000</v>
          </cell>
        </row>
      </sheetData>
      <sheetData sheetId="13434">
        <row r="7">
          <cell r="AI7">
            <v>10000</v>
          </cell>
        </row>
      </sheetData>
      <sheetData sheetId="13435">
        <row r="7">
          <cell r="AI7">
            <v>10000</v>
          </cell>
        </row>
      </sheetData>
      <sheetData sheetId="13436">
        <row r="7">
          <cell r="AI7">
            <v>10000</v>
          </cell>
        </row>
      </sheetData>
      <sheetData sheetId="13437">
        <row r="7">
          <cell r="AI7">
            <v>10000</v>
          </cell>
        </row>
      </sheetData>
      <sheetData sheetId="13438">
        <row r="7">
          <cell r="AI7">
            <v>10000</v>
          </cell>
        </row>
      </sheetData>
      <sheetData sheetId="13439">
        <row r="7">
          <cell r="AI7">
            <v>10000</v>
          </cell>
        </row>
      </sheetData>
      <sheetData sheetId="13440">
        <row r="7">
          <cell r="AI7">
            <v>10000</v>
          </cell>
        </row>
      </sheetData>
      <sheetData sheetId="13441">
        <row r="7">
          <cell r="AI7">
            <v>10000</v>
          </cell>
        </row>
      </sheetData>
      <sheetData sheetId="13442">
        <row r="7">
          <cell r="AI7">
            <v>10000</v>
          </cell>
        </row>
      </sheetData>
      <sheetData sheetId="13443">
        <row r="7">
          <cell r="AI7">
            <v>10000</v>
          </cell>
        </row>
      </sheetData>
      <sheetData sheetId="13444">
        <row r="7">
          <cell r="AI7">
            <v>10000</v>
          </cell>
        </row>
      </sheetData>
      <sheetData sheetId="13445">
        <row r="7">
          <cell r="AI7">
            <v>10000</v>
          </cell>
        </row>
      </sheetData>
      <sheetData sheetId="13446">
        <row r="7">
          <cell r="AI7">
            <v>10000</v>
          </cell>
        </row>
      </sheetData>
      <sheetData sheetId="13447">
        <row r="7">
          <cell r="AI7">
            <v>10000</v>
          </cell>
        </row>
      </sheetData>
      <sheetData sheetId="13448">
        <row r="7">
          <cell r="AI7">
            <v>10000</v>
          </cell>
        </row>
      </sheetData>
      <sheetData sheetId="13449">
        <row r="7">
          <cell r="AI7">
            <v>10000</v>
          </cell>
        </row>
      </sheetData>
      <sheetData sheetId="13450">
        <row r="7">
          <cell r="AI7">
            <v>10000</v>
          </cell>
        </row>
      </sheetData>
      <sheetData sheetId="13451">
        <row r="7">
          <cell r="AI7">
            <v>10000</v>
          </cell>
        </row>
      </sheetData>
      <sheetData sheetId="13452">
        <row r="7">
          <cell r="AI7">
            <v>10000</v>
          </cell>
        </row>
      </sheetData>
      <sheetData sheetId="13453">
        <row r="7">
          <cell r="AI7">
            <v>10000</v>
          </cell>
        </row>
      </sheetData>
      <sheetData sheetId="13454">
        <row r="7">
          <cell r="AI7">
            <v>10000</v>
          </cell>
        </row>
      </sheetData>
      <sheetData sheetId="13455">
        <row r="7">
          <cell r="AI7">
            <v>10000</v>
          </cell>
        </row>
      </sheetData>
      <sheetData sheetId="13456">
        <row r="7">
          <cell r="AI7">
            <v>10000</v>
          </cell>
        </row>
      </sheetData>
      <sheetData sheetId="13457">
        <row r="7">
          <cell r="AI7">
            <v>10000</v>
          </cell>
        </row>
      </sheetData>
      <sheetData sheetId="13458">
        <row r="7">
          <cell r="AI7">
            <v>10000</v>
          </cell>
        </row>
      </sheetData>
      <sheetData sheetId="13459">
        <row r="7">
          <cell r="AI7">
            <v>10000</v>
          </cell>
        </row>
      </sheetData>
      <sheetData sheetId="13460">
        <row r="7">
          <cell r="AI7">
            <v>10000</v>
          </cell>
        </row>
      </sheetData>
      <sheetData sheetId="13461">
        <row r="7">
          <cell r="AI7">
            <v>10000</v>
          </cell>
        </row>
      </sheetData>
      <sheetData sheetId="13462">
        <row r="7">
          <cell r="AI7">
            <v>10000</v>
          </cell>
        </row>
      </sheetData>
      <sheetData sheetId="13463">
        <row r="7">
          <cell r="AI7">
            <v>10000</v>
          </cell>
        </row>
      </sheetData>
      <sheetData sheetId="13464">
        <row r="7">
          <cell r="AI7">
            <v>10000</v>
          </cell>
        </row>
      </sheetData>
      <sheetData sheetId="13465">
        <row r="7">
          <cell r="AI7">
            <v>10000</v>
          </cell>
        </row>
      </sheetData>
      <sheetData sheetId="13466">
        <row r="7">
          <cell r="AI7">
            <v>10000</v>
          </cell>
        </row>
      </sheetData>
      <sheetData sheetId="13467">
        <row r="7">
          <cell r="AI7">
            <v>10000</v>
          </cell>
        </row>
      </sheetData>
      <sheetData sheetId="13468">
        <row r="7">
          <cell r="AI7">
            <v>10000</v>
          </cell>
        </row>
      </sheetData>
      <sheetData sheetId="13469">
        <row r="7">
          <cell r="AI7">
            <v>10000</v>
          </cell>
        </row>
      </sheetData>
      <sheetData sheetId="13470">
        <row r="7">
          <cell r="AI7">
            <v>10000</v>
          </cell>
        </row>
      </sheetData>
      <sheetData sheetId="13471">
        <row r="7">
          <cell r="AI7">
            <v>10000</v>
          </cell>
        </row>
      </sheetData>
      <sheetData sheetId="13472">
        <row r="7">
          <cell r="AI7">
            <v>10000</v>
          </cell>
        </row>
      </sheetData>
      <sheetData sheetId="13473">
        <row r="7">
          <cell r="AI7">
            <v>10000</v>
          </cell>
        </row>
      </sheetData>
      <sheetData sheetId="13474">
        <row r="7">
          <cell r="AI7">
            <v>10000</v>
          </cell>
        </row>
      </sheetData>
      <sheetData sheetId="13475">
        <row r="7">
          <cell r="AI7">
            <v>10000</v>
          </cell>
        </row>
      </sheetData>
      <sheetData sheetId="13476">
        <row r="7">
          <cell r="AI7">
            <v>10000</v>
          </cell>
        </row>
      </sheetData>
      <sheetData sheetId="13477">
        <row r="7">
          <cell r="AI7">
            <v>10000</v>
          </cell>
        </row>
      </sheetData>
      <sheetData sheetId="13478">
        <row r="7">
          <cell r="AI7">
            <v>10000</v>
          </cell>
        </row>
      </sheetData>
      <sheetData sheetId="13479">
        <row r="7">
          <cell r="AI7">
            <v>10000</v>
          </cell>
        </row>
      </sheetData>
      <sheetData sheetId="13480">
        <row r="7">
          <cell r="AI7">
            <v>10000</v>
          </cell>
        </row>
      </sheetData>
      <sheetData sheetId="13481">
        <row r="7">
          <cell r="AI7">
            <v>10000</v>
          </cell>
        </row>
      </sheetData>
      <sheetData sheetId="13482">
        <row r="7">
          <cell r="AI7">
            <v>10000</v>
          </cell>
        </row>
      </sheetData>
      <sheetData sheetId="13483">
        <row r="7">
          <cell r="AI7">
            <v>10000</v>
          </cell>
        </row>
      </sheetData>
      <sheetData sheetId="13484">
        <row r="7">
          <cell r="AI7">
            <v>10000</v>
          </cell>
        </row>
      </sheetData>
      <sheetData sheetId="13485">
        <row r="7">
          <cell r="AI7">
            <v>10000</v>
          </cell>
        </row>
      </sheetData>
      <sheetData sheetId="13486">
        <row r="7">
          <cell r="AI7">
            <v>10000</v>
          </cell>
        </row>
      </sheetData>
      <sheetData sheetId="13487">
        <row r="7">
          <cell r="AI7">
            <v>10000</v>
          </cell>
        </row>
      </sheetData>
      <sheetData sheetId="13488">
        <row r="7">
          <cell r="AI7">
            <v>10000</v>
          </cell>
        </row>
      </sheetData>
      <sheetData sheetId="13489">
        <row r="7">
          <cell r="AI7">
            <v>10000</v>
          </cell>
        </row>
      </sheetData>
      <sheetData sheetId="13490">
        <row r="7">
          <cell r="AI7">
            <v>10000</v>
          </cell>
        </row>
      </sheetData>
      <sheetData sheetId="13491">
        <row r="7">
          <cell r="AI7">
            <v>10000</v>
          </cell>
        </row>
      </sheetData>
      <sheetData sheetId="13492">
        <row r="7">
          <cell r="AI7">
            <v>10000</v>
          </cell>
        </row>
      </sheetData>
      <sheetData sheetId="13493">
        <row r="7">
          <cell r="AI7">
            <v>10000</v>
          </cell>
        </row>
      </sheetData>
      <sheetData sheetId="13494">
        <row r="7">
          <cell r="AI7">
            <v>10000</v>
          </cell>
        </row>
      </sheetData>
      <sheetData sheetId="13495">
        <row r="7">
          <cell r="AI7">
            <v>10000</v>
          </cell>
        </row>
      </sheetData>
      <sheetData sheetId="13496">
        <row r="7">
          <cell r="AI7">
            <v>10000</v>
          </cell>
        </row>
      </sheetData>
      <sheetData sheetId="13497">
        <row r="7">
          <cell r="AI7">
            <v>10000</v>
          </cell>
        </row>
      </sheetData>
      <sheetData sheetId="13498">
        <row r="7">
          <cell r="AI7">
            <v>10000</v>
          </cell>
        </row>
      </sheetData>
      <sheetData sheetId="13499">
        <row r="7">
          <cell r="AI7">
            <v>10000</v>
          </cell>
        </row>
      </sheetData>
      <sheetData sheetId="13500">
        <row r="7">
          <cell r="AI7">
            <v>10000</v>
          </cell>
        </row>
      </sheetData>
      <sheetData sheetId="13501">
        <row r="7">
          <cell r="AI7">
            <v>10000</v>
          </cell>
        </row>
      </sheetData>
      <sheetData sheetId="13502">
        <row r="7">
          <cell r="AI7">
            <v>10000</v>
          </cell>
        </row>
      </sheetData>
      <sheetData sheetId="13503">
        <row r="7">
          <cell r="AI7">
            <v>10000</v>
          </cell>
        </row>
      </sheetData>
      <sheetData sheetId="13504">
        <row r="7">
          <cell r="AI7">
            <v>10000</v>
          </cell>
        </row>
      </sheetData>
      <sheetData sheetId="13505">
        <row r="7">
          <cell r="AI7">
            <v>10000</v>
          </cell>
        </row>
      </sheetData>
      <sheetData sheetId="13506">
        <row r="7">
          <cell r="AI7">
            <v>10000</v>
          </cell>
        </row>
      </sheetData>
      <sheetData sheetId="13507">
        <row r="7">
          <cell r="AI7">
            <v>10000</v>
          </cell>
        </row>
      </sheetData>
      <sheetData sheetId="13508">
        <row r="7">
          <cell r="AI7">
            <v>10000</v>
          </cell>
        </row>
      </sheetData>
      <sheetData sheetId="13509">
        <row r="7">
          <cell r="AI7">
            <v>10000</v>
          </cell>
        </row>
      </sheetData>
      <sheetData sheetId="13510">
        <row r="7">
          <cell r="AI7">
            <v>10000</v>
          </cell>
        </row>
      </sheetData>
      <sheetData sheetId="13511">
        <row r="7">
          <cell r="AI7">
            <v>10000</v>
          </cell>
        </row>
      </sheetData>
      <sheetData sheetId="13512">
        <row r="7">
          <cell r="AI7">
            <v>10000</v>
          </cell>
        </row>
      </sheetData>
      <sheetData sheetId="13513">
        <row r="7">
          <cell r="AI7">
            <v>10000</v>
          </cell>
        </row>
      </sheetData>
      <sheetData sheetId="13514">
        <row r="7">
          <cell r="AI7">
            <v>10000</v>
          </cell>
        </row>
      </sheetData>
      <sheetData sheetId="13515">
        <row r="7">
          <cell r="AI7">
            <v>10000</v>
          </cell>
        </row>
      </sheetData>
      <sheetData sheetId="13516">
        <row r="7">
          <cell r="AI7">
            <v>10000</v>
          </cell>
        </row>
      </sheetData>
      <sheetData sheetId="13517">
        <row r="7">
          <cell r="AI7">
            <v>10000</v>
          </cell>
        </row>
      </sheetData>
      <sheetData sheetId="13518">
        <row r="7">
          <cell r="AI7">
            <v>10000</v>
          </cell>
        </row>
      </sheetData>
      <sheetData sheetId="13519">
        <row r="7">
          <cell r="AI7">
            <v>10000</v>
          </cell>
        </row>
      </sheetData>
      <sheetData sheetId="13520">
        <row r="7">
          <cell r="AI7">
            <v>10000</v>
          </cell>
        </row>
      </sheetData>
      <sheetData sheetId="13521">
        <row r="7">
          <cell r="AI7">
            <v>10000</v>
          </cell>
        </row>
      </sheetData>
      <sheetData sheetId="13522">
        <row r="7">
          <cell r="AI7">
            <v>10000</v>
          </cell>
        </row>
      </sheetData>
      <sheetData sheetId="13523">
        <row r="7">
          <cell r="AI7">
            <v>10000</v>
          </cell>
        </row>
      </sheetData>
      <sheetData sheetId="13524">
        <row r="7">
          <cell r="AI7">
            <v>10000</v>
          </cell>
        </row>
      </sheetData>
      <sheetData sheetId="13525">
        <row r="7">
          <cell r="AI7">
            <v>10000</v>
          </cell>
        </row>
      </sheetData>
      <sheetData sheetId="13526">
        <row r="7">
          <cell r="AI7">
            <v>10000</v>
          </cell>
        </row>
      </sheetData>
      <sheetData sheetId="13527">
        <row r="7">
          <cell r="AI7">
            <v>10000</v>
          </cell>
        </row>
      </sheetData>
      <sheetData sheetId="13528">
        <row r="7">
          <cell r="AI7">
            <v>10000</v>
          </cell>
        </row>
      </sheetData>
      <sheetData sheetId="13529">
        <row r="7">
          <cell r="AI7">
            <v>10000</v>
          </cell>
        </row>
      </sheetData>
      <sheetData sheetId="13530">
        <row r="7">
          <cell r="AI7">
            <v>10000</v>
          </cell>
        </row>
      </sheetData>
      <sheetData sheetId="13531">
        <row r="7">
          <cell r="AI7">
            <v>10000</v>
          </cell>
        </row>
      </sheetData>
      <sheetData sheetId="13532">
        <row r="7">
          <cell r="AI7">
            <v>10000</v>
          </cell>
        </row>
      </sheetData>
      <sheetData sheetId="13533">
        <row r="7">
          <cell r="AI7">
            <v>10000</v>
          </cell>
        </row>
      </sheetData>
      <sheetData sheetId="13534">
        <row r="7">
          <cell r="AI7">
            <v>10000</v>
          </cell>
        </row>
      </sheetData>
      <sheetData sheetId="13535">
        <row r="7">
          <cell r="AI7">
            <v>10000</v>
          </cell>
        </row>
      </sheetData>
      <sheetData sheetId="13536">
        <row r="7">
          <cell r="AI7">
            <v>10000</v>
          </cell>
        </row>
      </sheetData>
      <sheetData sheetId="13537">
        <row r="7">
          <cell r="AI7">
            <v>10000</v>
          </cell>
        </row>
      </sheetData>
      <sheetData sheetId="13538">
        <row r="7">
          <cell r="AI7">
            <v>10000</v>
          </cell>
        </row>
      </sheetData>
      <sheetData sheetId="13539">
        <row r="7">
          <cell r="AI7">
            <v>10000</v>
          </cell>
        </row>
      </sheetData>
      <sheetData sheetId="13540">
        <row r="7">
          <cell r="AI7">
            <v>10000</v>
          </cell>
        </row>
      </sheetData>
      <sheetData sheetId="13541">
        <row r="7">
          <cell r="AI7">
            <v>10000</v>
          </cell>
        </row>
      </sheetData>
      <sheetData sheetId="13542">
        <row r="7">
          <cell r="AI7">
            <v>10000</v>
          </cell>
        </row>
      </sheetData>
      <sheetData sheetId="13543">
        <row r="7">
          <cell r="AI7">
            <v>10000</v>
          </cell>
        </row>
      </sheetData>
      <sheetData sheetId="13544">
        <row r="7">
          <cell r="AI7">
            <v>10000</v>
          </cell>
        </row>
      </sheetData>
      <sheetData sheetId="13545">
        <row r="7">
          <cell r="AI7">
            <v>10000</v>
          </cell>
        </row>
      </sheetData>
      <sheetData sheetId="13546">
        <row r="7">
          <cell r="AI7">
            <v>10000</v>
          </cell>
        </row>
      </sheetData>
      <sheetData sheetId="13547">
        <row r="7">
          <cell r="AI7">
            <v>10000</v>
          </cell>
        </row>
      </sheetData>
      <sheetData sheetId="13548">
        <row r="7">
          <cell r="AI7">
            <v>10000</v>
          </cell>
        </row>
      </sheetData>
      <sheetData sheetId="13549">
        <row r="7">
          <cell r="AI7">
            <v>10000</v>
          </cell>
        </row>
      </sheetData>
      <sheetData sheetId="13550">
        <row r="7">
          <cell r="AI7">
            <v>10000</v>
          </cell>
        </row>
      </sheetData>
      <sheetData sheetId="13551">
        <row r="7">
          <cell r="AI7">
            <v>10000</v>
          </cell>
        </row>
      </sheetData>
      <sheetData sheetId="13552">
        <row r="7">
          <cell r="AI7">
            <v>10000</v>
          </cell>
        </row>
      </sheetData>
      <sheetData sheetId="13553">
        <row r="7">
          <cell r="AI7">
            <v>10000</v>
          </cell>
        </row>
      </sheetData>
      <sheetData sheetId="13554">
        <row r="7">
          <cell r="AI7">
            <v>10000</v>
          </cell>
        </row>
      </sheetData>
      <sheetData sheetId="13555">
        <row r="7">
          <cell r="AI7">
            <v>10000</v>
          </cell>
        </row>
      </sheetData>
      <sheetData sheetId="13556">
        <row r="7">
          <cell r="AI7">
            <v>10000</v>
          </cell>
        </row>
      </sheetData>
      <sheetData sheetId="13557">
        <row r="7">
          <cell r="AI7">
            <v>10000</v>
          </cell>
        </row>
      </sheetData>
      <sheetData sheetId="13558">
        <row r="7">
          <cell r="AI7">
            <v>10000</v>
          </cell>
        </row>
      </sheetData>
      <sheetData sheetId="13559">
        <row r="7">
          <cell r="AI7">
            <v>10000</v>
          </cell>
        </row>
      </sheetData>
      <sheetData sheetId="13560">
        <row r="7">
          <cell r="AI7">
            <v>10000</v>
          </cell>
        </row>
      </sheetData>
      <sheetData sheetId="13561"/>
      <sheetData sheetId="13562"/>
      <sheetData sheetId="13563"/>
      <sheetData sheetId="13564">
        <row r="7">
          <cell r="AI7">
            <v>10000</v>
          </cell>
        </row>
      </sheetData>
      <sheetData sheetId="13565">
        <row r="7">
          <cell r="AI7">
            <v>10000</v>
          </cell>
        </row>
      </sheetData>
      <sheetData sheetId="13566"/>
      <sheetData sheetId="13567">
        <row r="7">
          <cell r="AI7">
            <v>10000</v>
          </cell>
        </row>
      </sheetData>
      <sheetData sheetId="13568">
        <row r="7">
          <cell r="AI7">
            <v>10000</v>
          </cell>
        </row>
      </sheetData>
      <sheetData sheetId="13569">
        <row r="7">
          <cell r="AI7">
            <v>10000</v>
          </cell>
        </row>
      </sheetData>
      <sheetData sheetId="13570">
        <row r="7">
          <cell r="AI7">
            <v>10000</v>
          </cell>
        </row>
      </sheetData>
      <sheetData sheetId="13571">
        <row r="7">
          <cell r="AI7">
            <v>10000</v>
          </cell>
        </row>
      </sheetData>
      <sheetData sheetId="13572">
        <row r="7">
          <cell r="AI7">
            <v>10000</v>
          </cell>
        </row>
      </sheetData>
      <sheetData sheetId="13573">
        <row r="7">
          <cell r="AI7">
            <v>10000</v>
          </cell>
        </row>
      </sheetData>
      <sheetData sheetId="13574">
        <row r="7">
          <cell r="AI7">
            <v>10000</v>
          </cell>
        </row>
      </sheetData>
      <sheetData sheetId="13575">
        <row r="7">
          <cell r="AI7">
            <v>10000</v>
          </cell>
        </row>
      </sheetData>
      <sheetData sheetId="13576">
        <row r="7">
          <cell r="AI7">
            <v>10000</v>
          </cell>
        </row>
      </sheetData>
      <sheetData sheetId="13577">
        <row r="7">
          <cell r="AI7">
            <v>10000</v>
          </cell>
        </row>
      </sheetData>
      <sheetData sheetId="13578">
        <row r="7">
          <cell r="AI7">
            <v>10000</v>
          </cell>
        </row>
      </sheetData>
      <sheetData sheetId="13579">
        <row r="7">
          <cell r="AI7">
            <v>10000</v>
          </cell>
        </row>
      </sheetData>
      <sheetData sheetId="13580">
        <row r="7">
          <cell r="AI7">
            <v>10000</v>
          </cell>
        </row>
      </sheetData>
      <sheetData sheetId="13581"/>
      <sheetData sheetId="13582">
        <row r="7">
          <cell r="AI7">
            <v>10000</v>
          </cell>
        </row>
      </sheetData>
      <sheetData sheetId="13583">
        <row r="7">
          <cell r="AI7">
            <v>10000</v>
          </cell>
        </row>
      </sheetData>
      <sheetData sheetId="13584">
        <row r="7">
          <cell r="AI7">
            <v>10000</v>
          </cell>
        </row>
      </sheetData>
      <sheetData sheetId="13585">
        <row r="7">
          <cell r="AI7">
            <v>10000</v>
          </cell>
        </row>
      </sheetData>
      <sheetData sheetId="13586">
        <row r="7">
          <cell r="AI7">
            <v>10000</v>
          </cell>
        </row>
      </sheetData>
      <sheetData sheetId="13587">
        <row r="7">
          <cell r="AI7">
            <v>10000</v>
          </cell>
        </row>
      </sheetData>
      <sheetData sheetId="13588">
        <row r="7">
          <cell r="AI7">
            <v>10000</v>
          </cell>
        </row>
      </sheetData>
      <sheetData sheetId="13589">
        <row r="7">
          <cell r="AI7">
            <v>10000</v>
          </cell>
        </row>
      </sheetData>
      <sheetData sheetId="13590">
        <row r="7">
          <cell r="AI7">
            <v>10000</v>
          </cell>
        </row>
      </sheetData>
      <sheetData sheetId="13591">
        <row r="7">
          <cell r="AI7">
            <v>10000</v>
          </cell>
        </row>
      </sheetData>
      <sheetData sheetId="13592">
        <row r="7">
          <cell r="AI7">
            <v>10000</v>
          </cell>
        </row>
      </sheetData>
      <sheetData sheetId="13593">
        <row r="7">
          <cell r="AI7">
            <v>10000</v>
          </cell>
        </row>
      </sheetData>
      <sheetData sheetId="13594">
        <row r="7">
          <cell r="AI7">
            <v>10000</v>
          </cell>
        </row>
      </sheetData>
      <sheetData sheetId="13595">
        <row r="7">
          <cell r="AI7">
            <v>10000</v>
          </cell>
        </row>
      </sheetData>
      <sheetData sheetId="13596"/>
      <sheetData sheetId="13597">
        <row r="7">
          <cell r="AI7">
            <v>10000</v>
          </cell>
        </row>
      </sheetData>
      <sheetData sheetId="13598">
        <row r="7">
          <cell r="AI7">
            <v>10000</v>
          </cell>
        </row>
      </sheetData>
      <sheetData sheetId="13599">
        <row r="7">
          <cell r="AI7">
            <v>10000</v>
          </cell>
        </row>
      </sheetData>
      <sheetData sheetId="13600">
        <row r="7">
          <cell r="AI7">
            <v>10000</v>
          </cell>
        </row>
      </sheetData>
      <sheetData sheetId="13601">
        <row r="7">
          <cell r="AI7">
            <v>10000</v>
          </cell>
        </row>
      </sheetData>
      <sheetData sheetId="13602">
        <row r="7">
          <cell r="AI7">
            <v>10000</v>
          </cell>
        </row>
      </sheetData>
      <sheetData sheetId="13603">
        <row r="7">
          <cell r="AI7">
            <v>10000</v>
          </cell>
        </row>
      </sheetData>
      <sheetData sheetId="13604">
        <row r="7">
          <cell r="AI7">
            <v>10000</v>
          </cell>
        </row>
      </sheetData>
      <sheetData sheetId="13605">
        <row r="7">
          <cell r="AI7">
            <v>10000</v>
          </cell>
        </row>
      </sheetData>
      <sheetData sheetId="13606">
        <row r="7">
          <cell r="AI7">
            <v>10000</v>
          </cell>
        </row>
      </sheetData>
      <sheetData sheetId="13607">
        <row r="7">
          <cell r="AI7">
            <v>10000</v>
          </cell>
        </row>
      </sheetData>
      <sheetData sheetId="13608">
        <row r="7">
          <cell r="AI7">
            <v>10000</v>
          </cell>
        </row>
      </sheetData>
      <sheetData sheetId="13609">
        <row r="7">
          <cell r="AI7">
            <v>10000</v>
          </cell>
        </row>
      </sheetData>
      <sheetData sheetId="13610">
        <row r="7">
          <cell r="AI7">
            <v>10000</v>
          </cell>
        </row>
      </sheetData>
      <sheetData sheetId="13611">
        <row r="7">
          <cell r="AI7">
            <v>10000</v>
          </cell>
        </row>
      </sheetData>
      <sheetData sheetId="13612">
        <row r="7">
          <cell r="AI7">
            <v>10000</v>
          </cell>
        </row>
      </sheetData>
      <sheetData sheetId="13613">
        <row r="7">
          <cell r="AI7">
            <v>10000</v>
          </cell>
        </row>
      </sheetData>
      <sheetData sheetId="13614">
        <row r="7">
          <cell r="AI7">
            <v>10000</v>
          </cell>
        </row>
      </sheetData>
      <sheetData sheetId="13615">
        <row r="7">
          <cell r="AI7">
            <v>10000</v>
          </cell>
        </row>
      </sheetData>
      <sheetData sheetId="13616">
        <row r="7">
          <cell r="AI7">
            <v>10000</v>
          </cell>
        </row>
      </sheetData>
      <sheetData sheetId="13617">
        <row r="7">
          <cell r="AI7">
            <v>10000</v>
          </cell>
        </row>
      </sheetData>
      <sheetData sheetId="13618">
        <row r="7">
          <cell r="AI7">
            <v>10000</v>
          </cell>
        </row>
      </sheetData>
      <sheetData sheetId="13619">
        <row r="7">
          <cell r="AI7">
            <v>10000</v>
          </cell>
        </row>
      </sheetData>
      <sheetData sheetId="13620">
        <row r="7">
          <cell r="AI7">
            <v>10000</v>
          </cell>
        </row>
      </sheetData>
      <sheetData sheetId="13621">
        <row r="7">
          <cell r="AI7">
            <v>10000</v>
          </cell>
        </row>
      </sheetData>
      <sheetData sheetId="13622">
        <row r="7">
          <cell r="AI7">
            <v>10000</v>
          </cell>
        </row>
      </sheetData>
      <sheetData sheetId="13623">
        <row r="7">
          <cell r="AI7">
            <v>10000</v>
          </cell>
        </row>
      </sheetData>
      <sheetData sheetId="13624">
        <row r="7">
          <cell r="AI7">
            <v>10000</v>
          </cell>
        </row>
      </sheetData>
      <sheetData sheetId="13625">
        <row r="7">
          <cell r="AI7">
            <v>10000</v>
          </cell>
        </row>
      </sheetData>
      <sheetData sheetId="13626">
        <row r="7">
          <cell r="AI7">
            <v>10000</v>
          </cell>
        </row>
      </sheetData>
      <sheetData sheetId="13627">
        <row r="7">
          <cell r="AI7">
            <v>10000</v>
          </cell>
        </row>
      </sheetData>
      <sheetData sheetId="13628">
        <row r="7">
          <cell r="AI7">
            <v>10000</v>
          </cell>
        </row>
      </sheetData>
      <sheetData sheetId="13629">
        <row r="7">
          <cell r="AI7">
            <v>10000</v>
          </cell>
        </row>
      </sheetData>
      <sheetData sheetId="13630">
        <row r="7">
          <cell r="AI7">
            <v>10000</v>
          </cell>
        </row>
      </sheetData>
      <sheetData sheetId="13631">
        <row r="7">
          <cell r="AI7">
            <v>10000</v>
          </cell>
        </row>
      </sheetData>
      <sheetData sheetId="13632">
        <row r="7">
          <cell r="AI7">
            <v>10000</v>
          </cell>
        </row>
      </sheetData>
      <sheetData sheetId="13633">
        <row r="7">
          <cell r="AI7">
            <v>10000</v>
          </cell>
        </row>
      </sheetData>
      <sheetData sheetId="13634">
        <row r="7">
          <cell r="AI7">
            <v>10000</v>
          </cell>
        </row>
      </sheetData>
      <sheetData sheetId="13635">
        <row r="7">
          <cell r="AI7">
            <v>10000</v>
          </cell>
        </row>
      </sheetData>
      <sheetData sheetId="13636">
        <row r="7">
          <cell r="AI7">
            <v>10000</v>
          </cell>
        </row>
      </sheetData>
      <sheetData sheetId="13637">
        <row r="7">
          <cell r="AI7">
            <v>10000</v>
          </cell>
        </row>
      </sheetData>
      <sheetData sheetId="13638">
        <row r="7">
          <cell r="AI7">
            <v>10000</v>
          </cell>
        </row>
      </sheetData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>
        <row r="7">
          <cell r="AI7">
            <v>10000</v>
          </cell>
        </row>
      </sheetData>
      <sheetData sheetId="13781">
        <row r="7">
          <cell r="AI7">
            <v>10000</v>
          </cell>
        </row>
      </sheetData>
      <sheetData sheetId="13782">
        <row r="7">
          <cell r="AI7">
            <v>10000</v>
          </cell>
        </row>
      </sheetData>
      <sheetData sheetId="13783">
        <row r="7">
          <cell r="AI7">
            <v>10000</v>
          </cell>
        </row>
      </sheetData>
      <sheetData sheetId="13784">
        <row r="7">
          <cell r="AI7">
            <v>10000</v>
          </cell>
        </row>
      </sheetData>
      <sheetData sheetId="13785">
        <row r="7">
          <cell r="AI7">
            <v>10000</v>
          </cell>
        </row>
      </sheetData>
      <sheetData sheetId="13786">
        <row r="7">
          <cell r="AI7">
            <v>10000</v>
          </cell>
        </row>
      </sheetData>
      <sheetData sheetId="13787">
        <row r="7">
          <cell r="AI7">
            <v>10000</v>
          </cell>
        </row>
      </sheetData>
      <sheetData sheetId="13788">
        <row r="7">
          <cell r="AI7">
            <v>10000</v>
          </cell>
        </row>
      </sheetData>
      <sheetData sheetId="13789">
        <row r="7">
          <cell r="AI7">
            <v>10000</v>
          </cell>
        </row>
      </sheetData>
      <sheetData sheetId="13790">
        <row r="7">
          <cell r="AI7">
            <v>10000</v>
          </cell>
        </row>
      </sheetData>
      <sheetData sheetId="13791">
        <row r="7">
          <cell r="AI7">
            <v>10000</v>
          </cell>
        </row>
      </sheetData>
      <sheetData sheetId="13792">
        <row r="7">
          <cell r="AI7">
            <v>10000</v>
          </cell>
        </row>
      </sheetData>
      <sheetData sheetId="13793">
        <row r="7">
          <cell r="AI7">
            <v>10000</v>
          </cell>
        </row>
      </sheetData>
      <sheetData sheetId="13794">
        <row r="7">
          <cell r="AI7">
            <v>10000</v>
          </cell>
        </row>
      </sheetData>
      <sheetData sheetId="13795">
        <row r="7">
          <cell r="AI7">
            <v>10000</v>
          </cell>
        </row>
      </sheetData>
      <sheetData sheetId="13796">
        <row r="7">
          <cell r="AI7">
            <v>10000</v>
          </cell>
        </row>
      </sheetData>
      <sheetData sheetId="13797">
        <row r="7">
          <cell r="AI7">
            <v>10000</v>
          </cell>
        </row>
      </sheetData>
      <sheetData sheetId="13798">
        <row r="7">
          <cell r="AI7">
            <v>10000</v>
          </cell>
        </row>
      </sheetData>
      <sheetData sheetId="13799">
        <row r="7">
          <cell r="AI7">
            <v>10000</v>
          </cell>
        </row>
      </sheetData>
      <sheetData sheetId="13800">
        <row r="7">
          <cell r="AI7">
            <v>10000</v>
          </cell>
        </row>
      </sheetData>
      <sheetData sheetId="13801">
        <row r="7">
          <cell r="AI7">
            <v>10000</v>
          </cell>
        </row>
      </sheetData>
      <sheetData sheetId="13802">
        <row r="7">
          <cell r="AI7">
            <v>10000</v>
          </cell>
        </row>
      </sheetData>
      <sheetData sheetId="13803">
        <row r="7">
          <cell r="AI7">
            <v>10000</v>
          </cell>
        </row>
      </sheetData>
      <sheetData sheetId="13804">
        <row r="7">
          <cell r="AI7">
            <v>10000</v>
          </cell>
        </row>
      </sheetData>
      <sheetData sheetId="13805">
        <row r="7">
          <cell r="AI7">
            <v>10000</v>
          </cell>
        </row>
      </sheetData>
      <sheetData sheetId="13806">
        <row r="7">
          <cell r="AI7">
            <v>10000</v>
          </cell>
        </row>
      </sheetData>
      <sheetData sheetId="13807">
        <row r="7">
          <cell r="AI7">
            <v>10000</v>
          </cell>
        </row>
      </sheetData>
      <sheetData sheetId="13808">
        <row r="7">
          <cell r="AI7">
            <v>10000</v>
          </cell>
        </row>
      </sheetData>
      <sheetData sheetId="13809">
        <row r="7">
          <cell r="AI7">
            <v>10000</v>
          </cell>
        </row>
      </sheetData>
      <sheetData sheetId="13810">
        <row r="7">
          <cell r="AI7">
            <v>10000</v>
          </cell>
        </row>
      </sheetData>
      <sheetData sheetId="13811">
        <row r="7">
          <cell r="AI7">
            <v>10000</v>
          </cell>
        </row>
      </sheetData>
      <sheetData sheetId="13812">
        <row r="7">
          <cell r="AI7">
            <v>10000</v>
          </cell>
        </row>
      </sheetData>
      <sheetData sheetId="13813">
        <row r="7">
          <cell r="AI7">
            <v>10000</v>
          </cell>
        </row>
      </sheetData>
      <sheetData sheetId="13814">
        <row r="7">
          <cell r="AI7">
            <v>10000</v>
          </cell>
        </row>
      </sheetData>
      <sheetData sheetId="13815">
        <row r="7">
          <cell r="AI7">
            <v>10000</v>
          </cell>
        </row>
      </sheetData>
      <sheetData sheetId="13816">
        <row r="7">
          <cell r="AI7">
            <v>10000</v>
          </cell>
        </row>
      </sheetData>
      <sheetData sheetId="13817">
        <row r="7">
          <cell r="AI7">
            <v>10000</v>
          </cell>
        </row>
      </sheetData>
      <sheetData sheetId="13818">
        <row r="7">
          <cell r="AI7">
            <v>10000</v>
          </cell>
        </row>
      </sheetData>
      <sheetData sheetId="13819">
        <row r="7">
          <cell r="AI7">
            <v>10000</v>
          </cell>
        </row>
      </sheetData>
      <sheetData sheetId="13820">
        <row r="7">
          <cell r="AI7">
            <v>10000</v>
          </cell>
        </row>
      </sheetData>
      <sheetData sheetId="13821">
        <row r="7">
          <cell r="AI7">
            <v>10000</v>
          </cell>
        </row>
      </sheetData>
      <sheetData sheetId="13822">
        <row r="7">
          <cell r="AI7">
            <v>10000</v>
          </cell>
        </row>
      </sheetData>
      <sheetData sheetId="13823">
        <row r="7">
          <cell r="AI7">
            <v>10000</v>
          </cell>
        </row>
      </sheetData>
      <sheetData sheetId="13824">
        <row r="7">
          <cell r="AI7">
            <v>10000</v>
          </cell>
        </row>
      </sheetData>
      <sheetData sheetId="13825">
        <row r="7">
          <cell r="AI7">
            <v>10000</v>
          </cell>
        </row>
      </sheetData>
      <sheetData sheetId="13826">
        <row r="7">
          <cell r="AI7">
            <v>10000</v>
          </cell>
        </row>
      </sheetData>
      <sheetData sheetId="13827">
        <row r="7">
          <cell r="AI7">
            <v>10000</v>
          </cell>
        </row>
      </sheetData>
      <sheetData sheetId="13828">
        <row r="7">
          <cell r="AI7">
            <v>10000</v>
          </cell>
        </row>
      </sheetData>
      <sheetData sheetId="13829">
        <row r="7">
          <cell r="AI7">
            <v>10000</v>
          </cell>
        </row>
      </sheetData>
      <sheetData sheetId="13830">
        <row r="7">
          <cell r="AI7">
            <v>10000</v>
          </cell>
        </row>
      </sheetData>
      <sheetData sheetId="13831">
        <row r="7">
          <cell r="AI7">
            <v>10000</v>
          </cell>
        </row>
      </sheetData>
      <sheetData sheetId="13832">
        <row r="7">
          <cell r="AI7">
            <v>10000</v>
          </cell>
        </row>
      </sheetData>
      <sheetData sheetId="13833">
        <row r="7">
          <cell r="AI7">
            <v>10000</v>
          </cell>
        </row>
      </sheetData>
      <sheetData sheetId="13834">
        <row r="7">
          <cell r="AI7">
            <v>10000</v>
          </cell>
        </row>
      </sheetData>
      <sheetData sheetId="13835">
        <row r="7">
          <cell r="AI7">
            <v>10000</v>
          </cell>
        </row>
      </sheetData>
      <sheetData sheetId="13836">
        <row r="7">
          <cell r="AI7">
            <v>10000</v>
          </cell>
        </row>
      </sheetData>
      <sheetData sheetId="13837">
        <row r="7">
          <cell r="AI7">
            <v>10000</v>
          </cell>
        </row>
      </sheetData>
      <sheetData sheetId="13838">
        <row r="7">
          <cell r="AI7">
            <v>10000</v>
          </cell>
        </row>
      </sheetData>
      <sheetData sheetId="13839">
        <row r="7">
          <cell r="AI7">
            <v>10000</v>
          </cell>
        </row>
      </sheetData>
      <sheetData sheetId="13840">
        <row r="7">
          <cell r="AI7">
            <v>10000</v>
          </cell>
        </row>
      </sheetData>
      <sheetData sheetId="13841">
        <row r="7">
          <cell r="AI7">
            <v>10000</v>
          </cell>
        </row>
      </sheetData>
      <sheetData sheetId="13842">
        <row r="7">
          <cell r="AI7">
            <v>10000</v>
          </cell>
        </row>
      </sheetData>
      <sheetData sheetId="13843">
        <row r="7">
          <cell r="AI7">
            <v>10000</v>
          </cell>
        </row>
      </sheetData>
      <sheetData sheetId="13844">
        <row r="7">
          <cell r="AI7">
            <v>10000</v>
          </cell>
        </row>
      </sheetData>
      <sheetData sheetId="13845">
        <row r="7">
          <cell r="AI7">
            <v>10000</v>
          </cell>
        </row>
      </sheetData>
      <sheetData sheetId="13846">
        <row r="7">
          <cell r="AI7">
            <v>10000</v>
          </cell>
        </row>
      </sheetData>
      <sheetData sheetId="13847">
        <row r="7">
          <cell r="AI7">
            <v>10000</v>
          </cell>
        </row>
      </sheetData>
      <sheetData sheetId="13848">
        <row r="7">
          <cell r="AI7">
            <v>10000</v>
          </cell>
        </row>
      </sheetData>
      <sheetData sheetId="13849">
        <row r="7">
          <cell r="AI7">
            <v>10000</v>
          </cell>
        </row>
      </sheetData>
      <sheetData sheetId="13850">
        <row r="7">
          <cell r="AI7">
            <v>10000</v>
          </cell>
        </row>
      </sheetData>
      <sheetData sheetId="13851">
        <row r="7">
          <cell r="AI7">
            <v>10000</v>
          </cell>
        </row>
      </sheetData>
      <sheetData sheetId="13852">
        <row r="7">
          <cell r="AI7">
            <v>10000</v>
          </cell>
        </row>
      </sheetData>
      <sheetData sheetId="13853">
        <row r="7">
          <cell r="AI7">
            <v>10000</v>
          </cell>
        </row>
      </sheetData>
      <sheetData sheetId="13854">
        <row r="7">
          <cell r="AI7">
            <v>10000</v>
          </cell>
        </row>
      </sheetData>
      <sheetData sheetId="13855">
        <row r="7">
          <cell r="AI7">
            <v>10000</v>
          </cell>
        </row>
      </sheetData>
      <sheetData sheetId="13856">
        <row r="7">
          <cell r="AI7">
            <v>10000</v>
          </cell>
        </row>
      </sheetData>
      <sheetData sheetId="13857">
        <row r="7">
          <cell r="AI7">
            <v>10000</v>
          </cell>
        </row>
      </sheetData>
      <sheetData sheetId="13858">
        <row r="7">
          <cell r="AI7">
            <v>10000</v>
          </cell>
        </row>
      </sheetData>
      <sheetData sheetId="13859">
        <row r="7">
          <cell r="AI7">
            <v>10000</v>
          </cell>
        </row>
      </sheetData>
      <sheetData sheetId="13860">
        <row r="7">
          <cell r="AI7">
            <v>10000</v>
          </cell>
        </row>
      </sheetData>
      <sheetData sheetId="13861">
        <row r="7">
          <cell r="AI7">
            <v>10000</v>
          </cell>
        </row>
      </sheetData>
      <sheetData sheetId="13862">
        <row r="7">
          <cell r="AI7">
            <v>10000</v>
          </cell>
        </row>
      </sheetData>
      <sheetData sheetId="13863">
        <row r="7">
          <cell r="AI7">
            <v>10000</v>
          </cell>
        </row>
      </sheetData>
      <sheetData sheetId="13864">
        <row r="7">
          <cell r="AI7">
            <v>10000</v>
          </cell>
        </row>
      </sheetData>
      <sheetData sheetId="13865">
        <row r="7">
          <cell r="AI7">
            <v>10000</v>
          </cell>
        </row>
      </sheetData>
      <sheetData sheetId="13866">
        <row r="7">
          <cell r="AI7">
            <v>10000</v>
          </cell>
        </row>
      </sheetData>
      <sheetData sheetId="13867">
        <row r="7">
          <cell r="AI7">
            <v>10000</v>
          </cell>
        </row>
      </sheetData>
      <sheetData sheetId="13868">
        <row r="7">
          <cell r="AI7">
            <v>10000</v>
          </cell>
        </row>
      </sheetData>
      <sheetData sheetId="13869">
        <row r="7">
          <cell r="AI7">
            <v>10000</v>
          </cell>
        </row>
      </sheetData>
      <sheetData sheetId="13870">
        <row r="7">
          <cell r="AI7">
            <v>10000</v>
          </cell>
        </row>
      </sheetData>
      <sheetData sheetId="13871">
        <row r="7">
          <cell r="AI7">
            <v>10000</v>
          </cell>
        </row>
      </sheetData>
      <sheetData sheetId="13872">
        <row r="7">
          <cell r="AI7">
            <v>10000</v>
          </cell>
        </row>
      </sheetData>
      <sheetData sheetId="13873">
        <row r="7">
          <cell r="AI7">
            <v>10000</v>
          </cell>
        </row>
      </sheetData>
      <sheetData sheetId="13874">
        <row r="7">
          <cell r="AI7">
            <v>10000</v>
          </cell>
        </row>
      </sheetData>
      <sheetData sheetId="13875">
        <row r="7">
          <cell r="AI7">
            <v>10000</v>
          </cell>
        </row>
      </sheetData>
      <sheetData sheetId="13876">
        <row r="7">
          <cell r="AI7">
            <v>10000</v>
          </cell>
        </row>
      </sheetData>
      <sheetData sheetId="13877">
        <row r="7">
          <cell r="AI7">
            <v>10000</v>
          </cell>
        </row>
      </sheetData>
      <sheetData sheetId="13878">
        <row r="7">
          <cell r="AI7">
            <v>10000</v>
          </cell>
        </row>
      </sheetData>
      <sheetData sheetId="13879">
        <row r="7">
          <cell r="AI7">
            <v>10000</v>
          </cell>
        </row>
      </sheetData>
      <sheetData sheetId="13880">
        <row r="7">
          <cell r="AI7">
            <v>10000</v>
          </cell>
        </row>
      </sheetData>
      <sheetData sheetId="13881">
        <row r="7">
          <cell r="AI7">
            <v>10000</v>
          </cell>
        </row>
      </sheetData>
      <sheetData sheetId="13882">
        <row r="7">
          <cell r="AI7">
            <v>10000</v>
          </cell>
        </row>
      </sheetData>
      <sheetData sheetId="13883">
        <row r="7">
          <cell r="AI7">
            <v>10000</v>
          </cell>
        </row>
      </sheetData>
      <sheetData sheetId="13884">
        <row r="7">
          <cell r="AI7">
            <v>10000</v>
          </cell>
        </row>
      </sheetData>
      <sheetData sheetId="13885">
        <row r="7">
          <cell r="AI7">
            <v>10000</v>
          </cell>
        </row>
      </sheetData>
      <sheetData sheetId="13886">
        <row r="7">
          <cell r="AI7">
            <v>10000</v>
          </cell>
        </row>
      </sheetData>
      <sheetData sheetId="13887">
        <row r="7">
          <cell r="AI7">
            <v>10000</v>
          </cell>
        </row>
      </sheetData>
      <sheetData sheetId="13888">
        <row r="7">
          <cell r="AI7">
            <v>10000</v>
          </cell>
        </row>
      </sheetData>
      <sheetData sheetId="13889">
        <row r="7">
          <cell r="AI7">
            <v>10000</v>
          </cell>
        </row>
      </sheetData>
      <sheetData sheetId="13890">
        <row r="7">
          <cell r="AI7">
            <v>10000</v>
          </cell>
        </row>
      </sheetData>
      <sheetData sheetId="13891">
        <row r="7">
          <cell r="AI7">
            <v>10000</v>
          </cell>
        </row>
      </sheetData>
      <sheetData sheetId="13892">
        <row r="7">
          <cell r="AI7">
            <v>10000</v>
          </cell>
        </row>
      </sheetData>
      <sheetData sheetId="13893">
        <row r="7">
          <cell r="AI7">
            <v>10000</v>
          </cell>
        </row>
      </sheetData>
      <sheetData sheetId="13894">
        <row r="7">
          <cell r="AI7">
            <v>10000</v>
          </cell>
        </row>
      </sheetData>
      <sheetData sheetId="13895">
        <row r="7">
          <cell r="AI7">
            <v>10000</v>
          </cell>
        </row>
      </sheetData>
      <sheetData sheetId="13896">
        <row r="7">
          <cell r="AI7">
            <v>10000</v>
          </cell>
        </row>
      </sheetData>
      <sheetData sheetId="13897">
        <row r="7">
          <cell r="AI7">
            <v>10000</v>
          </cell>
        </row>
      </sheetData>
      <sheetData sheetId="13898">
        <row r="7">
          <cell r="AI7">
            <v>10000</v>
          </cell>
        </row>
      </sheetData>
      <sheetData sheetId="13899">
        <row r="7">
          <cell r="AI7">
            <v>10000</v>
          </cell>
        </row>
      </sheetData>
      <sheetData sheetId="13900">
        <row r="7">
          <cell r="AI7">
            <v>10000</v>
          </cell>
        </row>
      </sheetData>
      <sheetData sheetId="13901">
        <row r="7">
          <cell r="AI7">
            <v>10000</v>
          </cell>
        </row>
      </sheetData>
      <sheetData sheetId="13902">
        <row r="7">
          <cell r="AI7">
            <v>10000</v>
          </cell>
        </row>
      </sheetData>
      <sheetData sheetId="13903">
        <row r="7">
          <cell r="AI7">
            <v>10000</v>
          </cell>
        </row>
      </sheetData>
      <sheetData sheetId="13904">
        <row r="7">
          <cell r="AI7">
            <v>10000</v>
          </cell>
        </row>
      </sheetData>
      <sheetData sheetId="13905">
        <row r="7">
          <cell r="AI7">
            <v>10000</v>
          </cell>
        </row>
      </sheetData>
      <sheetData sheetId="13906">
        <row r="7">
          <cell r="AI7">
            <v>10000</v>
          </cell>
        </row>
      </sheetData>
      <sheetData sheetId="13907">
        <row r="7">
          <cell r="AI7">
            <v>10000</v>
          </cell>
        </row>
      </sheetData>
      <sheetData sheetId="13908">
        <row r="7">
          <cell r="AI7">
            <v>10000</v>
          </cell>
        </row>
      </sheetData>
      <sheetData sheetId="13909">
        <row r="7">
          <cell r="AI7">
            <v>10000</v>
          </cell>
        </row>
      </sheetData>
      <sheetData sheetId="13910">
        <row r="7">
          <cell r="AI7">
            <v>10000</v>
          </cell>
        </row>
      </sheetData>
      <sheetData sheetId="13911">
        <row r="7">
          <cell r="AI7">
            <v>10000</v>
          </cell>
        </row>
      </sheetData>
      <sheetData sheetId="13912">
        <row r="7">
          <cell r="AI7">
            <v>10000</v>
          </cell>
        </row>
      </sheetData>
      <sheetData sheetId="13913">
        <row r="7">
          <cell r="AI7">
            <v>10000</v>
          </cell>
        </row>
      </sheetData>
      <sheetData sheetId="13914">
        <row r="7">
          <cell r="AI7">
            <v>10000</v>
          </cell>
        </row>
      </sheetData>
      <sheetData sheetId="13915">
        <row r="7">
          <cell r="AI7">
            <v>10000</v>
          </cell>
        </row>
      </sheetData>
      <sheetData sheetId="13916">
        <row r="7">
          <cell r="AI7">
            <v>10000</v>
          </cell>
        </row>
      </sheetData>
      <sheetData sheetId="13917">
        <row r="7">
          <cell r="AI7">
            <v>10000</v>
          </cell>
        </row>
      </sheetData>
      <sheetData sheetId="13918">
        <row r="7">
          <cell r="AI7">
            <v>10000</v>
          </cell>
        </row>
      </sheetData>
      <sheetData sheetId="13919">
        <row r="7">
          <cell r="AI7">
            <v>10000</v>
          </cell>
        </row>
      </sheetData>
      <sheetData sheetId="13920">
        <row r="7">
          <cell r="AI7">
            <v>10000</v>
          </cell>
        </row>
      </sheetData>
      <sheetData sheetId="13921">
        <row r="7">
          <cell r="AI7">
            <v>10000</v>
          </cell>
        </row>
      </sheetData>
      <sheetData sheetId="13922">
        <row r="7">
          <cell r="AI7">
            <v>10000</v>
          </cell>
        </row>
      </sheetData>
      <sheetData sheetId="13923">
        <row r="7">
          <cell r="AI7">
            <v>10000</v>
          </cell>
        </row>
      </sheetData>
      <sheetData sheetId="13924">
        <row r="7">
          <cell r="AI7">
            <v>10000</v>
          </cell>
        </row>
      </sheetData>
      <sheetData sheetId="13925">
        <row r="7">
          <cell r="AI7">
            <v>10000</v>
          </cell>
        </row>
      </sheetData>
      <sheetData sheetId="13926">
        <row r="7">
          <cell r="AI7">
            <v>10000</v>
          </cell>
        </row>
      </sheetData>
      <sheetData sheetId="13927">
        <row r="7">
          <cell r="AI7">
            <v>10000</v>
          </cell>
        </row>
      </sheetData>
      <sheetData sheetId="13928">
        <row r="7">
          <cell r="AI7">
            <v>10000</v>
          </cell>
        </row>
      </sheetData>
      <sheetData sheetId="13929">
        <row r="7">
          <cell r="AI7">
            <v>10000</v>
          </cell>
        </row>
      </sheetData>
      <sheetData sheetId="13930">
        <row r="7">
          <cell r="AI7">
            <v>10000</v>
          </cell>
        </row>
      </sheetData>
      <sheetData sheetId="13931">
        <row r="7">
          <cell r="AI7">
            <v>10000</v>
          </cell>
        </row>
      </sheetData>
      <sheetData sheetId="13932">
        <row r="7">
          <cell r="AI7">
            <v>10000</v>
          </cell>
        </row>
      </sheetData>
      <sheetData sheetId="13933">
        <row r="7">
          <cell r="AI7">
            <v>10000</v>
          </cell>
        </row>
      </sheetData>
      <sheetData sheetId="13934">
        <row r="7">
          <cell r="AI7">
            <v>10000</v>
          </cell>
        </row>
      </sheetData>
      <sheetData sheetId="13935">
        <row r="7">
          <cell r="AI7">
            <v>10000</v>
          </cell>
        </row>
      </sheetData>
      <sheetData sheetId="13936">
        <row r="7">
          <cell r="AI7">
            <v>10000</v>
          </cell>
        </row>
      </sheetData>
      <sheetData sheetId="13937">
        <row r="7">
          <cell r="AI7">
            <v>10000</v>
          </cell>
        </row>
      </sheetData>
      <sheetData sheetId="13938">
        <row r="7">
          <cell r="AI7">
            <v>10000</v>
          </cell>
        </row>
      </sheetData>
      <sheetData sheetId="13939">
        <row r="7">
          <cell r="AI7">
            <v>10000</v>
          </cell>
        </row>
      </sheetData>
      <sheetData sheetId="13940">
        <row r="7">
          <cell r="AI7">
            <v>10000</v>
          </cell>
        </row>
      </sheetData>
      <sheetData sheetId="13941">
        <row r="7">
          <cell r="AI7">
            <v>10000</v>
          </cell>
        </row>
      </sheetData>
      <sheetData sheetId="13942">
        <row r="7">
          <cell r="AI7">
            <v>10000</v>
          </cell>
        </row>
      </sheetData>
      <sheetData sheetId="13943">
        <row r="7">
          <cell r="AI7">
            <v>10000</v>
          </cell>
        </row>
      </sheetData>
      <sheetData sheetId="13944">
        <row r="7">
          <cell r="AI7">
            <v>10000</v>
          </cell>
        </row>
      </sheetData>
      <sheetData sheetId="13945">
        <row r="7">
          <cell r="AI7">
            <v>10000</v>
          </cell>
        </row>
      </sheetData>
      <sheetData sheetId="13946">
        <row r="7">
          <cell r="AI7">
            <v>10000</v>
          </cell>
        </row>
      </sheetData>
      <sheetData sheetId="13947">
        <row r="7">
          <cell r="AI7">
            <v>10000</v>
          </cell>
        </row>
      </sheetData>
      <sheetData sheetId="13948">
        <row r="7">
          <cell r="AI7">
            <v>10000</v>
          </cell>
        </row>
      </sheetData>
      <sheetData sheetId="13949">
        <row r="7">
          <cell r="AI7">
            <v>10000</v>
          </cell>
        </row>
      </sheetData>
      <sheetData sheetId="13950">
        <row r="7">
          <cell r="AI7">
            <v>10000</v>
          </cell>
        </row>
      </sheetData>
      <sheetData sheetId="13951">
        <row r="7">
          <cell r="AI7">
            <v>10000</v>
          </cell>
        </row>
      </sheetData>
      <sheetData sheetId="13952">
        <row r="7">
          <cell r="AI7">
            <v>10000</v>
          </cell>
        </row>
      </sheetData>
      <sheetData sheetId="13953">
        <row r="7">
          <cell r="AI7">
            <v>10000</v>
          </cell>
        </row>
      </sheetData>
      <sheetData sheetId="13954">
        <row r="7">
          <cell r="AI7">
            <v>10000</v>
          </cell>
        </row>
      </sheetData>
      <sheetData sheetId="13955">
        <row r="7">
          <cell r="AI7">
            <v>10000</v>
          </cell>
        </row>
      </sheetData>
      <sheetData sheetId="13956">
        <row r="7">
          <cell r="AI7">
            <v>10000</v>
          </cell>
        </row>
      </sheetData>
      <sheetData sheetId="13957">
        <row r="7">
          <cell r="AI7">
            <v>10000</v>
          </cell>
        </row>
      </sheetData>
      <sheetData sheetId="13958">
        <row r="7">
          <cell r="AI7">
            <v>10000</v>
          </cell>
        </row>
      </sheetData>
      <sheetData sheetId="13959">
        <row r="7">
          <cell r="AI7">
            <v>10000</v>
          </cell>
        </row>
      </sheetData>
      <sheetData sheetId="13960">
        <row r="7">
          <cell r="AI7">
            <v>10000</v>
          </cell>
        </row>
      </sheetData>
      <sheetData sheetId="13961">
        <row r="7">
          <cell r="AI7">
            <v>10000</v>
          </cell>
        </row>
      </sheetData>
      <sheetData sheetId="13962">
        <row r="7">
          <cell r="AI7">
            <v>10000</v>
          </cell>
        </row>
      </sheetData>
      <sheetData sheetId="13963">
        <row r="7">
          <cell r="AI7">
            <v>10000</v>
          </cell>
        </row>
      </sheetData>
      <sheetData sheetId="13964">
        <row r="7">
          <cell r="AI7">
            <v>10000</v>
          </cell>
        </row>
      </sheetData>
      <sheetData sheetId="13965">
        <row r="7">
          <cell r="AI7">
            <v>10000</v>
          </cell>
        </row>
      </sheetData>
      <sheetData sheetId="13966">
        <row r="7">
          <cell r="AI7">
            <v>10000</v>
          </cell>
        </row>
      </sheetData>
      <sheetData sheetId="13967">
        <row r="7">
          <cell r="AI7">
            <v>10000</v>
          </cell>
        </row>
      </sheetData>
      <sheetData sheetId="13968">
        <row r="7">
          <cell r="AI7">
            <v>10000</v>
          </cell>
        </row>
      </sheetData>
      <sheetData sheetId="13969">
        <row r="7">
          <cell r="AI7">
            <v>10000</v>
          </cell>
        </row>
      </sheetData>
      <sheetData sheetId="13970">
        <row r="7">
          <cell r="AI7">
            <v>10000</v>
          </cell>
        </row>
      </sheetData>
      <sheetData sheetId="13971">
        <row r="7">
          <cell r="AI7">
            <v>10000</v>
          </cell>
        </row>
      </sheetData>
      <sheetData sheetId="13972">
        <row r="7">
          <cell r="AI7">
            <v>10000</v>
          </cell>
        </row>
      </sheetData>
      <sheetData sheetId="13973">
        <row r="7">
          <cell r="AI7">
            <v>10000</v>
          </cell>
        </row>
      </sheetData>
      <sheetData sheetId="13974">
        <row r="7">
          <cell r="AI7">
            <v>10000</v>
          </cell>
        </row>
      </sheetData>
      <sheetData sheetId="13975">
        <row r="7">
          <cell r="AI7">
            <v>10000</v>
          </cell>
        </row>
      </sheetData>
      <sheetData sheetId="13976">
        <row r="7">
          <cell r="AI7">
            <v>10000</v>
          </cell>
        </row>
      </sheetData>
      <sheetData sheetId="13977">
        <row r="7">
          <cell r="AI7">
            <v>10000</v>
          </cell>
        </row>
      </sheetData>
      <sheetData sheetId="13978">
        <row r="7">
          <cell r="AI7">
            <v>10000</v>
          </cell>
        </row>
      </sheetData>
      <sheetData sheetId="13979">
        <row r="7">
          <cell r="AI7">
            <v>10000</v>
          </cell>
        </row>
      </sheetData>
      <sheetData sheetId="13980">
        <row r="7">
          <cell r="AI7">
            <v>10000</v>
          </cell>
        </row>
      </sheetData>
      <sheetData sheetId="13981">
        <row r="7">
          <cell r="AI7">
            <v>10000</v>
          </cell>
        </row>
      </sheetData>
      <sheetData sheetId="13982">
        <row r="7">
          <cell r="AI7">
            <v>10000</v>
          </cell>
        </row>
      </sheetData>
      <sheetData sheetId="13983">
        <row r="7">
          <cell r="AI7">
            <v>10000</v>
          </cell>
        </row>
      </sheetData>
      <sheetData sheetId="13984">
        <row r="7">
          <cell r="AI7">
            <v>10000</v>
          </cell>
        </row>
      </sheetData>
      <sheetData sheetId="13985">
        <row r="7">
          <cell r="AI7">
            <v>10000</v>
          </cell>
        </row>
      </sheetData>
      <sheetData sheetId="13986">
        <row r="7">
          <cell r="AI7">
            <v>10000</v>
          </cell>
        </row>
      </sheetData>
      <sheetData sheetId="13987">
        <row r="7">
          <cell r="AI7">
            <v>10000</v>
          </cell>
        </row>
      </sheetData>
      <sheetData sheetId="13988">
        <row r="7">
          <cell r="AI7">
            <v>10000</v>
          </cell>
        </row>
      </sheetData>
      <sheetData sheetId="13989">
        <row r="7">
          <cell r="AI7">
            <v>10000</v>
          </cell>
        </row>
      </sheetData>
      <sheetData sheetId="13990">
        <row r="7">
          <cell r="AI7">
            <v>10000</v>
          </cell>
        </row>
      </sheetData>
      <sheetData sheetId="13991">
        <row r="7">
          <cell r="AI7">
            <v>10000</v>
          </cell>
        </row>
      </sheetData>
      <sheetData sheetId="13992">
        <row r="7">
          <cell r="AI7">
            <v>10000</v>
          </cell>
        </row>
      </sheetData>
      <sheetData sheetId="13993">
        <row r="7">
          <cell r="AI7">
            <v>10000</v>
          </cell>
        </row>
      </sheetData>
      <sheetData sheetId="13994">
        <row r="7">
          <cell r="AI7">
            <v>10000</v>
          </cell>
        </row>
      </sheetData>
      <sheetData sheetId="13995">
        <row r="7">
          <cell r="AI7">
            <v>10000</v>
          </cell>
        </row>
      </sheetData>
      <sheetData sheetId="13996">
        <row r="7">
          <cell r="AI7">
            <v>10000</v>
          </cell>
        </row>
      </sheetData>
      <sheetData sheetId="13997">
        <row r="7">
          <cell r="AI7">
            <v>10000</v>
          </cell>
        </row>
      </sheetData>
      <sheetData sheetId="13998">
        <row r="7">
          <cell r="AI7">
            <v>10000</v>
          </cell>
        </row>
      </sheetData>
      <sheetData sheetId="13999">
        <row r="7">
          <cell r="AI7">
            <v>10000</v>
          </cell>
        </row>
      </sheetData>
      <sheetData sheetId="14000">
        <row r="7">
          <cell r="AI7">
            <v>10000</v>
          </cell>
        </row>
      </sheetData>
      <sheetData sheetId="14001">
        <row r="7">
          <cell r="AI7">
            <v>10000</v>
          </cell>
        </row>
      </sheetData>
      <sheetData sheetId="14002">
        <row r="7">
          <cell r="AI7">
            <v>10000</v>
          </cell>
        </row>
      </sheetData>
      <sheetData sheetId="14003">
        <row r="7">
          <cell r="AI7">
            <v>10000</v>
          </cell>
        </row>
      </sheetData>
      <sheetData sheetId="14004">
        <row r="7">
          <cell r="AI7">
            <v>10000</v>
          </cell>
        </row>
      </sheetData>
      <sheetData sheetId="14005">
        <row r="7">
          <cell r="AI7">
            <v>10000</v>
          </cell>
        </row>
      </sheetData>
      <sheetData sheetId="14006">
        <row r="7">
          <cell r="AI7">
            <v>10000</v>
          </cell>
        </row>
      </sheetData>
      <sheetData sheetId="14007">
        <row r="7">
          <cell r="AI7">
            <v>10000</v>
          </cell>
        </row>
      </sheetData>
      <sheetData sheetId="14008">
        <row r="7">
          <cell r="AI7">
            <v>10000</v>
          </cell>
        </row>
      </sheetData>
      <sheetData sheetId="14009">
        <row r="7">
          <cell r="AI7">
            <v>10000</v>
          </cell>
        </row>
      </sheetData>
      <sheetData sheetId="14010">
        <row r="7">
          <cell r="AI7">
            <v>10000</v>
          </cell>
        </row>
      </sheetData>
      <sheetData sheetId="14011">
        <row r="7">
          <cell r="AI7">
            <v>10000</v>
          </cell>
        </row>
      </sheetData>
      <sheetData sheetId="14012">
        <row r="7">
          <cell r="AI7">
            <v>10000</v>
          </cell>
        </row>
      </sheetData>
      <sheetData sheetId="14013">
        <row r="7">
          <cell r="AI7">
            <v>10000</v>
          </cell>
        </row>
      </sheetData>
      <sheetData sheetId="14014">
        <row r="7">
          <cell r="AI7">
            <v>10000</v>
          </cell>
        </row>
      </sheetData>
      <sheetData sheetId="14015">
        <row r="7">
          <cell r="AI7">
            <v>10000</v>
          </cell>
        </row>
      </sheetData>
      <sheetData sheetId="14016">
        <row r="7">
          <cell r="AI7">
            <v>10000</v>
          </cell>
        </row>
      </sheetData>
      <sheetData sheetId="14017">
        <row r="7">
          <cell r="AI7">
            <v>10000</v>
          </cell>
        </row>
      </sheetData>
      <sheetData sheetId="14018">
        <row r="7">
          <cell r="AI7">
            <v>10000</v>
          </cell>
        </row>
      </sheetData>
      <sheetData sheetId="14019">
        <row r="7">
          <cell r="AI7">
            <v>10000</v>
          </cell>
        </row>
      </sheetData>
      <sheetData sheetId="14020">
        <row r="7">
          <cell r="AI7">
            <v>10000</v>
          </cell>
        </row>
      </sheetData>
      <sheetData sheetId="14021">
        <row r="7">
          <cell r="AI7">
            <v>10000</v>
          </cell>
        </row>
      </sheetData>
      <sheetData sheetId="14022">
        <row r="7">
          <cell r="AI7">
            <v>10000</v>
          </cell>
        </row>
      </sheetData>
      <sheetData sheetId="14023">
        <row r="7">
          <cell r="AI7">
            <v>10000</v>
          </cell>
        </row>
      </sheetData>
      <sheetData sheetId="14024">
        <row r="7">
          <cell r="AI7">
            <v>10000</v>
          </cell>
        </row>
      </sheetData>
      <sheetData sheetId="14025">
        <row r="7">
          <cell r="AI7">
            <v>10000</v>
          </cell>
        </row>
      </sheetData>
      <sheetData sheetId="14026">
        <row r="7">
          <cell r="AI7">
            <v>10000</v>
          </cell>
        </row>
      </sheetData>
      <sheetData sheetId="14027">
        <row r="7">
          <cell r="AI7">
            <v>10000</v>
          </cell>
        </row>
      </sheetData>
      <sheetData sheetId="14028">
        <row r="7">
          <cell r="AI7">
            <v>10000</v>
          </cell>
        </row>
      </sheetData>
      <sheetData sheetId="14029">
        <row r="7">
          <cell r="AI7">
            <v>10000</v>
          </cell>
        </row>
      </sheetData>
      <sheetData sheetId="14030">
        <row r="7">
          <cell r="AI7">
            <v>10000</v>
          </cell>
        </row>
      </sheetData>
      <sheetData sheetId="14031">
        <row r="7">
          <cell r="AI7">
            <v>10000</v>
          </cell>
        </row>
      </sheetData>
      <sheetData sheetId="14032">
        <row r="7">
          <cell r="AI7">
            <v>10000</v>
          </cell>
        </row>
      </sheetData>
      <sheetData sheetId="14033">
        <row r="7">
          <cell r="AI7">
            <v>10000</v>
          </cell>
        </row>
      </sheetData>
      <sheetData sheetId="14034">
        <row r="7">
          <cell r="AI7">
            <v>10000</v>
          </cell>
        </row>
      </sheetData>
      <sheetData sheetId="14035">
        <row r="7">
          <cell r="AI7">
            <v>10000</v>
          </cell>
        </row>
      </sheetData>
      <sheetData sheetId="14036">
        <row r="7">
          <cell r="AI7">
            <v>10000</v>
          </cell>
        </row>
      </sheetData>
      <sheetData sheetId="14037">
        <row r="7">
          <cell r="AI7">
            <v>10000</v>
          </cell>
        </row>
      </sheetData>
      <sheetData sheetId="14038">
        <row r="7">
          <cell r="AI7">
            <v>10000</v>
          </cell>
        </row>
      </sheetData>
      <sheetData sheetId="14039">
        <row r="7">
          <cell r="AI7">
            <v>10000</v>
          </cell>
        </row>
      </sheetData>
      <sheetData sheetId="14040">
        <row r="7">
          <cell r="AI7">
            <v>10000</v>
          </cell>
        </row>
      </sheetData>
      <sheetData sheetId="14041">
        <row r="7">
          <cell r="AI7">
            <v>10000</v>
          </cell>
        </row>
      </sheetData>
      <sheetData sheetId="14042">
        <row r="7">
          <cell r="AI7">
            <v>10000</v>
          </cell>
        </row>
      </sheetData>
      <sheetData sheetId="14043">
        <row r="7">
          <cell r="AI7">
            <v>10000</v>
          </cell>
        </row>
      </sheetData>
      <sheetData sheetId="14044">
        <row r="7">
          <cell r="AI7">
            <v>10000</v>
          </cell>
        </row>
      </sheetData>
      <sheetData sheetId="14045">
        <row r="7">
          <cell r="AI7">
            <v>10000</v>
          </cell>
        </row>
      </sheetData>
      <sheetData sheetId="14046">
        <row r="7">
          <cell r="AI7">
            <v>10000</v>
          </cell>
        </row>
      </sheetData>
      <sheetData sheetId="14047">
        <row r="7">
          <cell r="AI7">
            <v>10000</v>
          </cell>
        </row>
      </sheetData>
      <sheetData sheetId="14048">
        <row r="7">
          <cell r="AI7">
            <v>10000</v>
          </cell>
        </row>
      </sheetData>
      <sheetData sheetId="14049">
        <row r="7">
          <cell r="AI7">
            <v>10000</v>
          </cell>
        </row>
      </sheetData>
      <sheetData sheetId="14050">
        <row r="7">
          <cell r="AI7">
            <v>10000</v>
          </cell>
        </row>
      </sheetData>
      <sheetData sheetId="14051">
        <row r="7">
          <cell r="AI7">
            <v>10000</v>
          </cell>
        </row>
      </sheetData>
      <sheetData sheetId="14052">
        <row r="7">
          <cell r="AI7">
            <v>10000</v>
          </cell>
        </row>
      </sheetData>
      <sheetData sheetId="14053">
        <row r="7">
          <cell r="AI7">
            <v>10000</v>
          </cell>
        </row>
      </sheetData>
      <sheetData sheetId="14054">
        <row r="7">
          <cell r="AI7">
            <v>10000</v>
          </cell>
        </row>
      </sheetData>
      <sheetData sheetId="14055">
        <row r="7">
          <cell r="AI7">
            <v>10000</v>
          </cell>
        </row>
      </sheetData>
      <sheetData sheetId="14056">
        <row r="7">
          <cell r="AI7">
            <v>10000</v>
          </cell>
        </row>
      </sheetData>
      <sheetData sheetId="14057">
        <row r="7">
          <cell r="AI7">
            <v>10000</v>
          </cell>
        </row>
      </sheetData>
      <sheetData sheetId="14058">
        <row r="7">
          <cell r="AI7">
            <v>10000</v>
          </cell>
        </row>
      </sheetData>
      <sheetData sheetId="14059">
        <row r="7">
          <cell r="AI7">
            <v>10000</v>
          </cell>
        </row>
      </sheetData>
      <sheetData sheetId="14060">
        <row r="7">
          <cell r="AI7">
            <v>10000</v>
          </cell>
        </row>
      </sheetData>
      <sheetData sheetId="14061">
        <row r="7">
          <cell r="AI7">
            <v>10000</v>
          </cell>
        </row>
      </sheetData>
      <sheetData sheetId="14062">
        <row r="7">
          <cell r="AI7">
            <v>10000</v>
          </cell>
        </row>
      </sheetData>
      <sheetData sheetId="14063">
        <row r="7">
          <cell r="AI7">
            <v>10000</v>
          </cell>
        </row>
      </sheetData>
      <sheetData sheetId="14064">
        <row r="7">
          <cell r="AI7">
            <v>10000</v>
          </cell>
        </row>
      </sheetData>
      <sheetData sheetId="14065">
        <row r="7">
          <cell r="AI7">
            <v>10000</v>
          </cell>
        </row>
      </sheetData>
      <sheetData sheetId="14066">
        <row r="7">
          <cell r="AI7">
            <v>10000</v>
          </cell>
        </row>
      </sheetData>
      <sheetData sheetId="14067">
        <row r="7">
          <cell r="AI7">
            <v>10000</v>
          </cell>
        </row>
      </sheetData>
      <sheetData sheetId="14068">
        <row r="7">
          <cell r="AI7">
            <v>10000</v>
          </cell>
        </row>
      </sheetData>
      <sheetData sheetId="14069">
        <row r="7">
          <cell r="AI7">
            <v>10000</v>
          </cell>
        </row>
      </sheetData>
      <sheetData sheetId="14070">
        <row r="7">
          <cell r="AI7">
            <v>10000</v>
          </cell>
        </row>
      </sheetData>
      <sheetData sheetId="14071">
        <row r="7">
          <cell r="AI7">
            <v>10000</v>
          </cell>
        </row>
      </sheetData>
      <sheetData sheetId="14072">
        <row r="7">
          <cell r="AI7">
            <v>10000</v>
          </cell>
        </row>
      </sheetData>
      <sheetData sheetId="14073">
        <row r="7">
          <cell r="AI7">
            <v>10000</v>
          </cell>
        </row>
      </sheetData>
      <sheetData sheetId="14074">
        <row r="7">
          <cell r="AI7">
            <v>10000</v>
          </cell>
        </row>
      </sheetData>
      <sheetData sheetId="14075">
        <row r="7">
          <cell r="AI7">
            <v>10000</v>
          </cell>
        </row>
      </sheetData>
      <sheetData sheetId="14076">
        <row r="7">
          <cell r="AI7">
            <v>10000</v>
          </cell>
        </row>
      </sheetData>
      <sheetData sheetId="14077">
        <row r="7">
          <cell r="AI7">
            <v>10000</v>
          </cell>
        </row>
      </sheetData>
      <sheetData sheetId="14078">
        <row r="7">
          <cell r="AI7">
            <v>10000</v>
          </cell>
        </row>
      </sheetData>
      <sheetData sheetId="14079">
        <row r="7">
          <cell r="AI7">
            <v>10000</v>
          </cell>
        </row>
      </sheetData>
      <sheetData sheetId="14080">
        <row r="7">
          <cell r="AI7">
            <v>10000</v>
          </cell>
        </row>
      </sheetData>
      <sheetData sheetId="14081">
        <row r="7">
          <cell r="AI7">
            <v>10000</v>
          </cell>
        </row>
      </sheetData>
      <sheetData sheetId="14082">
        <row r="7">
          <cell r="AI7">
            <v>10000</v>
          </cell>
        </row>
      </sheetData>
      <sheetData sheetId="14083">
        <row r="7">
          <cell r="AI7">
            <v>10000</v>
          </cell>
        </row>
      </sheetData>
      <sheetData sheetId="14084">
        <row r="7">
          <cell r="AI7">
            <v>10000</v>
          </cell>
        </row>
      </sheetData>
      <sheetData sheetId="14085">
        <row r="7">
          <cell r="AI7">
            <v>10000</v>
          </cell>
        </row>
      </sheetData>
      <sheetData sheetId="14086">
        <row r="7">
          <cell r="AI7">
            <v>10000</v>
          </cell>
        </row>
      </sheetData>
      <sheetData sheetId="14087">
        <row r="7">
          <cell r="AI7">
            <v>10000</v>
          </cell>
        </row>
      </sheetData>
      <sheetData sheetId="14088">
        <row r="7">
          <cell r="AI7">
            <v>10000</v>
          </cell>
        </row>
      </sheetData>
      <sheetData sheetId="14089">
        <row r="7">
          <cell r="AI7">
            <v>10000</v>
          </cell>
        </row>
      </sheetData>
      <sheetData sheetId="14090">
        <row r="7">
          <cell r="AI7">
            <v>10000</v>
          </cell>
        </row>
      </sheetData>
      <sheetData sheetId="14091">
        <row r="7">
          <cell r="AI7">
            <v>10000</v>
          </cell>
        </row>
      </sheetData>
      <sheetData sheetId="14092">
        <row r="7">
          <cell r="AI7">
            <v>10000</v>
          </cell>
        </row>
      </sheetData>
      <sheetData sheetId="14093">
        <row r="7">
          <cell r="AI7">
            <v>10000</v>
          </cell>
        </row>
      </sheetData>
      <sheetData sheetId="14094">
        <row r="7">
          <cell r="AI7">
            <v>10000</v>
          </cell>
        </row>
      </sheetData>
      <sheetData sheetId="14095">
        <row r="7">
          <cell r="AI7">
            <v>10000</v>
          </cell>
        </row>
      </sheetData>
      <sheetData sheetId="14096">
        <row r="7">
          <cell r="AI7">
            <v>10000</v>
          </cell>
        </row>
      </sheetData>
      <sheetData sheetId="14097">
        <row r="7">
          <cell r="AI7">
            <v>10000</v>
          </cell>
        </row>
      </sheetData>
      <sheetData sheetId="14098">
        <row r="7">
          <cell r="AI7">
            <v>10000</v>
          </cell>
        </row>
      </sheetData>
      <sheetData sheetId="14099">
        <row r="7">
          <cell r="AI7">
            <v>10000</v>
          </cell>
        </row>
      </sheetData>
      <sheetData sheetId="14100">
        <row r="7">
          <cell r="AI7">
            <v>10000</v>
          </cell>
        </row>
      </sheetData>
      <sheetData sheetId="14101">
        <row r="7">
          <cell r="AI7">
            <v>10000</v>
          </cell>
        </row>
      </sheetData>
      <sheetData sheetId="14102">
        <row r="7">
          <cell r="AI7">
            <v>10000</v>
          </cell>
        </row>
      </sheetData>
      <sheetData sheetId="14103">
        <row r="7">
          <cell r="AI7">
            <v>10000</v>
          </cell>
        </row>
      </sheetData>
      <sheetData sheetId="14104">
        <row r="7">
          <cell r="AI7">
            <v>10000</v>
          </cell>
        </row>
      </sheetData>
      <sheetData sheetId="14105">
        <row r="7">
          <cell r="AI7">
            <v>10000</v>
          </cell>
        </row>
      </sheetData>
      <sheetData sheetId="14106">
        <row r="7">
          <cell r="AI7">
            <v>10000</v>
          </cell>
        </row>
      </sheetData>
      <sheetData sheetId="14107">
        <row r="7">
          <cell r="AI7">
            <v>10000</v>
          </cell>
        </row>
      </sheetData>
      <sheetData sheetId="14108">
        <row r="7">
          <cell r="AI7">
            <v>10000</v>
          </cell>
        </row>
      </sheetData>
      <sheetData sheetId="14109">
        <row r="7">
          <cell r="AI7">
            <v>10000</v>
          </cell>
        </row>
      </sheetData>
      <sheetData sheetId="14110">
        <row r="7">
          <cell r="AI7">
            <v>10000</v>
          </cell>
        </row>
      </sheetData>
      <sheetData sheetId="14111">
        <row r="7">
          <cell r="AI7">
            <v>10000</v>
          </cell>
        </row>
      </sheetData>
      <sheetData sheetId="14112">
        <row r="7">
          <cell r="AI7">
            <v>10000</v>
          </cell>
        </row>
      </sheetData>
      <sheetData sheetId="14113">
        <row r="7">
          <cell r="AI7">
            <v>10000</v>
          </cell>
        </row>
      </sheetData>
      <sheetData sheetId="14114">
        <row r="7">
          <cell r="AI7">
            <v>10000</v>
          </cell>
        </row>
      </sheetData>
      <sheetData sheetId="14115">
        <row r="7">
          <cell r="AI7">
            <v>10000</v>
          </cell>
        </row>
      </sheetData>
      <sheetData sheetId="14116">
        <row r="7">
          <cell r="AI7">
            <v>10000</v>
          </cell>
        </row>
      </sheetData>
      <sheetData sheetId="14117">
        <row r="7">
          <cell r="AI7">
            <v>10000</v>
          </cell>
        </row>
      </sheetData>
      <sheetData sheetId="14118">
        <row r="7">
          <cell r="AI7">
            <v>10000</v>
          </cell>
        </row>
      </sheetData>
      <sheetData sheetId="14119">
        <row r="7">
          <cell r="AI7">
            <v>10000</v>
          </cell>
        </row>
      </sheetData>
      <sheetData sheetId="14120">
        <row r="7">
          <cell r="AI7">
            <v>10000</v>
          </cell>
        </row>
      </sheetData>
      <sheetData sheetId="14121">
        <row r="7">
          <cell r="AI7">
            <v>10000</v>
          </cell>
        </row>
      </sheetData>
      <sheetData sheetId="14122">
        <row r="7">
          <cell r="AI7">
            <v>10000</v>
          </cell>
        </row>
      </sheetData>
      <sheetData sheetId="14123">
        <row r="7">
          <cell r="AI7">
            <v>10000</v>
          </cell>
        </row>
      </sheetData>
      <sheetData sheetId="14124">
        <row r="7">
          <cell r="AI7">
            <v>10000</v>
          </cell>
        </row>
      </sheetData>
      <sheetData sheetId="14125">
        <row r="7">
          <cell r="AI7">
            <v>10000</v>
          </cell>
        </row>
      </sheetData>
      <sheetData sheetId="14126">
        <row r="7">
          <cell r="AI7">
            <v>10000</v>
          </cell>
        </row>
      </sheetData>
      <sheetData sheetId="14127">
        <row r="7">
          <cell r="AI7">
            <v>10000</v>
          </cell>
        </row>
      </sheetData>
      <sheetData sheetId="14128">
        <row r="7">
          <cell r="AI7">
            <v>10000</v>
          </cell>
        </row>
      </sheetData>
      <sheetData sheetId="14129">
        <row r="7">
          <cell r="AI7">
            <v>10000</v>
          </cell>
        </row>
      </sheetData>
      <sheetData sheetId="14130">
        <row r="7">
          <cell r="AI7">
            <v>10000</v>
          </cell>
        </row>
      </sheetData>
      <sheetData sheetId="14131">
        <row r="7">
          <cell r="AI7">
            <v>10000</v>
          </cell>
        </row>
      </sheetData>
      <sheetData sheetId="14132">
        <row r="7">
          <cell r="AI7">
            <v>10000</v>
          </cell>
        </row>
      </sheetData>
      <sheetData sheetId="14133">
        <row r="7">
          <cell r="AI7">
            <v>10000</v>
          </cell>
        </row>
      </sheetData>
      <sheetData sheetId="14134">
        <row r="7">
          <cell r="AI7">
            <v>10000</v>
          </cell>
        </row>
      </sheetData>
      <sheetData sheetId="14135">
        <row r="7">
          <cell r="AI7">
            <v>10000</v>
          </cell>
        </row>
      </sheetData>
      <sheetData sheetId="14136">
        <row r="7">
          <cell r="AI7">
            <v>10000</v>
          </cell>
        </row>
      </sheetData>
      <sheetData sheetId="14137">
        <row r="7">
          <cell r="AI7">
            <v>10000</v>
          </cell>
        </row>
      </sheetData>
      <sheetData sheetId="14138">
        <row r="7">
          <cell r="AI7">
            <v>10000</v>
          </cell>
        </row>
      </sheetData>
      <sheetData sheetId="14139">
        <row r="7">
          <cell r="AI7">
            <v>10000</v>
          </cell>
        </row>
      </sheetData>
      <sheetData sheetId="14140">
        <row r="7">
          <cell r="AI7">
            <v>10000</v>
          </cell>
        </row>
      </sheetData>
      <sheetData sheetId="14141">
        <row r="7">
          <cell r="AI7">
            <v>10000</v>
          </cell>
        </row>
      </sheetData>
      <sheetData sheetId="14142">
        <row r="7">
          <cell r="AI7">
            <v>10000</v>
          </cell>
        </row>
      </sheetData>
      <sheetData sheetId="14143">
        <row r="7">
          <cell r="AI7">
            <v>10000</v>
          </cell>
        </row>
      </sheetData>
      <sheetData sheetId="14144">
        <row r="7">
          <cell r="AI7">
            <v>10000</v>
          </cell>
        </row>
      </sheetData>
      <sheetData sheetId="14145">
        <row r="7">
          <cell r="AI7">
            <v>10000</v>
          </cell>
        </row>
      </sheetData>
      <sheetData sheetId="14146">
        <row r="7">
          <cell r="AI7">
            <v>10000</v>
          </cell>
        </row>
      </sheetData>
      <sheetData sheetId="14147">
        <row r="7">
          <cell r="AI7">
            <v>10000</v>
          </cell>
        </row>
      </sheetData>
      <sheetData sheetId="14148">
        <row r="7">
          <cell r="AI7">
            <v>10000</v>
          </cell>
        </row>
      </sheetData>
      <sheetData sheetId="14149">
        <row r="7">
          <cell r="AI7">
            <v>10000</v>
          </cell>
        </row>
      </sheetData>
      <sheetData sheetId="14150">
        <row r="7">
          <cell r="AI7">
            <v>10000</v>
          </cell>
        </row>
      </sheetData>
      <sheetData sheetId="14151">
        <row r="7">
          <cell r="AI7">
            <v>10000</v>
          </cell>
        </row>
      </sheetData>
      <sheetData sheetId="14152">
        <row r="7">
          <cell r="AI7">
            <v>10000</v>
          </cell>
        </row>
      </sheetData>
      <sheetData sheetId="14153">
        <row r="7">
          <cell r="AI7">
            <v>10000</v>
          </cell>
        </row>
      </sheetData>
      <sheetData sheetId="14154">
        <row r="7">
          <cell r="AI7">
            <v>10000</v>
          </cell>
        </row>
      </sheetData>
      <sheetData sheetId="14155">
        <row r="7">
          <cell r="AI7">
            <v>10000</v>
          </cell>
        </row>
      </sheetData>
      <sheetData sheetId="14156">
        <row r="7">
          <cell r="AI7">
            <v>10000</v>
          </cell>
        </row>
      </sheetData>
      <sheetData sheetId="14157">
        <row r="7">
          <cell r="AI7">
            <v>10000</v>
          </cell>
        </row>
      </sheetData>
      <sheetData sheetId="14158">
        <row r="7">
          <cell r="AI7">
            <v>10000</v>
          </cell>
        </row>
      </sheetData>
      <sheetData sheetId="14159">
        <row r="7">
          <cell r="AI7">
            <v>10000</v>
          </cell>
        </row>
      </sheetData>
      <sheetData sheetId="14160">
        <row r="7">
          <cell r="AI7">
            <v>10000</v>
          </cell>
        </row>
      </sheetData>
      <sheetData sheetId="14161">
        <row r="7">
          <cell r="AI7">
            <v>10000</v>
          </cell>
        </row>
      </sheetData>
      <sheetData sheetId="14162">
        <row r="7">
          <cell r="AI7">
            <v>10000</v>
          </cell>
        </row>
      </sheetData>
      <sheetData sheetId="14163">
        <row r="7">
          <cell r="AI7">
            <v>10000</v>
          </cell>
        </row>
      </sheetData>
      <sheetData sheetId="14164">
        <row r="7">
          <cell r="AI7">
            <v>10000</v>
          </cell>
        </row>
      </sheetData>
      <sheetData sheetId="14165">
        <row r="7">
          <cell r="AI7">
            <v>10000</v>
          </cell>
        </row>
      </sheetData>
      <sheetData sheetId="14166">
        <row r="7">
          <cell r="AI7">
            <v>10000</v>
          </cell>
        </row>
      </sheetData>
      <sheetData sheetId="14167">
        <row r="7">
          <cell r="AI7">
            <v>10000</v>
          </cell>
        </row>
      </sheetData>
      <sheetData sheetId="14168">
        <row r="7">
          <cell r="AI7">
            <v>10000</v>
          </cell>
        </row>
      </sheetData>
      <sheetData sheetId="14169">
        <row r="7">
          <cell r="AI7">
            <v>10000</v>
          </cell>
        </row>
      </sheetData>
      <sheetData sheetId="14170">
        <row r="7">
          <cell r="AI7">
            <v>10000</v>
          </cell>
        </row>
      </sheetData>
      <sheetData sheetId="14171">
        <row r="7">
          <cell r="AI7">
            <v>10000</v>
          </cell>
        </row>
      </sheetData>
      <sheetData sheetId="14172">
        <row r="7">
          <cell r="AI7">
            <v>10000</v>
          </cell>
        </row>
      </sheetData>
      <sheetData sheetId="14173">
        <row r="7">
          <cell r="AI7">
            <v>10000</v>
          </cell>
        </row>
      </sheetData>
      <sheetData sheetId="14174">
        <row r="7">
          <cell r="AI7">
            <v>10000</v>
          </cell>
        </row>
      </sheetData>
      <sheetData sheetId="14175">
        <row r="7">
          <cell r="AI7">
            <v>10000</v>
          </cell>
        </row>
      </sheetData>
      <sheetData sheetId="14176">
        <row r="7">
          <cell r="AI7">
            <v>10000</v>
          </cell>
        </row>
      </sheetData>
      <sheetData sheetId="14177">
        <row r="7">
          <cell r="AI7">
            <v>10000</v>
          </cell>
        </row>
      </sheetData>
      <sheetData sheetId="14178">
        <row r="7">
          <cell r="AI7">
            <v>10000</v>
          </cell>
        </row>
      </sheetData>
      <sheetData sheetId="14179">
        <row r="7">
          <cell r="AI7">
            <v>10000</v>
          </cell>
        </row>
      </sheetData>
      <sheetData sheetId="14180">
        <row r="7">
          <cell r="AI7">
            <v>10000</v>
          </cell>
        </row>
      </sheetData>
      <sheetData sheetId="14181">
        <row r="7">
          <cell r="AI7">
            <v>10000</v>
          </cell>
        </row>
      </sheetData>
      <sheetData sheetId="14182">
        <row r="7">
          <cell r="AI7">
            <v>10000</v>
          </cell>
        </row>
      </sheetData>
      <sheetData sheetId="14183">
        <row r="7">
          <cell r="AI7">
            <v>10000</v>
          </cell>
        </row>
      </sheetData>
      <sheetData sheetId="14184">
        <row r="7">
          <cell r="AI7">
            <v>10000</v>
          </cell>
        </row>
      </sheetData>
      <sheetData sheetId="14185">
        <row r="7">
          <cell r="AI7">
            <v>10000</v>
          </cell>
        </row>
      </sheetData>
      <sheetData sheetId="14186">
        <row r="7">
          <cell r="AI7">
            <v>10000</v>
          </cell>
        </row>
      </sheetData>
      <sheetData sheetId="14187">
        <row r="7">
          <cell r="AI7">
            <v>10000</v>
          </cell>
        </row>
      </sheetData>
      <sheetData sheetId="14188">
        <row r="7">
          <cell r="AI7">
            <v>10000</v>
          </cell>
        </row>
      </sheetData>
      <sheetData sheetId="14189">
        <row r="7">
          <cell r="AI7">
            <v>10000</v>
          </cell>
        </row>
      </sheetData>
      <sheetData sheetId="14190">
        <row r="7">
          <cell r="AI7">
            <v>10000</v>
          </cell>
        </row>
      </sheetData>
      <sheetData sheetId="14191">
        <row r="7">
          <cell r="AI7">
            <v>10000</v>
          </cell>
        </row>
      </sheetData>
      <sheetData sheetId="14192">
        <row r="7">
          <cell r="AI7">
            <v>10000</v>
          </cell>
        </row>
      </sheetData>
      <sheetData sheetId="14193">
        <row r="7">
          <cell r="AI7">
            <v>10000</v>
          </cell>
        </row>
      </sheetData>
      <sheetData sheetId="14194">
        <row r="7">
          <cell r="AI7">
            <v>10000</v>
          </cell>
        </row>
      </sheetData>
      <sheetData sheetId="14195">
        <row r="7">
          <cell r="AI7">
            <v>10000</v>
          </cell>
        </row>
      </sheetData>
      <sheetData sheetId="14196">
        <row r="7">
          <cell r="AI7">
            <v>10000</v>
          </cell>
        </row>
      </sheetData>
      <sheetData sheetId="14197">
        <row r="7">
          <cell r="AI7">
            <v>10000</v>
          </cell>
        </row>
      </sheetData>
      <sheetData sheetId="14198">
        <row r="7">
          <cell r="AI7">
            <v>10000</v>
          </cell>
        </row>
      </sheetData>
      <sheetData sheetId="14199">
        <row r="7">
          <cell r="AI7">
            <v>10000</v>
          </cell>
        </row>
      </sheetData>
      <sheetData sheetId="14200">
        <row r="7">
          <cell r="AI7">
            <v>10000</v>
          </cell>
        </row>
      </sheetData>
      <sheetData sheetId="14201">
        <row r="7">
          <cell r="AI7">
            <v>10000</v>
          </cell>
        </row>
      </sheetData>
      <sheetData sheetId="14202">
        <row r="7">
          <cell r="AI7">
            <v>10000</v>
          </cell>
        </row>
      </sheetData>
      <sheetData sheetId="14203">
        <row r="7">
          <cell r="AI7">
            <v>10000</v>
          </cell>
        </row>
      </sheetData>
      <sheetData sheetId="14204">
        <row r="7">
          <cell r="AI7">
            <v>10000</v>
          </cell>
        </row>
      </sheetData>
      <sheetData sheetId="14205">
        <row r="7">
          <cell r="AI7">
            <v>10000</v>
          </cell>
        </row>
      </sheetData>
      <sheetData sheetId="14206">
        <row r="7">
          <cell r="AI7">
            <v>10000</v>
          </cell>
        </row>
      </sheetData>
      <sheetData sheetId="14207">
        <row r="7">
          <cell r="AI7">
            <v>10000</v>
          </cell>
        </row>
      </sheetData>
      <sheetData sheetId="14208">
        <row r="7">
          <cell r="AI7">
            <v>10000</v>
          </cell>
        </row>
      </sheetData>
      <sheetData sheetId="14209">
        <row r="7">
          <cell r="AI7">
            <v>10000</v>
          </cell>
        </row>
      </sheetData>
      <sheetData sheetId="14210">
        <row r="7">
          <cell r="AI7">
            <v>10000</v>
          </cell>
        </row>
      </sheetData>
      <sheetData sheetId="14211">
        <row r="7">
          <cell r="AI7">
            <v>10000</v>
          </cell>
        </row>
      </sheetData>
      <sheetData sheetId="14212">
        <row r="7">
          <cell r="AI7">
            <v>10000</v>
          </cell>
        </row>
      </sheetData>
      <sheetData sheetId="14213">
        <row r="7">
          <cell r="AI7">
            <v>10000</v>
          </cell>
        </row>
      </sheetData>
      <sheetData sheetId="14214">
        <row r="7">
          <cell r="AI7">
            <v>10000</v>
          </cell>
        </row>
      </sheetData>
      <sheetData sheetId="14215">
        <row r="7">
          <cell r="AI7">
            <v>10000</v>
          </cell>
        </row>
      </sheetData>
      <sheetData sheetId="14216">
        <row r="7">
          <cell r="AI7">
            <v>10000</v>
          </cell>
        </row>
      </sheetData>
      <sheetData sheetId="14217">
        <row r="7">
          <cell r="AI7">
            <v>10000</v>
          </cell>
        </row>
      </sheetData>
      <sheetData sheetId="14218">
        <row r="7">
          <cell r="AI7">
            <v>10000</v>
          </cell>
        </row>
      </sheetData>
      <sheetData sheetId="14219">
        <row r="7">
          <cell r="AI7">
            <v>10000</v>
          </cell>
        </row>
      </sheetData>
      <sheetData sheetId="14220">
        <row r="7">
          <cell r="AI7">
            <v>10000</v>
          </cell>
        </row>
      </sheetData>
      <sheetData sheetId="14221">
        <row r="7">
          <cell r="AI7">
            <v>10000</v>
          </cell>
        </row>
      </sheetData>
      <sheetData sheetId="14222">
        <row r="7">
          <cell r="AI7">
            <v>10000</v>
          </cell>
        </row>
      </sheetData>
      <sheetData sheetId="14223">
        <row r="7">
          <cell r="AI7">
            <v>10000</v>
          </cell>
        </row>
      </sheetData>
      <sheetData sheetId="14224">
        <row r="7">
          <cell r="AI7">
            <v>10000</v>
          </cell>
        </row>
      </sheetData>
      <sheetData sheetId="14225">
        <row r="7">
          <cell r="AI7">
            <v>10000</v>
          </cell>
        </row>
      </sheetData>
      <sheetData sheetId="14226">
        <row r="7">
          <cell r="AI7">
            <v>10000</v>
          </cell>
        </row>
      </sheetData>
      <sheetData sheetId="14227">
        <row r="7">
          <cell r="AI7">
            <v>10000</v>
          </cell>
        </row>
      </sheetData>
      <sheetData sheetId="14228">
        <row r="7">
          <cell r="AI7">
            <v>10000</v>
          </cell>
        </row>
      </sheetData>
      <sheetData sheetId="14229">
        <row r="7">
          <cell r="AI7">
            <v>10000</v>
          </cell>
        </row>
      </sheetData>
      <sheetData sheetId="14230">
        <row r="7">
          <cell r="AI7">
            <v>10000</v>
          </cell>
        </row>
      </sheetData>
      <sheetData sheetId="14231">
        <row r="7">
          <cell r="AI7">
            <v>10000</v>
          </cell>
        </row>
      </sheetData>
      <sheetData sheetId="14232">
        <row r="7">
          <cell r="AI7">
            <v>10000</v>
          </cell>
        </row>
      </sheetData>
      <sheetData sheetId="14233">
        <row r="7">
          <cell r="AI7">
            <v>10000</v>
          </cell>
        </row>
      </sheetData>
      <sheetData sheetId="14234">
        <row r="7">
          <cell r="AI7">
            <v>10000</v>
          </cell>
        </row>
      </sheetData>
      <sheetData sheetId="14235">
        <row r="7">
          <cell r="AI7">
            <v>10000</v>
          </cell>
        </row>
      </sheetData>
      <sheetData sheetId="14236">
        <row r="7">
          <cell r="AI7">
            <v>10000</v>
          </cell>
        </row>
      </sheetData>
      <sheetData sheetId="14237">
        <row r="7">
          <cell r="AI7">
            <v>10000</v>
          </cell>
        </row>
      </sheetData>
      <sheetData sheetId="14238">
        <row r="7">
          <cell r="AI7">
            <v>10000</v>
          </cell>
        </row>
      </sheetData>
      <sheetData sheetId="14239">
        <row r="7">
          <cell r="AI7">
            <v>10000</v>
          </cell>
        </row>
      </sheetData>
      <sheetData sheetId="14240">
        <row r="7">
          <cell r="AI7">
            <v>10000</v>
          </cell>
        </row>
      </sheetData>
      <sheetData sheetId="14241">
        <row r="7">
          <cell r="AI7">
            <v>10000</v>
          </cell>
        </row>
      </sheetData>
      <sheetData sheetId="14242">
        <row r="7">
          <cell r="AI7">
            <v>10000</v>
          </cell>
        </row>
      </sheetData>
      <sheetData sheetId="14243">
        <row r="7">
          <cell r="AI7">
            <v>10000</v>
          </cell>
        </row>
      </sheetData>
      <sheetData sheetId="14244">
        <row r="7">
          <cell r="AI7">
            <v>10000</v>
          </cell>
        </row>
      </sheetData>
      <sheetData sheetId="14245">
        <row r="7">
          <cell r="AI7">
            <v>10000</v>
          </cell>
        </row>
      </sheetData>
      <sheetData sheetId="14246">
        <row r="7">
          <cell r="AI7">
            <v>10000</v>
          </cell>
        </row>
      </sheetData>
      <sheetData sheetId="14247">
        <row r="7">
          <cell r="AI7">
            <v>10000</v>
          </cell>
        </row>
      </sheetData>
      <sheetData sheetId="14248">
        <row r="7">
          <cell r="AI7">
            <v>10000</v>
          </cell>
        </row>
      </sheetData>
      <sheetData sheetId="14249">
        <row r="7">
          <cell r="AI7">
            <v>10000</v>
          </cell>
        </row>
      </sheetData>
      <sheetData sheetId="14250">
        <row r="7">
          <cell r="AI7">
            <v>10000</v>
          </cell>
        </row>
      </sheetData>
      <sheetData sheetId="14251">
        <row r="7">
          <cell r="AI7">
            <v>10000</v>
          </cell>
        </row>
      </sheetData>
      <sheetData sheetId="14252">
        <row r="7">
          <cell r="AI7">
            <v>10000</v>
          </cell>
        </row>
      </sheetData>
      <sheetData sheetId="14253">
        <row r="7">
          <cell r="AI7">
            <v>10000</v>
          </cell>
        </row>
      </sheetData>
      <sheetData sheetId="14254">
        <row r="7">
          <cell r="AI7">
            <v>10000</v>
          </cell>
        </row>
      </sheetData>
      <sheetData sheetId="14255">
        <row r="7">
          <cell r="AI7">
            <v>10000</v>
          </cell>
        </row>
      </sheetData>
      <sheetData sheetId="14256">
        <row r="7">
          <cell r="AI7">
            <v>10000</v>
          </cell>
        </row>
      </sheetData>
      <sheetData sheetId="14257">
        <row r="7">
          <cell r="AI7">
            <v>10000</v>
          </cell>
        </row>
      </sheetData>
      <sheetData sheetId="14258">
        <row r="7">
          <cell r="AI7">
            <v>10000</v>
          </cell>
        </row>
      </sheetData>
      <sheetData sheetId="14259">
        <row r="7">
          <cell r="AI7">
            <v>10000</v>
          </cell>
        </row>
      </sheetData>
      <sheetData sheetId="14260">
        <row r="7">
          <cell r="AI7">
            <v>10000</v>
          </cell>
        </row>
      </sheetData>
      <sheetData sheetId="14261">
        <row r="7">
          <cell r="AI7">
            <v>10000</v>
          </cell>
        </row>
      </sheetData>
      <sheetData sheetId="14262">
        <row r="7">
          <cell r="AI7">
            <v>10000</v>
          </cell>
        </row>
      </sheetData>
      <sheetData sheetId="14263">
        <row r="7">
          <cell r="AI7">
            <v>10000</v>
          </cell>
        </row>
      </sheetData>
      <sheetData sheetId="14264">
        <row r="7">
          <cell r="AI7">
            <v>10000</v>
          </cell>
        </row>
      </sheetData>
      <sheetData sheetId="14265">
        <row r="7">
          <cell r="AI7">
            <v>10000</v>
          </cell>
        </row>
      </sheetData>
      <sheetData sheetId="14266">
        <row r="7">
          <cell r="AI7">
            <v>10000</v>
          </cell>
        </row>
      </sheetData>
      <sheetData sheetId="14267">
        <row r="7">
          <cell r="AI7">
            <v>10000</v>
          </cell>
        </row>
      </sheetData>
      <sheetData sheetId="14268">
        <row r="7">
          <cell r="AI7">
            <v>10000</v>
          </cell>
        </row>
      </sheetData>
      <sheetData sheetId="14269">
        <row r="7">
          <cell r="AI7">
            <v>10000</v>
          </cell>
        </row>
      </sheetData>
      <sheetData sheetId="14270">
        <row r="7">
          <cell r="AI7">
            <v>10000</v>
          </cell>
        </row>
      </sheetData>
      <sheetData sheetId="14271">
        <row r="7">
          <cell r="AI7">
            <v>10000</v>
          </cell>
        </row>
      </sheetData>
      <sheetData sheetId="14272">
        <row r="7">
          <cell r="AI7">
            <v>10000</v>
          </cell>
        </row>
      </sheetData>
      <sheetData sheetId="14273">
        <row r="7">
          <cell r="AI7">
            <v>10000</v>
          </cell>
        </row>
      </sheetData>
      <sheetData sheetId="14274">
        <row r="7">
          <cell r="AI7">
            <v>10000</v>
          </cell>
        </row>
      </sheetData>
      <sheetData sheetId="14275">
        <row r="7">
          <cell r="AI7">
            <v>10000</v>
          </cell>
        </row>
      </sheetData>
      <sheetData sheetId="14276">
        <row r="7">
          <cell r="AI7">
            <v>10000</v>
          </cell>
        </row>
      </sheetData>
      <sheetData sheetId="14277">
        <row r="7">
          <cell r="AI7">
            <v>10000</v>
          </cell>
        </row>
      </sheetData>
      <sheetData sheetId="14278">
        <row r="7">
          <cell r="AI7">
            <v>10000</v>
          </cell>
        </row>
      </sheetData>
      <sheetData sheetId="14279">
        <row r="7">
          <cell r="AI7">
            <v>10000</v>
          </cell>
        </row>
      </sheetData>
      <sheetData sheetId="14280">
        <row r="7">
          <cell r="AI7">
            <v>10000</v>
          </cell>
        </row>
      </sheetData>
      <sheetData sheetId="14281">
        <row r="7">
          <cell r="AI7">
            <v>10000</v>
          </cell>
        </row>
      </sheetData>
      <sheetData sheetId="14282">
        <row r="7">
          <cell r="AI7">
            <v>10000</v>
          </cell>
        </row>
      </sheetData>
      <sheetData sheetId="14283">
        <row r="7">
          <cell r="AI7">
            <v>10000</v>
          </cell>
        </row>
      </sheetData>
      <sheetData sheetId="14284">
        <row r="7">
          <cell r="AI7">
            <v>10000</v>
          </cell>
        </row>
      </sheetData>
      <sheetData sheetId="14285">
        <row r="7">
          <cell r="AI7">
            <v>10000</v>
          </cell>
        </row>
      </sheetData>
      <sheetData sheetId="14286">
        <row r="7">
          <cell r="AI7">
            <v>10000</v>
          </cell>
        </row>
      </sheetData>
      <sheetData sheetId="14287">
        <row r="7">
          <cell r="AI7">
            <v>10000</v>
          </cell>
        </row>
      </sheetData>
      <sheetData sheetId="14288">
        <row r="7">
          <cell r="AI7">
            <v>10000</v>
          </cell>
        </row>
      </sheetData>
      <sheetData sheetId="14289">
        <row r="7">
          <cell r="AI7">
            <v>10000</v>
          </cell>
        </row>
      </sheetData>
      <sheetData sheetId="14290">
        <row r="7">
          <cell r="AI7">
            <v>10000</v>
          </cell>
        </row>
      </sheetData>
      <sheetData sheetId="14291">
        <row r="7">
          <cell r="AI7">
            <v>10000</v>
          </cell>
        </row>
      </sheetData>
      <sheetData sheetId="14292">
        <row r="7">
          <cell r="AI7">
            <v>10000</v>
          </cell>
        </row>
      </sheetData>
      <sheetData sheetId="14293">
        <row r="7">
          <cell r="AI7">
            <v>10000</v>
          </cell>
        </row>
      </sheetData>
      <sheetData sheetId="14294">
        <row r="7">
          <cell r="AI7">
            <v>10000</v>
          </cell>
        </row>
      </sheetData>
      <sheetData sheetId="14295">
        <row r="7">
          <cell r="AI7">
            <v>10000</v>
          </cell>
        </row>
      </sheetData>
      <sheetData sheetId="14296">
        <row r="7">
          <cell r="AI7">
            <v>10000</v>
          </cell>
        </row>
      </sheetData>
      <sheetData sheetId="14297">
        <row r="7">
          <cell r="AI7">
            <v>10000</v>
          </cell>
        </row>
      </sheetData>
      <sheetData sheetId="14298">
        <row r="7">
          <cell r="AI7">
            <v>10000</v>
          </cell>
        </row>
      </sheetData>
      <sheetData sheetId="14299">
        <row r="7">
          <cell r="AI7">
            <v>10000</v>
          </cell>
        </row>
      </sheetData>
      <sheetData sheetId="14300">
        <row r="7">
          <cell r="AI7">
            <v>10000</v>
          </cell>
        </row>
      </sheetData>
      <sheetData sheetId="14301">
        <row r="7">
          <cell r="AI7">
            <v>10000</v>
          </cell>
        </row>
      </sheetData>
      <sheetData sheetId="14302">
        <row r="7">
          <cell r="AI7">
            <v>10000</v>
          </cell>
        </row>
      </sheetData>
      <sheetData sheetId="14303">
        <row r="7">
          <cell r="AI7">
            <v>10000</v>
          </cell>
        </row>
      </sheetData>
      <sheetData sheetId="14304">
        <row r="7">
          <cell r="AI7">
            <v>10000</v>
          </cell>
        </row>
      </sheetData>
      <sheetData sheetId="14305">
        <row r="7">
          <cell r="AI7">
            <v>10000</v>
          </cell>
        </row>
      </sheetData>
      <sheetData sheetId="14306">
        <row r="7">
          <cell r="AI7">
            <v>10000</v>
          </cell>
        </row>
      </sheetData>
      <sheetData sheetId="14307">
        <row r="7">
          <cell r="AI7">
            <v>10000</v>
          </cell>
        </row>
      </sheetData>
      <sheetData sheetId="14308">
        <row r="7">
          <cell r="AI7">
            <v>10000</v>
          </cell>
        </row>
      </sheetData>
      <sheetData sheetId="14309">
        <row r="7">
          <cell r="AI7">
            <v>10000</v>
          </cell>
        </row>
      </sheetData>
      <sheetData sheetId="14310">
        <row r="7">
          <cell r="AI7">
            <v>10000</v>
          </cell>
        </row>
      </sheetData>
      <sheetData sheetId="14311">
        <row r="7">
          <cell r="AI7">
            <v>10000</v>
          </cell>
        </row>
      </sheetData>
      <sheetData sheetId="14312">
        <row r="7">
          <cell r="AI7">
            <v>10000</v>
          </cell>
        </row>
      </sheetData>
      <sheetData sheetId="14313">
        <row r="7">
          <cell r="AI7">
            <v>10000</v>
          </cell>
        </row>
      </sheetData>
      <sheetData sheetId="14314">
        <row r="7">
          <cell r="AI7">
            <v>10000</v>
          </cell>
        </row>
      </sheetData>
      <sheetData sheetId="14315">
        <row r="7">
          <cell r="AI7">
            <v>10000</v>
          </cell>
        </row>
      </sheetData>
      <sheetData sheetId="14316">
        <row r="7">
          <cell r="AI7">
            <v>10000</v>
          </cell>
        </row>
      </sheetData>
      <sheetData sheetId="14317">
        <row r="7">
          <cell r="AI7">
            <v>10000</v>
          </cell>
        </row>
      </sheetData>
      <sheetData sheetId="14318">
        <row r="7">
          <cell r="AI7">
            <v>10000</v>
          </cell>
        </row>
      </sheetData>
      <sheetData sheetId="14319">
        <row r="7">
          <cell r="AI7">
            <v>10000</v>
          </cell>
        </row>
      </sheetData>
      <sheetData sheetId="14320">
        <row r="7">
          <cell r="AI7">
            <v>10000</v>
          </cell>
        </row>
      </sheetData>
      <sheetData sheetId="14321">
        <row r="7">
          <cell r="AI7">
            <v>10000</v>
          </cell>
        </row>
      </sheetData>
      <sheetData sheetId="14322">
        <row r="7">
          <cell r="AI7">
            <v>10000</v>
          </cell>
        </row>
      </sheetData>
      <sheetData sheetId="14323">
        <row r="7">
          <cell r="AI7">
            <v>10000</v>
          </cell>
        </row>
      </sheetData>
      <sheetData sheetId="14324">
        <row r="7">
          <cell r="AI7">
            <v>10000</v>
          </cell>
        </row>
      </sheetData>
      <sheetData sheetId="14325">
        <row r="7">
          <cell r="AI7">
            <v>10000</v>
          </cell>
        </row>
      </sheetData>
      <sheetData sheetId="14326">
        <row r="7">
          <cell r="AI7">
            <v>10000</v>
          </cell>
        </row>
      </sheetData>
      <sheetData sheetId="14327">
        <row r="7">
          <cell r="AI7">
            <v>10000</v>
          </cell>
        </row>
      </sheetData>
      <sheetData sheetId="14328">
        <row r="7">
          <cell r="AI7">
            <v>10000</v>
          </cell>
        </row>
      </sheetData>
      <sheetData sheetId="14329">
        <row r="7">
          <cell r="AI7">
            <v>10000</v>
          </cell>
        </row>
      </sheetData>
      <sheetData sheetId="14330">
        <row r="7">
          <cell r="AI7">
            <v>10000</v>
          </cell>
        </row>
      </sheetData>
      <sheetData sheetId="14331">
        <row r="7">
          <cell r="AI7">
            <v>10000</v>
          </cell>
        </row>
      </sheetData>
      <sheetData sheetId="14332">
        <row r="7">
          <cell r="AI7">
            <v>10000</v>
          </cell>
        </row>
      </sheetData>
      <sheetData sheetId="14333">
        <row r="7">
          <cell r="AI7">
            <v>10000</v>
          </cell>
        </row>
      </sheetData>
      <sheetData sheetId="14334">
        <row r="7">
          <cell r="AI7">
            <v>10000</v>
          </cell>
        </row>
      </sheetData>
      <sheetData sheetId="14335">
        <row r="7">
          <cell r="AI7">
            <v>10000</v>
          </cell>
        </row>
      </sheetData>
      <sheetData sheetId="14336">
        <row r="7">
          <cell r="AI7">
            <v>10000</v>
          </cell>
        </row>
      </sheetData>
      <sheetData sheetId="14337">
        <row r="7">
          <cell r="AI7">
            <v>10000</v>
          </cell>
        </row>
      </sheetData>
      <sheetData sheetId="14338">
        <row r="7">
          <cell r="AI7">
            <v>10000</v>
          </cell>
        </row>
      </sheetData>
      <sheetData sheetId="14339">
        <row r="7">
          <cell r="AI7">
            <v>10000</v>
          </cell>
        </row>
      </sheetData>
      <sheetData sheetId="14340">
        <row r="7">
          <cell r="AI7">
            <v>10000</v>
          </cell>
        </row>
      </sheetData>
      <sheetData sheetId="14341">
        <row r="7">
          <cell r="AI7">
            <v>10000</v>
          </cell>
        </row>
      </sheetData>
      <sheetData sheetId="14342">
        <row r="7">
          <cell r="AI7">
            <v>10000</v>
          </cell>
        </row>
      </sheetData>
      <sheetData sheetId="14343">
        <row r="7">
          <cell r="AI7">
            <v>10000</v>
          </cell>
        </row>
      </sheetData>
      <sheetData sheetId="14344">
        <row r="7">
          <cell r="AI7">
            <v>10000</v>
          </cell>
        </row>
      </sheetData>
      <sheetData sheetId="14345">
        <row r="7">
          <cell r="AI7">
            <v>10000</v>
          </cell>
        </row>
      </sheetData>
      <sheetData sheetId="14346">
        <row r="7">
          <cell r="AI7">
            <v>10000</v>
          </cell>
        </row>
      </sheetData>
      <sheetData sheetId="14347">
        <row r="7">
          <cell r="AI7">
            <v>10000</v>
          </cell>
        </row>
      </sheetData>
      <sheetData sheetId="14348">
        <row r="7">
          <cell r="AI7">
            <v>10000</v>
          </cell>
        </row>
      </sheetData>
      <sheetData sheetId="14349">
        <row r="7">
          <cell r="AI7">
            <v>10000</v>
          </cell>
        </row>
      </sheetData>
      <sheetData sheetId="14350">
        <row r="7">
          <cell r="AI7">
            <v>10000</v>
          </cell>
        </row>
      </sheetData>
      <sheetData sheetId="14351">
        <row r="7">
          <cell r="AI7">
            <v>10000</v>
          </cell>
        </row>
      </sheetData>
      <sheetData sheetId="14352">
        <row r="7">
          <cell r="AI7">
            <v>10000</v>
          </cell>
        </row>
      </sheetData>
      <sheetData sheetId="14353">
        <row r="7">
          <cell r="AI7">
            <v>10000</v>
          </cell>
        </row>
      </sheetData>
      <sheetData sheetId="14354">
        <row r="7">
          <cell r="AI7">
            <v>10000</v>
          </cell>
        </row>
      </sheetData>
      <sheetData sheetId="14355">
        <row r="7">
          <cell r="AI7">
            <v>10000</v>
          </cell>
        </row>
      </sheetData>
      <sheetData sheetId="14356">
        <row r="7">
          <cell r="AI7">
            <v>10000</v>
          </cell>
        </row>
      </sheetData>
      <sheetData sheetId="14357">
        <row r="7">
          <cell r="AI7">
            <v>10000</v>
          </cell>
        </row>
      </sheetData>
      <sheetData sheetId="14358">
        <row r="7">
          <cell r="AI7">
            <v>10000</v>
          </cell>
        </row>
      </sheetData>
      <sheetData sheetId="14359">
        <row r="7">
          <cell r="AI7">
            <v>10000</v>
          </cell>
        </row>
      </sheetData>
      <sheetData sheetId="14360">
        <row r="7">
          <cell r="AI7">
            <v>10000</v>
          </cell>
        </row>
      </sheetData>
      <sheetData sheetId="14361">
        <row r="7">
          <cell r="AI7">
            <v>10000</v>
          </cell>
        </row>
      </sheetData>
      <sheetData sheetId="14362">
        <row r="7">
          <cell r="AI7">
            <v>10000</v>
          </cell>
        </row>
      </sheetData>
      <sheetData sheetId="14363">
        <row r="7">
          <cell r="AI7">
            <v>10000</v>
          </cell>
        </row>
      </sheetData>
      <sheetData sheetId="14364">
        <row r="7">
          <cell r="AI7">
            <v>10000</v>
          </cell>
        </row>
      </sheetData>
      <sheetData sheetId="14365">
        <row r="7">
          <cell r="AI7">
            <v>10000</v>
          </cell>
        </row>
      </sheetData>
      <sheetData sheetId="14366">
        <row r="7">
          <cell r="AI7">
            <v>10000</v>
          </cell>
        </row>
      </sheetData>
      <sheetData sheetId="14367">
        <row r="7">
          <cell r="AI7">
            <v>10000</v>
          </cell>
        </row>
      </sheetData>
      <sheetData sheetId="14368">
        <row r="7">
          <cell r="AI7">
            <v>10000</v>
          </cell>
        </row>
      </sheetData>
      <sheetData sheetId="14369">
        <row r="7">
          <cell r="AI7">
            <v>10000</v>
          </cell>
        </row>
      </sheetData>
      <sheetData sheetId="14370">
        <row r="7">
          <cell r="AI7">
            <v>10000</v>
          </cell>
        </row>
      </sheetData>
      <sheetData sheetId="14371">
        <row r="7">
          <cell r="AI7">
            <v>10000</v>
          </cell>
        </row>
      </sheetData>
      <sheetData sheetId="14372">
        <row r="7">
          <cell r="AI7">
            <v>10000</v>
          </cell>
        </row>
      </sheetData>
      <sheetData sheetId="14373">
        <row r="7">
          <cell r="AI7">
            <v>10000</v>
          </cell>
        </row>
      </sheetData>
      <sheetData sheetId="14374">
        <row r="7">
          <cell r="AI7">
            <v>10000</v>
          </cell>
        </row>
      </sheetData>
      <sheetData sheetId="14375">
        <row r="7">
          <cell r="AI7">
            <v>10000</v>
          </cell>
        </row>
      </sheetData>
      <sheetData sheetId="14376">
        <row r="7">
          <cell r="AI7">
            <v>10000</v>
          </cell>
        </row>
      </sheetData>
      <sheetData sheetId="14377">
        <row r="7">
          <cell r="AI7">
            <v>10000</v>
          </cell>
        </row>
      </sheetData>
      <sheetData sheetId="14378">
        <row r="7">
          <cell r="AI7">
            <v>10000</v>
          </cell>
        </row>
      </sheetData>
      <sheetData sheetId="14379">
        <row r="7">
          <cell r="AI7">
            <v>10000</v>
          </cell>
        </row>
      </sheetData>
      <sheetData sheetId="14380">
        <row r="7">
          <cell r="AI7">
            <v>10000</v>
          </cell>
        </row>
      </sheetData>
      <sheetData sheetId="14381">
        <row r="7">
          <cell r="AI7">
            <v>10000</v>
          </cell>
        </row>
      </sheetData>
      <sheetData sheetId="14382">
        <row r="7">
          <cell r="AI7">
            <v>10000</v>
          </cell>
        </row>
      </sheetData>
      <sheetData sheetId="14383">
        <row r="7">
          <cell r="AI7">
            <v>10000</v>
          </cell>
        </row>
      </sheetData>
      <sheetData sheetId="14384">
        <row r="7">
          <cell r="AI7">
            <v>10000</v>
          </cell>
        </row>
      </sheetData>
      <sheetData sheetId="14385">
        <row r="7">
          <cell r="AI7">
            <v>10000</v>
          </cell>
        </row>
      </sheetData>
      <sheetData sheetId="14386">
        <row r="7">
          <cell r="AI7">
            <v>10000</v>
          </cell>
        </row>
      </sheetData>
      <sheetData sheetId="14387">
        <row r="7">
          <cell r="AI7">
            <v>10000</v>
          </cell>
        </row>
      </sheetData>
      <sheetData sheetId="14388">
        <row r="7">
          <cell r="AI7">
            <v>10000</v>
          </cell>
        </row>
      </sheetData>
      <sheetData sheetId="14389">
        <row r="7">
          <cell r="AI7">
            <v>10000</v>
          </cell>
        </row>
      </sheetData>
      <sheetData sheetId="14390">
        <row r="7">
          <cell r="AI7">
            <v>10000</v>
          </cell>
        </row>
      </sheetData>
      <sheetData sheetId="14391">
        <row r="7">
          <cell r="AI7">
            <v>10000</v>
          </cell>
        </row>
      </sheetData>
      <sheetData sheetId="14392">
        <row r="7">
          <cell r="AI7">
            <v>10000</v>
          </cell>
        </row>
      </sheetData>
      <sheetData sheetId="14393">
        <row r="7">
          <cell r="AI7">
            <v>10000</v>
          </cell>
        </row>
      </sheetData>
      <sheetData sheetId="14394">
        <row r="7">
          <cell r="AI7">
            <v>10000</v>
          </cell>
        </row>
      </sheetData>
      <sheetData sheetId="14395">
        <row r="7">
          <cell r="AI7">
            <v>10000</v>
          </cell>
        </row>
      </sheetData>
      <sheetData sheetId="14396">
        <row r="7">
          <cell r="AI7">
            <v>10000</v>
          </cell>
        </row>
      </sheetData>
      <sheetData sheetId="14397">
        <row r="7">
          <cell r="AI7">
            <v>10000</v>
          </cell>
        </row>
      </sheetData>
      <sheetData sheetId="14398">
        <row r="7">
          <cell r="AI7">
            <v>10000</v>
          </cell>
        </row>
      </sheetData>
      <sheetData sheetId="14399">
        <row r="7">
          <cell r="AI7">
            <v>10000</v>
          </cell>
        </row>
      </sheetData>
      <sheetData sheetId="14400">
        <row r="7">
          <cell r="AI7">
            <v>10000</v>
          </cell>
        </row>
      </sheetData>
      <sheetData sheetId="14401">
        <row r="7">
          <cell r="AI7">
            <v>10000</v>
          </cell>
        </row>
      </sheetData>
      <sheetData sheetId="14402">
        <row r="7">
          <cell r="AI7">
            <v>10000</v>
          </cell>
        </row>
      </sheetData>
      <sheetData sheetId="14403">
        <row r="7">
          <cell r="AI7">
            <v>10000</v>
          </cell>
        </row>
      </sheetData>
      <sheetData sheetId="14404">
        <row r="7">
          <cell r="AI7">
            <v>10000</v>
          </cell>
        </row>
      </sheetData>
      <sheetData sheetId="14405">
        <row r="7">
          <cell r="AI7">
            <v>10000</v>
          </cell>
        </row>
      </sheetData>
      <sheetData sheetId="14406">
        <row r="7">
          <cell r="AI7">
            <v>10000</v>
          </cell>
        </row>
      </sheetData>
      <sheetData sheetId="14407">
        <row r="7">
          <cell r="AI7">
            <v>10000</v>
          </cell>
        </row>
      </sheetData>
      <sheetData sheetId="14408">
        <row r="7">
          <cell r="AI7">
            <v>10000</v>
          </cell>
        </row>
      </sheetData>
      <sheetData sheetId="14409">
        <row r="7">
          <cell r="AI7">
            <v>10000</v>
          </cell>
        </row>
      </sheetData>
      <sheetData sheetId="14410">
        <row r="7">
          <cell r="AI7">
            <v>10000</v>
          </cell>
        </row>
      </sheetData>
      <sheetData sheetId="14411">
        <row r="7">
          <cell r="AI7">
            <v>10000</v>
          </cell>
        </row>
      </sheetData>
      <sheetData sheetId="14412">
        <row r="7">
          <cell r="AI7">
            <v>10000</v>
          </cell>
        </row>
      </sheetData>
      <sheetData sheetId="14413">
        <row r="7">
          <cell r="AI7">
            <v>10000</v>
          </cell>
        </row>
      </sheetData>
      <sheetData sheetId="14414">
        <row r="7">
          <cell r="AI7">
            <v>10000</v>
          </cell>
        </row>
      </sheetData>
      <sheetData sheetId="14415">
        <row r="7">
          <cell r="AI7">
            <v>10000</v>
          </cell>
        </row>
      </sheetData>
      <sheetData sheetId="14416">
        <row r="7">
          <cell r="AI7">
            <v>10000</v>
          </cell>
        </row>
      </sheetData>
      <sheetData sheetId="14417">
        <row r="7">
          <cell r="AI7">
            <v>10000</v>
          </cell>
        </row>
      </sheetData>
      <sheetData sheetId="14418">
        <row r="7">
          <cell r="AI7">
            <v>10000</v>
          </cell>
        </row>
      </sheetData>
      <sheetData sheetId="14419">
        <row r="7">
          <cell r="AI7">
            <v>10000</v>
          </cell>
        </row>
      </sheetData>
      <sheetData sheetId="14420">
        <row r="7">
          <cell r="AI7">
            <v>10000</v>
          </cell>
        </row>
      </sheetData>
      <sheetData sheetId="14421">
        <row r="7">
          <cell r="AI7">
            <v>10000</v>
          </cell>
        </row>
      </sheetData>
      <sheetData sheetId="14422">
        <row r="7">
          <cell r="AI7">
            <v>10000</v>
          </cell>
        </row>
      </sheetData>
      <sheetData sheetId="14423">
        <row r="7">
          <cell r="AI7">
            <v>10000</v>
          </cell>
        </row>
      </sheetData>
      <sheetData sheetId="14424">
        <row r="7">
          <cell r="AI7">
            <v>10000</v>
          </cell>
        </row>
      </sheetData>
      <sheetData sheetId="14425">
        <row r="7">
          <cell r="AI7">
            <v>10000</v>
          </cell>
        </row>
      </sheetData>
      <sheetData sheetId="14426">
        <row r="7">
          <cell r="AI7">
            <v>10000</v>
          </cell>
        </row>
      </sheetData>
      <sheetData sheetId="14427">
        <row r="7">
          <cell r="AI7">
            <v>10000</v>
          </cell>
        </row>
      </sheetData>
      <sheetData sheetId="14428">
        <row r="7">
          <cell r="AI7">
            <v>10000</v>
          </cell>
        </row>
      </sheetData>
      <sheetData sheetId="14429">
        <row r="7">
          <cell r="AI7">
            <v>10000</v>
          </cell>
        </row>
      </sheetData>
      <sheetData sheetId="14430">
        <row r="7">
          <cell r="AI7">
            <v>10000</v>
          </cell>
        </row>
      </sheetData>
      <sheetData sheetId="14431">
        <row r="7">
          <cell r="AI7">
            <v>10000</v>
          </cell>
        </row>
      </sheetData>
      <sheetData sheetId="14432">
        <row r="7">
          <cell r="AI7">
            <v>10000</v>
          </cell>
        </row>
      </sheetData>
      <sheetData sheetId="14433">
        <row r="7">
          <cell r="AI7">
            <v>10000</v>
          </cell>
        </row>
      </sheetData>
      <sheetData sheetId="14434">
        <row r="7">
          <cell r="AI7">
            <v>10000</v>
          </cell>
        </row>
      </sheetData>
      <sheetData sheetId="14435">
        <row r="7">
          <cell r="AI7">
            <v>10000</v>
          </cell>
        </row>
      </sheetData>
      <sheetData sheetId="14436">
        <row r="7">
          <cell r="AI7">
            <v>10000</v>
          </cell>
        </row>
      </sheetData>
      <sheetData sheetId="14437">
        <row r="7">
          <cell r="AI7">
            <v>10000</v>
          </cell>
        </row>
      </sheetData>
      <sheetData sheetId="14438">
        <row r="7">
          <cell r="AI7">
            <v>10000</v>
          </cell>
        </row>
      </sheetData>
      <sheetData sheetId="14439">
        <row r="7">
          <cell r="AI7">
            <v>10000</v>
          </cell>
        </row>
      </sheetData>
      <sheetData sheetId="14440">
        <row r="7">
          <cell r="AI7">
            <v>10000</v>
          </cell>
        </row>
      </sheetData>
      <sheetData sheetId="14441">
        <row r="7">
          <cell r="AI7">
            <v>10000</v>
          </cell>
        </row>
      </sheetData>
      <sheetData sheetId="14442">
        <row r="7">
          <cell r="AI7">
            <v>10000</v>
          </cell>
        </row>
      </sheetData>
      <sheetData sheetId="14443">
        <row r="7">
          <cell r="AI7">
            <v>10000</v>
          </cell>
        </row>
      </sheetData>
      <sheetData sheetId="14444">
        <row r="7">
          <cell r="AI7">
            <v>10000</v>
          </cell>
        </row>
      </sheetData>
      <sheetData sheetId="14445">
        <row r="7">
          <cell r="AI7">
            <v>10000</v>
          </cell>
        </row>
      </sheetData>
      <sheetData sheetId="14446">
        <row r="7">
          <cell r="AI7">
            <v>10000</v>
          </cell>
        </row>
      </sheetData>
      <sheetData sheetId="14447">
        <row r="7">
          <cell r="AI7">
            <v>10000</v>
          </cell>
        </row>
      </sheetData>
      <sheetData sheetId="14448">
        <row r="7">
          <cell r="AI7">
            <v>10000</v>
          </cell>
        </row>
      </sheetData>
      <sheetData sheetId="14449">
        <row r="7">
          <cell r="AI7">
            <v>10000</v>
          </cell>
        </row>
      </sheetData>
      <sheetData sheetId="14450">
        <row r="7">
          <cell r="AI7">
            <v>10000</v>
          </cell>
        </row>
      </sheetData>
      <sheetData sheetId="14451">
        <row r="7">
          <cell r="AI7">
            <v>10000</v>
          </cell>
        </row>
      </sheetData>
      <sheetData sheetId="14452">
        <row r="7">
          <cell r="AI7">
            <v>10000</v>
          </cell>
        </row>
      </sheetData>
      <sheetData sheetId="14453">
        <row r="7">
          <cell r="AI7">
            <v>10000</v>
          </cell>
        </row>
      </sheetData>
      <sheetData sheetId="14454">
        <row r="7">
          <cell r="AI7">
            <v>10000</v>
          </cell>
        </row>
      </sheetData>
      <sheetData sheetId="14455">
        <row r="7">
          <cell r="AI7">
            <v>10000</v>
          </cell>
        </row>
      </sheetData>
      <sheetData sheetId="14456">
        <row r="7">
          <cell r="AI7">
            <v>10000</v>
          </cell>
        </row>
      </sheetData>
      <sheetData sheetId="14457">
        <row r="7">
          <cell r="AI7">
            <v>10000</v>
          </cell>
        </row>
      </sheetData>
      <sheetData sheetId="14458">
        <row r="7">
          <cell r="AI7">
            <v>10000</v>
          </cell>
        </row>
      </sheetData>
      <sheetData sheetId="14459">
        <row r="7">
          <cell r="AI7">
            <v>10000</v>
          </cell>
        </row>
      </sheetData>
      <sheetData sheetId="14460">
        <row r="7">
          <cell r="AI7">
            <v>10000</v>
          </cell>
        </row>
      </sheetData>
      <sheetData sheetId="14461">
        <row r="7">
          <cell r="AI7">
            <v>10000</v>
          </cell>
        </row>
      </sheetData>
      <sheetData sheetId="14462">
        <row r="7">
          <cell r="AI7">
            <v>10000</v>
          </cell>
        </row>
      </sheetData>
      <sheetData sheetId="14463">
        <row r="7">
          <cell r="AI7">
            <v>10000</v>
          </cell>
        </row>
      </sheetData>
      <sheetData sheetId="14464">
        <row r="7">
          <cell r="AI7">
            <v>10000</v>
          </cell>
        </row>
      </sheetData>
      <sheetData sheetId="14465">
        <row r="7">
          <cell r="AI7">
            <v>10000</v>
          </cell>
        </row>
      </sheetData>
      <sheetData sheetId="14466">
        <row r="7">
          <cell r="AI7">
            <v>10000</v>
          </cell>
        </row>
      </sheetData>
      <sheetData sheetId="14467">
        <row r="7">
          <cell r="AI7">
            <v>10000</v>
          </cell>
        </row>
      </sheetData>
      <sheetData sheetId="14468">
        <row r="7">
          <cell r="AI7">
            <v>10000</v>
          </cell>
        </row>
      </sheetData>
      <sheetData sheetId="14469">
        <row r="7">
          <cell r="AI7">
            <v>10000</v>
          </cell>
        </row>
      </sheetData>
      <sheetData sheetId="14470">
        <row r="7">
          <cell r="AI7">
            <v>10000</v>
          </cell>
        </row>
      </sheetData>
      <sheetData sheetId="14471">
        <row r="7">
          <cell r="AI7">
            <v>10000</v>
          </cell>
        </row>
      </sheetData>
      <sheetData sheetId="14472">
        <row r="7">
          <cell r="AI7">
            <v>10000</v>
          </cell>
        </row>
      </sheetData>
      <sheetData sheetId="14473">
        <row r="7">
          <cell r="AI7">
            <v>10000</v>
          </cell>
        </row>
      </sheetData>
      <sheetData sheetId="14474">
        <row r="7">
          <cell r="AI7">
            <v>10000</v>
          </cell>
        </row>
      </sheetData>
      <sheetData sheetId="14475">
        <row r="7">
          <cell r="AI7">
            <v>10000</v>
          </cell>
        </row>
      </sheetData>
      <sheetData sheetId="14476">
        <row r="7">
          <cell r="AI7">
            <v>10000</v>
          </cell>
        </row>
      </sheetData>
      <sheetData sheetId="14477">
        <row r="7">
          <cell r="AI7">
            <v>10000</v>
          </cell>
        </row>
      </sheetData>
      <sheetData sheetId="14478">
        <row r="7">
          <cell r="AI7">
            <v>10000</v>
          </cell>
        </row>
      </sheetData>
      <sheetData sheetId="14479">
        <row r="7">
          <cell r="AI7">
            <v>10000</v>
          </cell>
        </row>
      </sheetData>
      <sheetData sheetId="14480">
        <row r="7">
          <cell r="AI7">
            <v>10000</v>
          </cell>
        </row>
      </sheetData>
      <sheetData sheetId="14481">
        <row r="7">
          <cell r="AI7">
            <v>10000</v>
          </cell>
        </row>
      </sheetData>
      <sheetData sheetId="14482">
        <row r="7">
          <cell r="AI7">
            <v>10000</v>
          </cell>
        </row>
      </sheetData>
      <sheetData sheetId="14483">
        <row r="7">
          <cell r="AI7">
            <v>10000</v>
          </cell>
        </row>
      </sheetData>
      <sheetData sheetId="14484">
        <row r="7">
          <cell r="AI7">
            <v>10000</v>
          </cell>
        </row>
      </sheetData>
      <sheetData sheetId="14485">
        <row r="7">
          <cell r="AI7">
            <v>10000</v>
          </cell>
        </row>
      </sheetData>
      <sheetData sheetId="14486">
        <row r="7">
          <cell r="AI7">
            <v>10000</v>
          </cell>
        </row>
      </sheetData>
      <sheetData sheetId="14487">
        <row r="7">
          <cell r="AI7">
            <v>10000</v>
          </cell>
        </row>
      </sheetData>
      <sheetData sheetId="14488">
        <row r="7">
          <cell r="AI7">
            <v>10000</v>
          </cell>
        </row>
      </sheetData>
      <sheetData sheetId="14489">
        <row r="7">
          <cell r="AI7">
            <v>10000</v>
          </cell>
        </row>
      </sheetData>
      <sheetData sheetId="14490">
        <row r="7">
          <cell r="AI7">
            <v>10000</v>
          </cell>
        </row>
      </sheetData>
      <sheetData sheetId="14491">
        <row r="7">
          <cell r="AI7">
            <v>10000</v>
          </cell>
        </row>
      </sheetData>
      <sheetData sheetId="14492">
        <row r="7">
          <cell r="AI7">
            <v>10000</v>
          </cell>
        </row>
      </sheetData>
      <sheetData sheetId="14493">
        <row r="7">
          <cell r="AI7">
            <v>10000</v>
          </cell>
        </row>
      </sheetData>
      <sheetData sheetId="14494">
        <row r="7">
          <cell r="AI7">
            <v>10000</v>
          </cell>
        </row>
      </sheetData>
      <sheetData sheetId="14495">
        <row r="7">
          <cell r="AI7">
            <v>10000</v>
          </cell>
        </row>
      </sheetData>
      <sheetData sheetId="14496">
        <row r="7">
          <cell r="AI7">
            <v>10000</v>
          </cell>
        </row>
      </sheetData>
      <sheetData sheetId="14497">
        <row r="7">
          <cell r="AI7">
            <v>10000</v>
          </cell>
        </row>
      </sheetData>
      <sheetData sheetId="14498">
        <row r="7">
          <cell r="AI7">
            <v>10000</v>
          </cell>
        </row>
      </sheetData>
      <sheetData sheetId="14499">
        <row r="7">
          <cell r="AI7">
            <v>10000</v>
          </cell>
        </row>
      </sheetData>
      <sheetData sheetId="14500">
        <row r="7">
          <cell r="AI7">
            <v>10000</v>
          </cell>
        </row>
      </sheetData>
      <sheetData sheetId="14501">
        <row r="7">
          <cell r="AI7">
            <v>10000</v>
          </cell>
        </row>
      </sheetData>
      <sheetData sheetId="14502">
        <row r="7">
          <cell r="AI7">
            <v>10000</v>
          </cell>
        </row>
      </sheetData>
      <sheetData sheetId="14503">
        <row r="7">
          <cell r="AI7">
            <v>10000</v>
          </cell>
        </row>
      </sheetData>
      <sheetData sheetId="14504">
        <row r="7">
          <cell r="AI7">
            <v>10000</v>
          </cell>
        </row>
      </sheetData>
      <sheetData sheetId="14505">
        <row r="7">
          <cell r="AI7">
            <v>10000</v>
          </cell>
        </row>
      </sheetData>
      <sheetData sheetId="14506">
        <row r="7">
          <cell r="AI7">
            <v>10000</v>
          </cell>
        </row>
      </sheetData>
      <sheetData sheetId="14507">
        <row r="7">
          <cell r="AI7">
            <v>10000</v>
          </cell>
        </row>
      </sheetData>
      <sheetData sheetId="14508">
        <row r="7">
          <cell r="AI7">
            <v>10000</v>
          </cell>
        </row>
      </sheetData>
      <sheetData sheetId="14509">
        <row r="7">
          <cell r="AI7">
            <v>10000</v>
          </cell>
        </row>
      </sheetData>
      <sheetData sheetId="14510">
        <row r="7">
          <cell r="AI7">
            <v>10000</v>
          </cell>
        </row>
      </sheetData>
      <sheetData sheetId="14511">
        <row r="7">
          <cell r="AI7">
            <v>10000</v>
          </cell>
        </row>
      </sheetData>
      <sheetData sheetId="14512">
        <row r="7">
          <cell r="AI7">
            <v>10000</v>
          </cell>
        </row>
      </sheetData>
      <sheetData sheetId="14513">
        <row r="7">
          <cell r="AI7">
            <v>10000</v>
          </cell>
        </row>
      </sheetData>
      <sheetData sheetId="14514">
        <row r="7">
          <cell r="AI7">
            <v>10000</v>
          </cell>
        </row>
      </sheetData>
      <sheetData sheetId="14515">
        <row r="7">
          <cell r="AI7">
            <v>10000</v>
          </cell>
        </row>
      </sheetData>
      <sheetData sheetId="14516">
        <row r="7">
          <cell r="AI7">
            <v>10000</v>
          </cell>
        </row>
      </sheetData>
      <sheetData sheetId="14517">
        <row r="7">
          <cell r="AI7">
            <v>10000</v>
          </cell>
        </row>
      </sheetData>
      <sheetData sheetId="14518">
        <row r="7">
          <cell r="AI7">
            <v>10000</v>
          </cell>
        </row>
      </sheetData>
      <sheetData sheetId="14519">
        <row r="7">
          <cell r="AI7">
            <v>10000</v>
          </cell>
        </row>
      </sheetData>
      <sheetData sheetId="14520">
        <row r="7">
          <cell r="AI7">
            <v>10000</v>
          </cell>
        </row>
      </sheetData>
      <sheetData sheetId="14521">
        <row r="7">
          <cell r="AI7">
            <v>10000</v>
          </cell>
        </row>
      </sheetData>
      <sheetData sheetId="14522">
        <row r="7">
          <cell r="AI7">
            <v>10000</v>
          </cell>
        </row>
      </sheetData>
      <sheetData sheetId="14523">
        <row r="7">
          <cell r="AI7">
            <v>10000</v>
          </cell>
        </row>
      </sheetData>
      <sheetData sheetId="14524">
        <row r="7">
          <cell r="AI7">
            <v>10000</v>
          </cell>
        </row>
      </sheetData>
      <sheetData sheetId="14525">
        <row r="7">
          <cell r="AI7">
            <v>10000</v>
          </cell>
        </row>
      </sheetData>
      <sheetData sheetId="14526">
        <row r="7">
          <cell r="AI7">
            <v>10000</v>
          </cell>
        </row>
      </sheetData>
      <sheetData sheetId="14527">
        <row r="7">
          <cell r="AI7">
            <v>10000</v>
          </cell>
        </row>
      </sheetData>
      <sheetData sheetId="14528">
        <row r="7">
          <cell r="AI7">
            <v>10000</v>
          </cell>
        </row>
      </sheetData>
      <sheetData sheetId="14529">
        <row r="7">
          <cell r="AI7">
            <v>10000</v>
          </cell>
        </row>
      </sheetData>
      <sheetData sheetId="14530">
        <row r="7">
          <cell r="AI7">
            <v>10000</v>
          </cell>
        </row>
      </sheetData>
      <sheetData sheetId="14531">
        <row r="7">
          <cell r="AI7">
            <v>10000</v>
          </cell>
        </row>
      </sheetData>
      <sheetData sheetId="14532">
        <row r="7">
          <cell r="AI7">
            <v>10000</v>
          </cell>
        </row>
      </sheetData>
      <sheetData sheetId="14533">
        <row r="7">
          <cell r="AI7">
            <v>10000</v>
          </cell>
        </row>
      </sheetData>
      <sheetData sheetId="14534">
        <row r="7">
          <cell r="AI7">
            <v>10000</v>
          </cell>
        </row>
      </sheetData>
      <sheetData sheetId="14535">
        <row r="7">
          <cell r="AI7">
            <v>10000</v>
          </cell>
        </row>
      </sheetData>
      <sheetData sheetId="14536">
        <row r="7">
          <cell r="AI7">
            <v>10000</v>
          </cell>
        </row>
      </sheetData>
      <sheetData sheetId="14537">
        <row r="7">
          <cell r="AI7">
            <v>10000</v>
          </cell>
        </row>
      </sheetData>
      <sheetData sheetId="14538">
        <row r="7">
          <cell r="AI7">
            <v>10000</v>
          </cell>
        </row>
      </sheetData>
      <sheetData sheetId="14539">
        <row r="7">
          <cell r="AI7">
            <v>10000</v>
          </cell>
        </row>
      </sheetData>
      <sheetData sheetId="14540">
        <row r="7">
          <cell r="AI7">
            <v>10000</v>
          </cell>
        </row>
      </sheetData>
      <sheetData sheetId="14541">
        <row r="7">
          <cell r="AI7">
            <v>10000</v>
          </cell>
        </row>
      </sheetData>
      <sheetData sheetId="14542">
        <row r="7">
          <cell r="AI7">
            <v>10000</v>
          </cell>
        </row>
      </sheetData>
      <sheetData sheetId="14543">
        <row r="7">
          <cell r="AI7">
            <v>10000</v>
          </cell>
        </row>
      </sheetData>
      <sheetData sheetId="14544">
        <row r="7">
          <cell r="AI7">
            <v>10000</v>
          </cell>
        </row>
      </sheetData>
      <sheetData sheetId="14545">
        <row r="7">
          <cell r="AI7">
            <v>10000</v>
          </cell>
        </row>
      </sheetData>
      <sheetData sheetId="14546">
        <row r="7">
          <cell r="AI7">
            <v>10000</v>
          </cell>
        </row>
      </sheetData>
      <sheetData sheetId="14547">
        <row r="7">
          <cell r="AI7">
            <v>10000</v>
          </cell>
        </row>
      </sheetData>
      <sheetData sheetId="14548">
        <row r="7">
          <cell r="AI7">
            <v>10000</v>
          </cell>
        </row>
      </sheetData>
      <sheetData sheetId="14549">
        <row r="7">
          <cell r="AI7">
            <v>10000</v>
          </cell>
        </row>
      </sheetData>
      <sheetData sheetId="14550">
        <row r="7">
          <cell r="AI7">
            <v>10000</v>
          </cell>
        </row>
      </sheetData>
      <sheetData sheetId="14551">
        <row r="7">
          <cell r="AI7">
            <v>10000</v>
          </cell>
        </row>
      </sheetData>
      <sheetData sheetId="14552">
        <row r="7">
          <cell r="AI7">
            <v>10000</v>
          </cell>
        </row>
      </sheetData>
      <sheetData sheetId="14553">
        <row r="7">
          <cell r="AI7">
            <v>10000</v>
          </cell>
        </row>
      </sheetData>
      <sheetData sheetId="14554">
        <row r="7">
          <cell r="AI7">
            <v>10000</v>
          </cell>
        </row>
      </sheetData>
      <sheetData sheetId="14555">
        <row r="7">
          <cell r="AI7">
            <v>10000</v>
          </cell>
        </row>
      </sheetData>
      <sheetData sheetId="14556">
        <row r="7">
          <cell r="AI7">
            <v>10000</v>
          </cell>
        </row>
      </sheetData>
      <sheetData sheetId="14557">
        <row r="7">
          <cell r="AI7">
            <v>10000</v>
          </cell>
        </row>
      </sheetData>
      <sheetData sheetId="14558">
        <row r="7">
          <cell r="AI7">
            <v>10000</v>
          </cell>
        </row>
      </sheetData>
      <sheetData sheetId="14559">
        <row r="7">
          <cell r="AI7">
            <v>10000</v>
          </cell>
        </row>
      </sheetData>
      <sheetData sheetId="14560">
        <row r="7">
          <cell r="AI7">
            <v>10000</v>
          </cell>
        </row>
      </sheetData>
      <sheetData sheetId="14561">
        <row r="7">
          <cell r="AI7">
            <v>10000</v>
          </cell>
        </row>
      </sheetData>
      <sheetData sheetId="14562">
        <row r="7">
          <cell r="AI7">
            <v>10000</v>
          </cell>
        </row>
      </sheetData>
      <sheetData sheetId="14563">
        <row r="7">
          <cell r="AI7">
            <v>10000</v>
          </cell>
        </row>
      </sheetData>
      <sheetData sheetId="14564">
        <row r="7">
          <cell r="AI7">
            <v>10000</v>
          </cell>
        </row>
      </sheetData>
      <sheetData sheetId="14565">
        <row r="7">
          <cell r="AI7">
            <v>10000</v>
          </cell>
        </row>
      </sheetData>
      <sheetData sheetId="14566">
        <row r="7">
          <cell r="AI7">
            <v>10000</v>
          </cell>
        </row>
      </sheetData>
      <sheetData sheetId="14567">
        <row r="7">
          <cell r="AI7">
            <v>10000</v>
          </cell>
        </row>
      </sheetData>
      <sheetData sheetId="14568">
        <row r="7">
          <cell r="AI7">
            <v>10000</v>
          </cell>
        </row>
      </sheetData>
      <sheetData sheetId="14569">
        <row r="7">
          <cell r="AI7">
            <v>10000</v>
          </cell>
        </row>
      </sheetData>
      <sheetData sheetId="14570">
        <row r="7">
          <cell r="AI7">
            <v>10000</v>
          </cell>
        </row>
      </sheetData>
      <sheetData sheetId="14571">
        <row r="7">
          <cell r="AI7">
            <v>10000</v>
          </cell>
        </row>
      </sheetData>
      <sheetData sheetId="14572">
        <row r="7">
          <cell r="AI7">
            <v>10000</v>
          </cell>
        </row>
      </sheetData>
      <sheetData sheetId="14573">
        <row r="7">
          <cell r="AI7">
            <v>10000</v>
          </cell>
        </row>
      </sheetData>
      <sheetData sheetId="14574">
        <row r="7">
          <cell r="AI7">
            <v>10000</v>
          </cell>
        </row>
      </sheetData>
      <sheetData sheetId="14575">
        <row r="7">
          <cell r="AI7">
            <v>10000</v>
          </cell>
        </row>
      </sheetData>
      <sheetData sheetId="14576">
        <row r="7">
          <cell r="AI7">
            <v>10000</v>
          </cell>
        </row>
      </sheetData>
      <sheetData sheetId="14577">
        <row r="7">
          <cell r="AI7">
            <v>10000</v>
          </cell>
        </row>
      </sheetData>
      <sheetData sheetId="14578">
        <row r="7">
          <cell r="AI7">
            <v>10000</v>
          </cell>
        </row>
      </sheetData>
      <sheetData sheetId="14579">
        <row r="7">
          <cell r="AI7">
            <v>10000</v>
          </cell>
        </row>
      </sheetData>
      <sheetData sheetId="14580">
        <row r="7">
          <cell r="AI7">
            <v>10000</v>
          </cell>
        </row>
      </sheetData>
      <sheetData sheetId="14581">
        <row r="7">
          <cell r="AI7">
            <v>10000</v>
          </cell>
        </row>
      </sheetData>
      <sheetData sheetId="14582">
        <row r="7">
          <cell r="AI7">
            <v>10000</v>
          </cell>
        </row>
      </sheetData>
      <sheetData sheetId="14583">
        <row r="7">
          <cell r="AI7">
            <v>10000</v>
          </cell>
        </row>
      </sheetData>
      <sheetData sheetId="14584">
        <row r="7">
          <cell r="AI7">
            <v>10000</v>
          </cell>
        </row>
      </sheetData>
      <sheetData sheetId="14585">
        <row r="7">
          <cell r="AI7">
            <v>10000</v>
          </cell>
        </row>
      </sheetData>
      <sheetData sheetId="14586">
        <row r="7">
          <cell r="AI7">
            <v>10000</v>
          </cell>
        </row>
      </sheetData>
      <sheetData sheetId="14587">
        <row r="7">
          <cell r="AI7">
            <v>10000</v>
          </cell>
        </row>
      </sheetData>
      <sheetData sheetId="14588">
        <row r="7">
          <cell r="AI7">
            <v>10000</v>
          </cell>
        </row>
      </sheetData>
      <sheetData sheetId="14589">
        <row r="7">
          <cell r="AI7">
            <v>10000</v>
          </cell>
        </row>
      </sheetData>
      <sheetData sheetId="14590">
        <row r="7">
          <cell r="AI7">
            <v>10000</v>
          </cell>
        </row>
      </sheetData>
      <sheetData sheetId="14591">
        <row r="7">
          <cell r="AI7">
            <v>10000</v>
          </cell>
        </row>
      </sheetData>
      <sheetData sheetId="14592">
        <row r="7">
          <cell r="AI7">
            <v>10000</v>
          </cell>
        </row>
      </sheetData>
      <sheetData sheetId="14593">
        <row r="7">
          <cell r="AI7">
            <v>10000</v>
          </cell>
        </row>
      </sheetData>
      <sheetData sheetId="14594">
        <row r="7">
          <cell r="AI7">
            <v>10000</v>
          </cell>
        </row>
      </sheetData>
      <sheetData sheetId="14595">
        <row r="7">
          <cell r="AI7">
            <v>10000</v>
          </cell>
        </row>
      </sheetData>
      <sheetData sheetId="14596">
        <row r="7">
          <cell r="AI7">
            <v>10000</v>
          </cell>
        </row>
      </sheetData>
      <sheetData sheetId="14597">
        <row r="7">
          <cell r="AI7">
            <v>10000</v>
          </cell>
        </row>
      </sheetData>
      <sheetData sheetId="14598">
        <row r="7">
          <cell r="AI7">
            <v>10000</v>
          </cell>
        </row>
      </sheetData>
      <sheetData sheetId="14599">
        <row r="7">
          <cell r="AI7">
            <v>10000</v>
          </cell>
        </row>
      </sheetData>
      <sheetData sheetId="14600">
        <row r="7">
          <cell r="AI7">
            <v>10000</v>
          </cell>
        </row>
      </sheetData>
      <sheetData sheetId="14601">
        <row r="7">
          <cell r="AI7">
            <v>10000</v>
          </cell>
        </row>
      </sheetData>
      <sheetData sheetId="14602">
        <row r="7">
          <cell r="AI7">
            <v>10000</v>
          </cell>
        </row>
      </sheetData>
      <sheetData sheetId="14603">
        <row r="7">
          <cell r="AI7">
            <v>10000</v>
          </cell>
        </row>
      </sheetData>
      <sheetData sheetId="14604">
        <row r="7">
          <cell r="AI7">
            <v>10000</v>
          </cell>
        </row>
      </sheetData>
      <sheetData sheetId="14605">
        <row r="7">
          <cell r="AI7">
            <v>10000</v>
          </cell>
        </row>
      </sheetData>
      <sheetData sheetId="14606">
        <row r="7">
          <cell r="AI7">
            <v>10000</v>
          </cell>
        </row>
      </sheetData>
      <sheetData sheetId="14607">
        <row r="7">
          <cell r="AI7">
            <v>10000</v>
          </cell>
        </row>
      </sheetData>
      <sheetData sheetId="14608">
        <row r="7">
          <cell r="AI7">
            <v>10000</v>
          </cell>
        </row>
      </sheetData>
      <sheetData sheetId="14609">
        <row r="7">
          <cell r="AI7">
            <v>10000</v>
          </cell>
        </row>
      </sheetData>
      <sheetData sheetId="14610">
        <row r="7">
          <cell r="AI7">
            <v>10000</v>
          </cell>
        </row>
      </sheetData>
      <sheetData sheetId="14611">
        <row r="7">
          <cell r="AI7">
            <v>10000</v>
          </cell>
        </row>
      </sheetData>
      <sheetData sheetId="14612">
        <row r="7">
          <cell r="AI7">
            <v>10000</v>
          </cell>
        </row>
      </sheetData>
      <sheetData sheetId="14613">
        <row r="7">
          <cell r="AI7">
            <v>10000</v>
          </cell>
        </row>
      </sheetData>
      <sheetData sheetId="14614">
        <row r="7">
          <cell r="AI7">
            <v>10000</v>
          </cell>
        </row>
      </sheetData>
      <sheetData sheetId="14615">
        <row r="7">
          <cell r="AI7">
            <v>10000</v>
          </cell>
        </row>
      </sheetData>
      <sheetData sheetId="14616">
        <row r="7">
          <cell r="AI7">
            <v>10000</v>
          </cell>
        </row>
      </sheetData>
      <sheetData sheetId="14617">
        <row r="7">
          <cell r="AI7">
            <v>10000</v>
          </cell>
        </row>
      </sheetData>
      <sheetData sheetId="14618">
        <row r="7">
          <cell r="AI7">
            <v>10000</v>
          </cell>
        </row>
      </sheetData>
      <sheetData sheetId="14619">
        <row r="7">
          <cell r="AI7">
            <v>10000</v>
          </cell>
        </row>
      </sheetData>
      <sheetData sheetId="14620">
        <row r="7">
          <cell r="AI7">
            <v>10000</v>
          </cell>
        </row>
      </sheetData>
      <sheetData sheetId="14621">
        <row r="7">
          <cell r="AI7">
            <v>10000</v>
          </cell>
        </row>
      </sheetData>
      <sheetData sheetId="14622">
        <row r="7">
          <cell r="AI7">
            <v>10000</v>
          </cell>
        </row>
      </sheetData>
      <sheetData sheetId="14623">
        <row r="7">
          <cell r="AI7">
            <v>10000</v>
          </cell>
        </row>
      </sheetData>
      <sheetData sheetId="14624">
        <row r="7">
          <cell r="AI7">
            <v>10000</v>
          </cell>
        </row>
      </sheetData>
      <sheetData sheetId="14625">
        <row r="7">
          <cell r="AI7">
            <v>10000</v>
          </cell>
        </row>
      </sheetData>
      <sheetData sheetId="14626">
        <row r="7">
          <cell r="AI7">
            <v>10000</v>
          </cell>
        </row>
      </sheetData>
      <sheetData sheetId="14627">
        <row r="7">
          <cell r="AI7">
            <v>10000</v>
          </cell>
        </row>
      </sheetData>
      <sheetData sheetId="14628">
        <row r="7">
          <cell r="AI7">
            <v>10000</v>
          </cell>
        </row>
      </sheetData>
      <sheetData sheetId="14629">
        <row r="7">
          <cell r="AI7">
            <v>10000</v>
          </cell>
        </row>
      </sheetData>
      <sheetData sheetId="14630">
        <row r="7">
          <cell r="AI7">
            <v>10000</v>
          </cell>
        </row>
      </sheetData>
      <sheetData sheetId="14631">
        <row r="7">
          <cell r="AI7">
            <v>10000</v>
          </cell>
        </row>
      </sheetData>
      <sheetData sheetId="14632">
        <row r="7">
          <cell r="AI7">
            <v>10000</v>
          </cell>
        </row>
      </sheetData>
      <sheetData sheetId="14633">
        <row r="7">
          <cell r="AI7">
            <v>10000</v>
          </cell>
        </row>
      </sheetData>
      <sheetData sheetId="14634">
        <row r="7">
          <cell r="AI7">
            <v>10000</v>
          </cell>
        </row>
      </sheetData>
      <sheetData sheetId="14635">
        <row r="7">
          <cell r="AI7">
            <v>10000</v>
          </cell>
        </row>
      </sheetData>
      <sheetData sheetId="14636">
        <row r="7">
          <cell r="AI7">
            <v>10000</v>
          </cell>
        </row>
      </sheetData>
      <sheetData sheetId="14637">
        <row r="7">
          <cell r="AI7">
            <v>10000</v>
          </cell>
        </row>
      </sheetData>
      <sheetData sheetId="14638">
        <row r="7">
          <cell r="AI7">
            <v>10000</v>
          </cell>
        </row>
      </sheetData>
      <sheetData sheetId="14639">
        <row r="7">
          <cell r="AI7">
            <v>10000</v>
          </cell>
        </row>
      </sheetData>
      <sheetData sheetId="14640">
        <row r="7">
          <cell r="AI7">
            <v>10000</v>
          </cell>
        </row>
      </sheetData>
      <sheetData sheetId="14641">
        <row r="7">
          <cell r="AI7">
            <v>10000</v>
          </cell>
        </row>
      </sheetData>
      <sheetData sheetId="14642">
        <row r="7">
          <cell r="AI7">
            <v>10000</v>
          </cell>
        </row>
      </sheetData>
      <sheetData sheetId="14643">
        <row r="7">
          <cell r="AI7">
            <v>10000</v>
          </cell>
        </row>
      </sheetData>
      <sheetData sheetId="14644">
        <row r="7">
          <cell r="AI7">
            <v>10000</v>
          </cell>
        </row>
      </sheetData>
      <sheetData sheetId="14645">
        <row r="7">
          <cell r="AI7">
            <v>10000</v>
          </cell>
        </row>
      </sheetData>
      <sheetData sheetId="14646">
        <row r="7">
          <cell r="AI7">
            <v>10000</v>
          </cell>
        </row>
      </sheetData>
      <sheetData sheetId="14647">
        <row r="7">
          <cell r="AI7">
            <v>10000</v>
          </cell>
        </row>
      </sheetData>
      <sheetData sheetId="14648">
        <row r="7">
          <cell r="AI7">
            <v>10000</v>
          </cell>
        </row>
      </sheetData>
      <sheetData sheetId="14649">
        <row r="7">
          <cell r="AI7">
            <v>10000</v>
          </cell>
        </row>
      </sheetData>
      <sheetData sheetId="14650">
        <row r="7">
          <cell r="AI7">
            <v>10000</v>
          </cell>
        </row>
      </sheetData>
      <sheetData sheetId="14651">
        <row r="7">
          <cell r="AI7">
            <v>10000</v>
          </cell>
        </row>
      </sheetData>
      <sheetData sheetId="14652">
        <row r="7">
          <cell r="AI7">
            <v>10000</v>
          </cell>
        </row>
      </sheetData>
      <sheetData sheetId="14653">
        <row r="7">
          <cell r="AI7">
            <v>10000</v>
          </cell>
        </row>
      </sheetData>
      <sheetData sheetId="14654">
        <row r="7">
          <cell r="AI7">
            <v>10000</v>
          </cell>
        </row>
      </sheetData>
      <sheetData sheetId="14655">
        <row r="7">
          <cell r="AI7">
            <v>10000</v>
          </cell>
        </row>
      </sheetData>
      <sheetData sheetId="14656">
        <row r="7">
          <cell r="AI7">
            <v>10000</v>
          </cell>
        </row>
      </sheetData>
      <sheetData sheetId="14657">
        <row r="7">
          <cell r="AI7">
            <v>10000</v>
          </cell>
        </row>
      </sheetData>
      <sheetData sheetId="14658">
        <row r="7">
          <cell r="AI7">
            <v>10000</v>
          </cell>
        </row>
      </sheetData>
      <sheetData sheetId="14659">
        <row r="7">
          <cell r="AI7">
            <v>10000</v>
          </cell>
        </row>
      </sheetData>
      <sheetData sheetId="14660">
        <row r="7">
          <cell r="AI7">
            <v>10000</v>
          </cell>
        </row>
      </sheetData>
      <sheetData sheetId="14661">
        <row r="7">
          <cell r="AI7">
            <v>10000</v>
          </cell>
        </row>
      </sheetData>
      <sheetData sheetId="14662">
        <row r="7">
          <cell r="AI7">
            <v>10000</v>
          </cell>
        </row>
      </sheetData>
      <sheetData sheetId="14663">
        <row r="7">
          <cell r="AI7">
            <v>10000</v>
          </cell>
        </row>
      </sheetData>
      <sheetData sheetId="14664">
        <row r="7">
          <cell r="AI7">
            <v>10000</v>
          </cell>
        </row>
      </sheetData>
      <sheetData sheetId="14665">
        <row r="7">
          <cell r="AI7">
            <v>10000</v>
          </cell>
        </row>
      </sheetData>
      <sheetData sheetId="14666">
        <row r="7">
          <cell r="AI7">
            <v>10000</v>
          </cell>
        </row>
      </sheetData>
      <sheetData sheetId="14667">
        <row r="7">
          <cell r="AI7">
            <v>10000</v>
          </cell>
        </row>
      </sheetData>
      <sheetData sheetId="14668">
        <row r="7">
          <cell r="AI7">
            <v>10000</v>
          </cell>
        </row>
      </sheetData>
      <sheetData sheetId="14669">
        <row r="7">
          <cell r="AI7">
            <v>10000</v>
          </cell>
        </row>
      </sheetData>
      <sheetData sheetId="14670">
        <row r="7">
          <cell r="AI7">
            <v>10000</v>
          </cell>
        </row>
      </sheetData>
      <sheetData sheetId="14671">
        <row r="7">
          <cell r="AI7">
            <v>10000</v>
          </cell>
        </row>
      </sheetData>
      <sheetData sheetId="14672">
        <row r="7">
          <cell r="AI7">
            <v>10000</v>
          </cell>
        </row>
      </sheetData>
      <sheetData sheetId="14673">
        <row r="7">
          <cell r="AI7">
            <v>10000</v>
          </cell>
        </row>
      </sheetData>
      <sheetData sheetId="14674">
        <row r="7">
          <cell r="AI7">
            <v>10000</v>
          </cell>
        </row>
      </sheetData>
      <sheetData sheetId="14675">
        <row r="7">
          <cell r="AI7">
            <v>10000</v>
          </cell>
        </row>
      </sheetData>
      <sheetData sheetId="14676">
        <row r="7">
          <cell r="AI7">
            <v>10000</v>
          </cell>
        </row>
      </sheetData>
      <sheetData sheetId="14677">
        <row r="7">
          <cell r="AI7">
            <v>10000</v>
          </cell>
        </row>
      </sheetData>
      <sheetData sheetId="14678">
        <row r="7">
          <cell r="AI7">
            <v>10000</v>
          </cell>
        </row>
      </sheetData>
      <sheetData sheetId="14679">
        <row r="7">
          <cell r="AI7">
            <v>10000</v>
          </cell>
        </row>
      </sheetData>
      <sheetData sheetId="14680">
        <row r="7">
          <cell r="AI7">
            <v>10000</v>
          </cell>
        </row>
      </sheetData>
      <sheetData sheetId="14681">
        <row r="7">
          <cell r="AI7">
            <v>10000</v>
          </cell>
        </row>
      </sheetData>
      <sheetData sheetId="14682">
        <row r="7">
          <cell r="AI7">
            <v>10000</v>
          </cell>
        </row>
      </sheetData>
      <sheetData sheetId="14683">
        <row r="7">
          <cell r="AI7">
            <v>10000</v>
          </cell>
        </row>
      </sheetData>
      <sheetData sheetId="14684">
        <row r="7">
          <cell r="AI7">
            <v>10000</v>
          </cell>
        </row>
      </sheetData>
      <sheetData sheetId="14685">
        <row r="7">
          <cell r="AI7">
            <v>10000</v>
          </cell>
        </row>
      </sheetData>
      <sheetData sheetId="14686">
        <row r="7">
          <cell r="AI7">
            <v>10000</v>
          </cell>
        </row>
      </sheetData>
      <sheetData sheetId="14687">
        <row r="7">
          <cell r="AI7">
            <v>10000</v>
          </cell>
        </row>
      </sheetData>
      <sheetData sheetId="14688">
        <row r="7">
          <cell r="AI7">
            <v>10000</v>
          </cell>
        </row>
      </sheetData>
      <sheetData sheetId="14689">
        <row r="7">
          <cell r="AI7">
            <v>10000</v>
          </cell>
        </row>
      </sheetData>
      <sheetData sheetId="14690">
        <row r="7">
          <cell r="AI7">
            <v>10000</v>
          </cell>
        </row>
      </sheetData>
      <sheetData sheetId="14691">
        <row r="7">
          <cell r="AI7">
            <v>10000</v>
          </cell>
        </row>
      </sheetData>
      <sheetData sheetId="14692">
        <row r="7">
          <cell r="AI7">
            <v>10000</v>
          </cell>
        </row>
      </sheetData>
      <sheetData sheetId="14693">
        <row r="7">
          <cell r="AI7">
            <v>10000</v>
          </cell>
        </row>
      </sheetData>
      <sheetData sheetId="14694">
        <row r="7">
          <cell r="AI7">
            <v>10000</v>
          </cell>
        </row>
      </sheetData>
      <sheetData sheetId="14695">
        <row r="7">
          <cell r="AI7">
            <v>10000</v>
          </cell>
        </row>
      </sheetData>
      <sheetData sheetId="14696">
        <row r="7">
          <cell r="AI7">
            <v>10000</v>
          </cell>
        </row>
      </sheetData>
      <sheetData sheetId="14697">
        <row r="7">
          <cell r="AI7">
            <v>10000</v>
          </cell>
        </row>
      </sheetData>
      <sheetData sheetId="14698">
        <row r="7">
          <cell r="AI7">
            <v>10000</v>
          </cell>
        </row>
      </sheetData>
      <sheetData sheetId="14699">
        <row r="7">
          <cell r="AI7">
            <v>10000</v>
          </cell>
        </row>
      </sheetData>
      <sheetData sheetId="14700">
        <row r="7">
          <cell r="AI7">
            <v>10000</v>
          </cell>
        </row>
      </sheetData>
      <sheetData sheetId="14701">
        <row r="7">
          <cell r="AI7">
            <v>10000</v>
          </cell>
        </row>
      </sheetData>
      <sheetData sheetId="14702">
        <row r="7">
          <cell r="AI7">
            <v>10000</v>
          </cell>
        </row>
      </sheetData>
      <sheetData sheetId="14703">
        <row r="7">
          <cell r="AI7">
            <v>10000</v>
          </cell>
        </row>
      </sheetData>
      <sheetData sheetId="14704">
        <row r="7">
          <cell r="AI7">
            <v>10000</v>
          </cell>
        </row>
      </sheetData>
      <sheetData sheetId="14705">
        <row r="7">
          <cell r="AI7">
            <v>10000</v>
          </cell>
        </row>
      </sheetData>
      <sheetData sheetId="14706">
        <row r="7">
          <cell r="AI7">
            <v>10000</v>
          </cell>
        </row>
      </sheetData>
      <sheetData sheetId="14707">
        <row r="7">
          <cell r="AI7">
            <v>10000</v>
          </cell>
        </row>
      </sheetData>
      <sheetData sheetId="14708">
        <row r="7">
          <cell r="AI7">
            <v>10000</v>
          </cell>
        </row>
      </sheetData>
      <sheetData sheetId="14709">
        <row r="7">
          <cell r="AI7">
            <v>10000</v>
          </cell>
        </row>
      </sheetData>
      <sheetData sheetId="14710">
        <row r="7">
          <cell r="AI7">
            <v>10000</v>
          </cell>
        </row>
      </sheetData>
      <sheetData sheetId="14711">
        <row r="7">
          <cell r="AI7">
            <v>10000</v>
          </cell>
        </row>
      </sheetData>
      <sheetData sheetId="14712">
        <row r="7">
          <cell r="AI7">
            <v>10000</v>
          </cell>
        </row>
      </sheetData>
      <sheetData sheetId="14713">
        <row r="7">
          <cell r="AI7">
            <v>10000</v>
          </cell>
        </row>
      </sheetData>
      <sheetData sheetId="14714">
        <row r="7">
          <cell r="AI7">
            <v>10000</v>
          </cell>
        </row>
      </sheetData>
      <sheetData sheetId="14715">
        <row r="7">
          <cell r="AI7">
            <v>10000</v>
          </cell>
        </row>
      </sheetData>
      <sheetData sheetId="14716">
        <row r="7">
          <cell r="AI7">
            <v>10000</v>
          </cell>
        </row>
      </sheetData>
      <sheetData sheetId="14717">
        <row r="7">
          <cell r="AI7">
            <v>10000</v>
          </cell>
        </row>
      </sheetData>
      <sheetData sheetId="14718">
        <row r="7">
          <cell r="AI7">
            <v>10000</v>
          </cell>
        </row>
      </sheetData>
      <sheetData sheetId="14719">
        <row r="7">
          <cell r="AI7">
            <v>10000</v>
          </cell>
        </row>
      </sheetData>
      <sheetData sheetId="14720">
        <row r="7">
          <cell r="AI7">
            <v>10000</v>
          </cell>
        </row>
      </sheetData>
      <sheetData sheetId="14721">
        <row r="7">
          <cell r="AI7">
            <v>10000</v>
          </cell>
        </row>
      </sheetData>
      <sheetData sheetId="14722">
        <row r="7">
          <cell r="AI7">
            <v>10000</v>
          </cell>
        </row>
      </sheetData>
      <sheetData sheetId="14723">
        <row r="7">
          <cell r="AI7">
            <v>10000</v>
          </cell>
        </row>
      </sheetData>
      <sheetData sheetId="14724">
        <row r="7">
          <cell r="AI7">
            <v>10000</v>
          </cell>
        </row>
      </sheetData>
      <sheetData sheetId="14725">
        <row r="7">
          <cell r="AI7">
            <v>10000</v>
          </cell>
        </row>
      </sheetData>
      <sheetData sheetId="14726">
        <row r="7">
          <cell r="AI7">
            <v>10000</v>
          </cell>
        </row>
      </sheetData>
      <sheetData sheetId="14727">
        <row r="7">
          <cell r="AI7">
            <v>10000</v>
          </cell>
        </row>
      </sheetData>
      <sheetData sheetId="14728">
        <row r="7">
          <cell r="AI7">
            <v>10000</v>
          </cell>
        </row>
      </sheetData>
      <sheetData sheetId="14729">
        <row r="7">
          <cell r="AI7">
            <v>10000</v>
          </cell>
        </row>
      </sheetData>
      <sheetData sheetId="14730">
        <row r="7">
          <cell r="AI7">
            <v>10000</v>
          </cell>
        </row>
      </sheetData>
      <sheetData sheetId="14731">
        <row r="7">
          <cell r="AI7">
            <v>10000</v>
          </cell>
        </row>
      </sheetData>
      <sheetData sheetId="14732">
        <row r="7">
          <cell r="AI7">
            <v>10000</v>
          </cell>
        </row>
      </sheetData>
      <sheetData sheetId="14733">
        <row r="7">
          <cell r="AI7">
            <v>10000</v>
          </cell>
        </row>
      </sheetData>
      <sheetData sheetId="14734">
        <row r="7">
          <cell r="AI7">
            <v>10000</v>
          </cell>
        </row>
      </sheetData>
      <sheetData sheetId="14735">
        <row r="7">
          <cell r="AI7">
            <v>10000</v>
          </cell>
        </row>
      </sheetData>
      <sheetData sheetId="14736">
        <row r="7">
          <cell r="AI7">
            <v>10000</v>
          </cell>
        </row>
      </sheetData>
      <sheetData sheetId="14737">
        <row r="7">
          <cell r="AI7">
            <v>10000</v>
          </cell>
        </row>
      </sheetData>
      <sheetData sheetId="14738">
        <row r="7">
          <cell r="AI7">
            <v>10000</v>
          </cell>
        </row>
      </sheetData>
      <sheetData sheetId="14739">
        <row r="7">
          <cell r="AI7">
            <v>10000</v>
          </cell>
        </row>
      </sheetData>
      <sheetData sheetId="14740">
        <row r="7">
          <cell r="AI7">
            <v>10000</v>
          </cell>
        </row>
      </sheetData>
      <sheetData sheetId="14741">
        <row r="7">
          <cell r="AI7">
            <v>10000</v>
          </cell>
        </row>
      </sheetData>
      <sheetData sheetId="14742">
        <row r="7">
          <cell r="AI7">
            <v>10000</v>
          </cell>
        </row>
      </sheetData>
      <sheetData sheetId="14743">
        <row r="7">
          <cell r="AI7">
            <v>10000</v>
          </cell>
        </row>
      </sheetData>
      <sheetData sheetId="14744">
        <row r="7">
          <cell r="AI7">
            <v>10000</v>
          </cell>
        </row>
      </sheetData>
      <sheetData sheetId="14745">
        <row r="7">
          <cell r="AI7">
            <v>10000</v>
          </cell>
        </row>
      </sheetData>
      <sheetData sheetId="14746">
        <row r="7">
          <cell r="AI7">
            <v>10000</v>
          </cell>
        </row>
      </sheetData>
      <sheetData sheetId="14747">
        <row r="7">
          <cell r="AI7">
            <v>10000</v>
          </cell>
        </row>
      </sheetData>
      <sheetData sheetId="14748">
        <row r="7">
          <cell r="AI7">
            <v>10000</v>
          </cell>
        </row>
      </sheetData>
      <sheetData sheetId="14749">
        <row r="7">
          <cell r="AI7">
            <v>10000</v>
          </cell>
        </row>
      </sheetData>
      <sheetData sheetId="14750">
        <row r="7">
          <cell r="AI7">
            <v>10000</v>
          </cell>
        </row>
      </sheetData>
      <sheetData sheetId="14751">
        <row r="7">
          <cell r="AI7">
            <v>10000</v>
          </cell>
        </row>
      </sheetData>
      <sheetData sheetId="14752">
        <row r="7">
          <cell r="AI7">
            <v>10000</v>
          </cell>
        </row>
      </sheetData>
      <sheetData sheetId="14753">
        <row r="7">
          <cell r="AI7">
            <v>10000</v>
          </cell>
        </row>
      </sheetData>
      <sheetData sheetId="14754">
        <row r="7">
          <cell r="AI7">
            <v>10000</v>
          </cell>
        </row>
      </sheetData>
      <sheetData sheetId="14755">
        <row r="7">
          <cell r="AI7">
            <v>10000</v>
          </cell>
        </row>
      </sheetData>
      <sheetData sheetId="14756">
        <row r="7">
          <cell r="AI7">
            <v>10000</v>
          </cell>
        </row>
      </sheetData>
      <sheetData sheetId="14757">
        <row r="7">
          <cell r="AI7">
            <v>10000</v>
          </cell>
        </row>
      </sheetData>
      <sheetData sheetId="14758">
        <row r="7">
          <cell r="AI7">
            <v>10000</v>
          </cell>
        </row>
      </sheetData>
      <sheetData sheetId="14759">
        <row r="7">
          <cell r="AI7">
            <v>10000</v>
          </cell>
        </row>
      </sheetData>
      <sheetData sheetId="14760">
        <row r="7">
          <cell r="AI7">
            <v>10000</v>
          </cell>
        </row>
      </sheetData>
      <sheetData sheetId="14761">
        <row r="7">
          <cell r="AI7">
            <v>10000</v>
          </cell>
        </row>
      </sheetData>
      <sheetData sheetId="14762">
        <row r="7">
          <cell r="AI7">
            <v>10000</v>
          </cell>
        </row>
      </sheetData>
      <sheetData sheetId="14763">
        <row r="7">
          <cell r="AI7">
            <v>10000</v>
          </cell>
        </row>
      </sheetData>
      <sheetData sheetId="14764">
        <row r="7">
          <cell r="AI7">
            <v>10000</v>
          </cell>
        </row>
      </sheetData>
      <sheetData sheetId="14765">
        <row r="7">
          <cell r="AI7">
            <v>10000</v>
          </cell>
        </row>
      </sheetData>
      <sheetData sheetId="14766">
        <row r="7">
          <cell r="AI7">
            <v>10000</v>
          </cell>
        </row>
      </sheetData>
      <sheetData sheetId="14767">
        <row r="7">
          <cell r="AI7">
            <v>10000</v>
          </cell>
        </row>
      </sheetData>
      <sheetData sheetId="14768">
        <row r="7">
          <cell r="AI7">
            <v>10000</v>
          </cell>
        </row>
      </sheetData>
      <sheetData sheetId="14769">
        <row r="7">
          <cell r="AI7">
            <v>10000</v>
          </cell>
        </row>
      </sheetData>
      <sheetData sheetId="14770">
        <row r="7">
          <cell r="AI7">
            <v>10000</v>
          </cell>
        </row>
      </sheetData>
      <sheetData sheetId="14771">
        <row r="7">
          <cell r="AI7">
            <v>10000</v>
          </cell>
        </row>
      </sheetData>
      <sheetData sheetId="14772">
        <row r="7">
          <cell r="AI7">
            <v>10000</v>
          </cell>
        </row>
      </sheetData>
      <sheetData sheetId="14773">
        <row r="7">
          <cell r="AI7">
            <v>10000</v>
          </cell>
        </row>
      </sheetData>
      <sheetData sheetId="14774">
        <row r="7">
          <cell r="AI7">
            <v>10000</v>
          </cell>
        </row>
      </sheetData>
      <sheetData sheetId="14775">
        <row r="7">
          <cell r="AI7">
            <v>10000</v>
          </cell>
        </row>
      </sheetData>
      <sheetData sheetId="14776">
        <row r="7">
          <cell r="AI7">
            <v>10000</v>
          </cell>
        </row>
      </sheetData>
      <sheetData sheetId="14777">
        <row r="7">
          <cell r="AI7">
            <v>10000</v>
          </cell>
        </row>
      </sheetData>
      <sheetData sheetId="14778">
        <row r="7">
          <cell r="AI7">
            <v>10000</v>
          </cell>
        </row>
      </sheetData>
      <sheetData sheetId="14779">
        <row r="7">
          <cell r="AI7">
            <v>10000</v>
          </cell>
        </row>
      </sheetData>
      <sheetData sheetId="14780">
        <row r="7">
          <cell r="AI7">
            <v>10000</v>
          </cell>
        </row>
      </sheetData>
      <sheetData sheetId="14781">
        <row r="7">
          <cell r="AI7">
            <v>10000</v>
          </cell>
        </row>
      </sheetData>
      <sheetData sheetId="14782">
        <row r="7">
          <cell r="AI7">
            <v>10000</v>
          </cell>
        </row>
      </sheetData>
      <sheetData sheetId="14783">
        <row r="7">
          <cell r="AI7">
            <v>10000</v>
          </cell>
        </row>
      </sheetData>
      <sheetData sheetId="14784">
        <row r="7">
          <cell r="AI7">
            <v>10000</v>
          </cell>
        </row>
      </sheetData>
      <sheetData sheetId="14785">
        <row r="7">
          <cell r="AI7">
            <v>10000</v>
          </cell>
        </row>
      </sheetData>
      <sheetData sheetId="14786">
        <row r="7">
          <cell r="AI7">
            <v>10000</v>
          </cell>
        </row>
      </sheetData>
      <sheetData sheetId="14787">
        <row r="7">
          <cell r="AI7">
            <v>10000</v>
          </cell>
        </row>
      </sheetData>
      <sheetData sheetId="14788">
        <row r="7">
          <cell r="AI7">
            <v>10000</v>
          </cell>
        </row>
      </sheetData>
      <sheetData sheetId="14789">
        <row r="7">
          <cell r="AI7">
            <v>10000</v>
          </cell>
        </row>
      </sheetData>
      <sheetData sheetId="14790">
        <row r="7">
          <cell r="AI7">
            <v>10000</v>
          </cell>
        </row>
      </sheetData>
      <sheetData sheetId="14791">
        <row r="7">
          <cell r="AI7">
            <v>10000</v>
          </cell>
        </row>
      </sheetData>
      <sheetData sheetId="14792">
        <row r="7">
          <cell r="AI7">
            <v>10000</v>
          </cell>
        </row>
      </sheetData>
      <sheetData sheetId="14793">
        <row r="7">
          <cell r="AI7">
            <v>10000</v>
          </cell>
        </row>
      </sheetData>
      <sheetData sheetId="14794">
        <row r="7">
          <cell r="AI7">
            <v>10000</v>
          </cell>
        </row>
      </sheetData>
      <sheetData sheetId="14795">
        <row r="7">
          <cell r="AI7">
            <v>10000</v>
          </cell>
        </row>
      </sheetData>
      <sheetData sheetId="14796">
        <row r="7">
          <cell r="AI7">
            <v>10000</v>
          </cell>
        </row>
      </sheetData>
      <sheetData sheetId="14797">
        <row r="7">
          <cell r="AI7">
            <v>10000</v>
          </cell>
        </row>
      </sheetData>
      <sheetData sheetId="14798">
        <row r="7">
          <cell r="AI7">
            <v>10000</v>
          </cell>
        </row>
      </sheetData>
      <sheetData sheetId="14799">
        <row r="7">
          <cell r="AI7">
            <v>10000</v>
          </cell>
        </row>
      </sheetData>
      <sheetData sheetId="14800">
        <row r="7">
          <cell r="AI7">
            <v>10000</v>
          </cell>
        </row>
      </sheetData>
      <sheetData sheetId="14801">
        <row r="7">
          <cell r="AI7">
            <v>10000</v>
          </cell>
        </row>
      </sheetData>
      <sheetData sheetId="14802">
        <row r="7">
          <cell r="AI7">
            <v>10000</v>
          </cell>
        </row>
      </sheetData>
      <sheetData sheetId="14803">
        <row r="7">
          <cell r="AI7">
            <v>10000</v>
          </cell>
        </row>
      </sheetData>
      <sheetData sheetId="14804">
        <row r="7">
          <cell r="AI7">
            <v>10000</v>
          </cell>
        </row>
      </sheetData>
      <sheetData sheetId="14805">
        <row r="7">
          <cell r="AI7">
            <v>10000</v>
          </cell>
        </row>
      </sheetData>
      <sheetData sheetId="14806">
        <row r="7">
          <cell r="AI7">
            <v>10000</v>
          </cell>
        </row>
      </sheetData>
      <sheetData sheetId="14807">
        <row r="7">
          <cell r="AI7">
            <v>10000</v>
          </cell>
        </row>
      </sheetData>
      <sheetData sheetId="14808">
        <row r="7">
          <cell r="AI7">
            <v>10000</v>
          </cell>
        </row>
      </sheetData>
      <sheetData sheetId="14809">
        <row r="7">
          <cell r="AI7">
            <v>10000</v>
          </cell>
        </row>
      </sheetData>
      <sheetData sheetId="14810">
        <row r="7">
          <cell r="AI7">
            <v>10000</v>
          </cell>
        </row>
      </sheetData>
      <sheetData sheetId="14811">
        <row r="7">
          <cell r="AI7">
            <v>10000</v>
          </cell>
        </row>
      </sheetData>
      <sheetData sheetId="14812">
        <row r="7">
          <cell r="AI7">
            <v>10000</v>
          </cell>
        </row>
      </sheetData>
      <sheetData sheetId="14813">
        <row r="7">
          <cell r="AI7">
            <v>10000</v>
          </cell>
        </row>
      </sheetData>
      <sheetData sheetId="14814">
        <row r="7">
          <cell r="AI7">
            <v>10000</v>
          </cell>
        </row>
      </sheetData>
      <sheetData sheetId="14815">
        <row r="7">
          <cell r="AI7">
            <v>10000</v>
          </cell>
        </row>
      </sheetData>
      <sheetData sheetId="14816">
        <row r="7">
          <cell r="AI7">
            <v>10000</v>
          </cell>
        </row>
      </sheetData>
      <sheetData sheetId="14817">
        <row r="7">
          <cell r="AI7">
            <v>10000</v>
          </cell>
        </row>
      </sheetData>
      <sheetData sheetId="14818">
        <row r="7">
          <cell r="AI7">
            <v>10000</v>
          </cell>
        </row>
      </sheetData>
      <sheetData sheetId="14819">
        <row r="7">
          <cell r="AI7">
            <v>10000</v>
          </cell>
        </row>
      </sheetData>
      <sheetData sheetId="14820">
        <row r="7">
          <cell r="AI7">
            <v>10000</v>
          </cell>
        </row>
      </sheetData>
      <sheetData sheetId="14821">
        <row r="7">
          <cell r="AI7">
            <v>10000</v>
          </cell>
        </row>
      </sheetData>
      <sheetData sheetId="14822">
        <row r="7">
          <cell r="AI7">
            <v>10000</v>
          </cell>
        </row>
      </sheetData>
      <sheetData sheetId="14823">
        <row r="7">
          <cell r="AI7">
            <v>10000</v>
          </cell>
        </row>
      </sheetData>
      <sheetData sheetId="14824">
        <row r="7">
          <cell r="AI7">
            <v>10000</v>
          </cell>
        </row>
      </sheetData>
      <sheetData sheetId="14825">
        <row r="7">
          <cell r="AI7">
            <v>10000</v>
          </cell>
        </row>
      </sheetData>
      <sheetData sheetId="14826">
        <row r="7">
          <cell r="AI7">
            <v>10000</v>
          </cell>
        </row>
      </sheetData>
      <sheetData sheetId="14827">
        <row r="7">
          <cell r="AI7">
            <v>10000</v>
          </cell>
        </row>
      </sheetData>
      <sheetData sheetId="14828">
        <row r="7">
          <cell r="AI7">
            <v>10000</v>
          </cell>
        </row>
      </sheetData>
      <sheetData sheetId="14829">
        <row r="7">
          <cell r="AI7">
            <v>10000</v>
          </cell>
        </row>
      </sheetData>
      <sheetData sheetId="14830">
        <row r="7">
          <cell r="AI7">
            <v>10000</v>
          </cell>
        </row>
      </sheetData>
      <sheetData sheetId="14831">
        <row r="7">
          <cell r="AI7">
            <v>10000</v>
          </cell>
        </row>
      </sheetData>
      <sheetData sheetId="14832">
        <row r="7">
          <cell r="AI7">
            <v>10000</v>
          </cell>
        </row>
      </sheetData>
      <sheetData sheetId="14833">
        <row r="7">
          <cell r="AI7">
            <v>10000</v>
          </cell>
        </row>
      </sheetData>
      <sheetData sheetId="14834">
        <row r="7">
          <cell r="AI7">
            <v>10000</v>
          </cell>
        </row>
      </sheetData>
      <sheetData sheetId="14835">
        <row r="7">
          <cell r="AI7">
            <v>10000</v>
          </cell>
        </row>
      </sheetData>
      <sheetData sheetId="14836">
        <row r="7">
          <cell r="AI7">
            <v>10000</v>
          </cell>
        </row>
      </sheetData>
      <sheetData sheetId="14837">
        <row r="7">
          <cell r="AI7">
            <v>10000</v>
          </cell>
        </row>
      </sheetData>
      <sheetData sheetId="14838">
        <row r="7">
          <cell r="AI7">
            <v>10000</v>
          </cell>
        </row>
      </sheetData>
      <sheetData sheetId="14839">
        <row r="7">
          <cell r="AI7">
            <v>10000</v>
          </cell>
        </row>
      </sheetData>
      <sheetData sheetId="14840">
        <row r="7">
          <cell r="AI7">
            <v>10000</v>
          </cell>
        </row>
      </sheetData>
      <sheetData sheetId="14841">
        <row r="7">
          <cell r="AI7">
            <v>10000</v>
          </cell>
        </row>
      </sheetData>
      <sheetData sheetId="14842">
        <row r="7">
          <cell r="AI7">
            <v>10000</v>
          </cell>
        </row>
      </sheetData>
      <sheetData sheetId="14843">
        <row r="7">
          <cell r="AI7">
            <v>10000</v>
          </cell>
        </row>
      </sheetData>
      <sheetData sheetId="14844">
        <row r="7">
          <cell r="AI7">
            <v>10000</v>
          </cell>
        </row>
      </sheetData>
      <sheetData sheetId="14845">
        <row r="7">
          <cell r="AI7">
            <v>10000</v>
          </cell>
        </row>
      </sheetData>
      <sheetData sheetId="14846">
        <row r="7">
          <cell r="AI7">
            <v>10000</v>
          </cell>
        </row>
      </sheetData>
      <sheetData sheetId="14847">
        <row r="7">
          <cell r="AI7">
            <v>10000</v>
          </cell>
        </row>
      </sheetData>
      <sheetData sheetId="14848">
        <row r="7">
          <cell r="AI7">
            <v>10000</v>
          </cell>
        </row>
      </sheetData>
      <sheetData sheetId="14849">
        <row r="7">
          <cell r="AI7">
            <v>10000</v>
          </cell>
        </row>
      </sheetData>
      <sheetData sheetId="14850">
        <row r="7">
          <cell r="AI7">
            <v>10000</v>
          </cell>
        </row>
      </sheetData>
      <sheetData sheetId="14851">
        <row r="7">
          <cell r="AI7">
            <v>10000</v>
          </cell>
        </row>
      </sheetData>
      <sheetData sheetId="14852">
        <row r="7">
          <cell r="AI7">
            <v>10000</v>
          </cell>
        </row>
      </sheetData>
      <sheetData sheetId="14853">
        <row r="7">
          <cell r="AI7">
            <v>10000</v>
          </cell>
        </row>
      </sheetData>
      <sheetData sheetId="14854">
        <row r="7">
          <cell r="AI7">
            <v>10000</v>
          </cell>
        </row>
      </sheetData>
      <sheetData sheetId="14855">
        <row r="7">
          <cell r="AI7">
            <v>10000</v>
          </cell>
        </row>
      </sheetData>
      <sheetData sheetId="14856">
        <row r="7">
          <cell r="AI7">
            <v>10000</v>
          </cell>
        </row>
      </sheetData>
      <sheetData sheetId="14857">
        <row r="7">
          <cell r="AI7">
            <v>10000</v>
          </cell>
        </row>
      </sheetData>
      <sheetData sheetId="14858">
        <row r="7">
          <cell r="AI7">
            <v>10000</v>
          </cell>
        </row>
      </sheetData>
      <sheetData sheetId="14859">
        <row r="7">
          <cell r="AI7">
            <v>10000</v>
          </cell>
        </row>
      </sheetData>
      <sheetData sheetId="14860">
        <row r="7">
          <cell r="AI7">
            <v>10000</v>
          </cell>
        </row>
      </sheetData>
      <sheetData sheetId="14861">
        <row r="7">
          <cell r="AI7">
            <v>10000</v>
          </cell>
        </row>
      </sheetData>
      <sheetData sheetId="14862">
        <row r="7">
          <cell r="AI7">
            <v>10000</v>
          </cell>
        </row>
      </sheetData>
      <sheetData sheetId="14863">
        <row r="7">
          <cell r="AI7">
            <v>10000</v>
          </cell>
        </row>
      </sheetData>
      <sheetData sheetId="14864">
        <row r="7">
          <cell r="AI7">
            <v>10000</v>
          </cell>
        </row>
      </sheetData>
      <sheetData sheetId="14865">
        <row r="7">
          <cell r="AI7">
            <v>10000</v>
          </cell>
        </row>
      </sheetData>
      <sheetData sheetId="14866">
        <row r="7">
          <cell r="AI7">
            <v>10000</v>
          </cell>
        </row>
      </sheetData>
      <sheetData sheetId="14867">
        <row r="7">
          <cell r="AI7">
            <v>10000</v>
          </cell>
        </row>
      </sheetData>
      <sheetData sheetId="14868">
        <row r="7">
          <cell r="AI7">
            <v>10000</v>
          </cell>
        </row>
      </sheetData>
      <sheetData sheetId="14869">
        <row r="7">
          <cell r="AI7">
            <v>10000</v>
          </cell>
        </row>
      </sheetData>
      <sheetData sheetId="14870">
        <row r="7">
          <cell r="AI7">
            <v>10000</v>
          </cell>
        </row>
      </sheetData>
      <sheetData sheetId="14871">
        <row r="7">
          <cell r="AI7">
            <v>10000</v>
          </cell>
        </row>
      </sheetData>
      <sheetData sheetId="14872">
        <row r="7">
          <cell r="AI7">
            <v>10000</v>
          </cell>
        </row>
      </sheetData>
      <sheetData sheetId="14873">
        <row r="7">
          <cell r="AI7">
            <v>10000</v>
          </cell>
        </row>
      </sheetData>
      <sheetData sheetId="14874">
        <row r="7">
          <cell r="AI7">
            <v>10000</v>
          </cell>
        </row>
      </sheetData>
      <sheetData sheetId="14875">
        <row r="7">
          <cell r="AI7">
            <v>10000</v>
          </cell>
        </row>
      </sheetData>
      <sheetData sheetId="14876">
        <row r="7">
          <cell r="AI7">
            <v>10000</v>
          </cell>
        </row>
      </sheetData>
      <sheetData sheetId="14877">
        <row r="7">
          <cell r="AI7">
            <v>10000</v>
          </cell>
        </row>
      </sheetData>
      <sheetData sheetId="14878">
        <row r="7">
          <cell r="AI7">
            <v>10000</v>
          </cell>
        </row>
      </sheetData>
      <sheetData sheetId="14879">
        <row r="7">
          <cell r="AI7">
            <v>10000</v>
          </cell>
        </row>
      </sheetData>
      <sheetData sheetId="14880">
        <row r="7">
          <cell r="AI7">
            <v>10000</v>
          </cell>
        </row>
      </sheetData>
      <sheetData sheetId="14881">
        <row r="7">
          <cell r="AI7">
            <v>10000</v>
          </cell>
        </row>
      </sheetData>
      <sheetData sheetId="14882">
        <row r="7">
          <cell r="AI7">
            <v>10000</v>
          </cell>
        </row>
      </sheetData>
      <sheetData sheetId="14883">
        <row r="7">
          <cell r="AI7">
            <v>10000</v>
          </cell>
        </row>
      </sheetData>
      <sheetData sheetId="14884">
        <row r="7">
          <cell r="AI7">
            <v>10000</v>
          </cell>
        </row>
      </sheetData>
      <sheetData sheetId="14885">
        <row r="7">
          <cell r="AI7">
            <v>10000</v>
          </cell>
        </row>
      </sheetData>
      <sheetData sheetId="14886">
        <row r="7">
          <cell r="AI7">
            <v>10000</v>
          </cell>
        </row>
      </sheetData>
      <sheetData sheetId="14887">
        <row r="7">
          <cell r="AI7">
            <v>10000</v>
          </cell>
        </row>
      </sheetData>
      <sheetData sheetId="14888">
        <row r="7">
          <cell r="AI7">
            <v>10000</v>
          </cell>
        </row>
      </sheetData>
      <sheetData sheetId="14889">
        <row r="7">
          <cell r="AI7">
            <v>10000</v>
          </cell>
        </row>
      </sheetData>
      <sheetData sheetId="14890">
        <row r="7">
          <cell r="AI7">
            <v>10000</v>
          </cell>
        </row>
      </sheetData>
      <sheetData sheetId="14891">
        <row r="7">
          <cell r="AI7">
            <v>10000</v>
          </cell>
        </row>
      </sheetData>
      <sheetData sheetId="14892">
        <row r="7">
          <cell r="AI7">
            <v>10000</v>
          </cell>
        </row>
      </sheetData>
      <sheetData sheetId="14893">
        <row r="7">
          <cell r="AI7">
            <v>10000</v>
          </cell>
        </row>
      </sheetData>
      <sheetData sheetId="14894">
        <row r="7">
          <cell r="AI7">
            <v>10000</v>
          </cell>
        </row>
      </sheetData>
      <sheetData sheetId="14895">
        <row r="7">
          <cell r="AI7">
            <v>10000</v>
          </cell>
        </row>
      </sheetData>
      <sheetData sheetId="14896">
        <row r="7">
          <cell r="AI7">
            <v>10000</v>
          </cell>
        </row>
      </sheetData>
      <sheetData sheetId="14897">
        <row r="7">
          <cell r="AI7">
            <v>10000</v>
          </cell>
        </row>
      </sheetData>
      <sheetData sheetId="14898">
        <row r="7">
          <cell r="AI7">
            <v>10000</v>
          </cell>
        </row>
      </sheetData>
      <sheetData sheetId="14899">
        <row r="7">
          <cell r="AI7">
            <v>10000</v>
          </cell>
        </row>
      </sheetData>
      <sheetData sheetId="14900">
        <row r="7">
          <cell r="AI7">
            <v>10000</v>
          </cell>
        </row>
      </sheetData>
      <sheetData sheetId="14901">
        <row r="7">
          <cell r="AI7">
            <v>10000</v>
          </cell>
        </row>
      </sheetData>
      <sheetData sheetId="14902">
        <row r="7">
          <cell r="AI7">
            <v>10000</v>
          </cell>
        </row>
      </sheetData>
      <sheetData sheetId="14903">
        <row r="7">
          <cell r="AI7">
            <v>10000</v>
          </cell>
        </row>
      </sheetData>
      <sheetData sheetId="14904">
        <row r="7">
          <cell r="AI7">
            <v>10000</v>
          </cell>
        </row>
      </sheetData>
      <sheetData sheetId="14905">
        <row r="7">
          <cell r="AI7">
            <v>10000</v>
          </cell>
        </row>
      </sheetData>
      <sheetData sheetId="14906">
        <row r="7">
          <cell r="AI7">
            <v>10000</v>
          </cell>
        </row>
      </sheetData>
      <sheetData sheetId="14907">
        <row r="7">
          <cell r="AI7">
            <v>10000</v>
          </cell>
        </row>
      </sheetData>
      <sheetData sheetId="14908">
        <row r="7">
          <cell r="AI7">
            <v>10000</v>
          </cell>
        </row>
      </sheetData>
      <sheetData sheetId="14909">
        <row r="7">
          <cell r="AI7">
            <v>10000</v>
          </cell>
        </row>
      </sheetData>
      <sheetData sheetId="14910">
        <row r="7">
          <cell r="AI7">
            <v>10000</v>
          </cell>
        </row>
      </sheetData>
      <sheetData sheetId="14911">
        <row r="7">
          <cell r="AI7">
            <v>10000</v>
          </cell>
        </row>
      </sheetData>
      <sheetData sheetId="14912">
        <row r="7">
          <cell r="AI7">
            <v>10000</v>
          </cell>
        </row>
      </sheetData>
      <sheetData sheetId="14913">
        <row r="7">
          <cell r="AI7">
            <v>10000</v>
          </cell>
        </row>
      </sheetData>
      <sheetData sheetId="14914">
        <row r="7">
          <cell r="AI7">
            <v>10000</v>
          </cell>
        </row>
      </sheetData>
      <sheetData sheetId="14915">
        <row r="7">
          <cell r="AI7">
            <v>10000</v>
          </cell>
        </row>
      </sheetData>
      <sheetData sheetId="14916">
        <row r="7">
          <cell r="AI7">
            <v>10000</v>
          </cell>
        </row>
      </sheetData>
      <sheetData sheetId="14917">
        <row r="7">
          <cell r="AI7">
            <v>10000</v>
          </cell>
        </row>
      </sheetData>
      <sheetData sheetId="14918">
        <row r="7">
          <cell r="AI7">
            <v>10000</v>
          </cell>
        </row>
      </sheetData>
      <sheetData sheetId="14919">
        <row r="7">
          <cell r="AI7">
            <v>10000</v>
          </cell>
        </row>
      </sheetData>
      <sheetData sheetId="14920">
        <row r="7">
          <cell r="AI7">
            <v>10000</v>
          </cell>
        </row>
      </sheetData>
      <sheetData sheetId="14921">
        <row r="7">
          <cell r="AI7">
            <v>10000</v>
          </cell>
        </row>
      </sheetData>
      <sheetData sheetId="14922">
        <row r="7">
          <cell r="AI7">
            <v>10000</v>
          </cell>
        </row>
      </sheetData>
      <sheetData sheetId="14923">
        <row r="7">
          <cell r="AI7">
            <v>10000</v>
          </cell>
        </row>
      </sheetData>
      <sheetData sheetId="14924">
        <row r="7">
          <cell r="AI7">
            <v>10000</v>
          </cell>
        </row>
      </sheetData>
      <sheetData sheetId="14925">
        <row r="7">
          <cell r="AI7">
            <v>10000</v>
          </cell>
        </row>
      </sheetData>
      <sheetData sheetId="14926">
        <row r="7">
          <cell r="AI7">
            <v>10000</v>
          </cell>
        </row>
      </sheetData>
      <sheetData sheetId="14927">
        <row r="7">
          <cell r="AI7">
            <v>10000</v>
          </cell>
        </row>
      </sheetData>
      <sheetData sheetId="14928">
        <row r="7">
          <cell r="AI7">
            <v>10000</v>
          </cell>
        </row>
      </sheetData>
      <sheetData sheetId="14929">
        <row r="7">
          <cell r="AI7">
            <v>10000</v>
          </cell>
        </row>
      </sheetData>
      <sheetData sheetId="14930">
        <row r="7">
          <cell r="AI7">
            <v>10000</v>
          </cell>
        </row>
      </sheetData>
      <sheetData sheetId="14931">
        <row r="7">
          <cell r="AI7">
            <v>10000</v>
          </cell>
        </row>
      </sheetData>
      <sheetData sheetId="14932">
        <row r="7">
          <cell r="AI7">
            <v>10000</v>
          </cell>
        </row>
      </sheetData>
      <sheetData sheetId="14933">
        <row r="7">
          <cell r="AI7">
            <v>10000</v>
          </cell>
        </row>
      </sheetData>
      <sheetData sheetId="14934">
        <row r="7">
          <cell r="AI7">
            <v>10000</v>
          </cell>
        </row>
      </sheetData>
      <sheetData sheetId="14935">
        <row r="7">
          <cell r="AI7">
            <v>10000</v>
          </cell>
        </row>
      </sheetData>
      <sheetData sheetId="14936">
        <row r="7">
          <cell r="AI7">
            <v>10000</v>
          </cell>
        </row>
      </sheetData>
      <sheetData sheetId="14937">
        <row r="7">
          <cell r="AI7">
            <v>10000</v>
          </cell>
        </row>
      </sheetData>
      <sheetData sheetId="14938">
        <row r="7">
          <cell r="AI7">
            <v>10000</v>
          </cell>
        </row>
      </sheetData>
      <sheetData sheetId="14939">
        <row r="7">
          <cell r="AI7">
            <v>10000</v>
          </cell>
        </row>
      </sheetData>
      <sheetData sheetId="14940">
        <row r="7">
          <cell r="AI7">
            <v>10000</v>
          </cell>
        </row>
      </sheetData>
      <sheetData sheetId="14941">
        <row r="7">
          <cell r="AI7">
            <v>10000</v>
          </cell>
        </row>
      </sheetData>
      <sheetData sheetId="14942">
        <row r="7">
          <cell r="AI7">
            <v>10000</v>
          </cell>
        </row>
      </sheetData>
      <sheetData sheetId="14943">
        <row r="7">
          <cell r="AI7">
            <v>10000</v>
          </cell>
        </row>
      </sheetData>
      <sheetData sheetId="14944">
        <row r="7">
          <cell r="AI7">
            <v>10000</v>
          </cell>
        </row>
      </sheetData>
      <sheetData sheetId="14945">
        <row r="7">
          <cell r="AI7">
            <v>10000</v>
          </cell>
        </row>
      </sheetData>
      <sheetData sheetId="14946">
        <row r="7">
          <cell r="AI7">
            <v>10000</v>
          </cell>
        </row>
      </sheetData>
      <sheetData sheetId="14947">
        <row r="7">
          <cell r="AI7">
            <v>10000</v>
          </cell>
        </row>
      </sheetData>
      <sheetData sheetId="14948">
        <row r="7">
          <cell r="AI7">
            <v>10000</v>
          </cell>
        </row>
      </sheetData>
      <sheetData sheetId="14949">
        <row r="7">
          <cell r="AI7">
            <v>10000</v>
          </cell>
        </row>
      </sheetData>
      <sheetData sheetId="14950">
        <row r="7">
          <cell r="AI7">
            <v>10000</v>
          </cell>
        </row>
      </sheetData>
      <sheetData sheetId="14951">
        <row r="7">
          <cell r="AI7">
            <v>10000</v>
          </cell>
        </row>
      </sheetData>
      <sheetData sheetId="14952">
        <row r="7">
          <cell r="AI7">
            <v>10000</v>
          </cell>
        </row>
      </sheetData>
      <sheetData sheetId="14953">
        <row r="7">
          <cell r="AI7">
            <v>10000</v>
          </cell>
        </row>
      </sheetData>
      <sheetData sheetId="14954">
        <row r="7">
          <cell r="AI7">
            <v>10000</v>
          </cell>
        </row>
      </sheetData>
      <sheetData sheetId="14955">
        <row r="7">
          <cell r="AI7">
            <v>10000</v>
          </cell>
        </row>
      </sheetData>
      <sheetData sheetId="14956">
        <row r="7">
          <cell r="AI7">
            <v>10000</v>
          </cell>
        </row>
      </sheetData>
      <sheetData sheetId="14957">
        <row r="7">
          <cell r="AI7">
            <v>10000</v>
          </cell>
        </row>
      </sheetData>
      <sheetData sheetId="14958">
        <row r="7">
          <cell r="AI7">
            <v>10000</v>
          </cell>
        </row>
      </sheetData>
      <sheetData sheetId="14959">
        <row r="7">
          <cell r="AI7">
            <v>10000</v>
          </cell>
        </row>
      </sheetData>
      <sheetData sheetId="14960">
        <row r="7">
          <cell r="AI7">
            <v>10000</v>
          </cell>
        </row>
      </sheetData>
      <sheetData sheetId="14961">
        <row r="7">
          <cell r="AI7">
            <v>10000</v>
          </cell>
        </row>
      </sheetData>
      <sheetData sheetId="14962">
        <row r="7">
          <cell r="AI7">
            <v>10000</v>
          </cell>
        </row>
      </sheetData>
      <sheetData sheetId="14963">
        <row r="7">
          <cell r="AI7">
            <v>10000</v>
          </cell>
        </row>
      </sheetData>
      <sheetData sheetId="14964">
        <row r="7">
          <cell r="AI7">
            <v>10000</v>
          </cell>
        </row>
      </sheetData>
      <sheetData sheetId="14965">
        <row r="7">
          <cell r="AI7">
            <v>10000</v>
          </cell>
        </row>
      </sheetData>
      <sheetData sheetId="14966">
        <row r="7">
          <cell r="AI7">
            <v>10000</v>
          </cell>
        </row>
      </sheetData>
      <sheetData sheetId="14967">
        <row r="7">
          <cell r="AI7">
            <v>10000</v>
          </cell>
        </row>
      </sheetData>
      <sheetData sheetId="14968">
        <row r="7">
          <cell r="AI7">
            <v>10000</v>
          </cell>
        </row>
      </sheetData>
      <sheetData sheetId="14969">
        <row r="7">
          <cell r="AI7">
            <v>10000</v>
          </cell>
        </row>
      </sheetData>
      <sheetData sheetId="14970">
        <row r="7">
          <cell r="AI7">
            <v>10000</v>
          </cell>
        </row>
      </sheetData>
      <sheetData sheetId="14971">
        <row r="7">
          <cell r="AI7">
            <v>10000</v>
          </cell>
        </row>
      </sheetData>
      <sheetData sheetId="14972">
        <row r="7">
          <cell r="AI7">
            <v>10000</v>
          </cell>
        </row>
      </sheetData>
      <sheetData sheetId="14973">
        <row r="7">
          <cell r="AI7">
            <v>10000</v>
          </cell>
        </row>
      </sheetData>
      <sheetData sheetId="14974">
        <row r="7">
          <cell r="AI7">
            <v>10000</v>
          </cell>
        </row>
      </sheetData>
      <sheetData sheetId="14975">
        <row r="7">
          <cell r="AI7">
            <v>10000</v>
          </cell>
        </row>
      </sheetData>
      <sheetData sheetId="14976">
        <row r="7">
          <cell r="AI7">
            <v>10000</v>
          </cell>
        </row>
      </sheetData>
      <sheetData sheetId="14977">
        <row r="7">
          <cell r="AI7">
            <v>10000</v>
          </cell>
        </row>
      </sheetData>
      <sheetData sheetId="14978">
        <row r="7">
          <cell r="AI7">
            <v>10000</v>
          </cell>
        </row>
      </sheetData>
      <sheetData sheetId="14979">
        <row r="7">
          <cell r="AI7">
            <v>10000</v>
          </cell>
        </row>
      </sheetData>
      <sheetData sheetId="14980">
        <row r="7">
          <cell r="AI7">
            <v>10000</v>
          </cell>
        </row>
      </sheetData>
      <sheetData sheetId="14981">
        <row r="7">
          <cell r="AI7">
            <v>10000</v>
          </cell>
        </row>
      </sheetData>
      <sheetData sheetId="14982">
        <row r="7">
          <cell r="AI7">
            <v>10000</v>
          </cell>
        </row>
      </sheetData>
      <sheetData sheetId="14983">
        <row r="7">
          <cell r="AI7">
            <v>10000</v>
          </cell>
        </row>
      </sheetData>
      <sheetData sheetId="14984">
        <row r="7">
          <cell r="AI7">
            <v>10000</v>
          </cell>
        </row>
      </sheetData>
      <sheetData sheetId="14985">
        <row r="7">
          <cell r="AI7">
            <v>10000</v>
          </cell>
        </row>
      </sheetData>
      <sheetData sheetId="14986">
        <row r="7">
          <cell r="AI7">
            <v>10000</v>
          </cell>
        </row>
      </sheetData>
      <sheetData sheetId="14987">
        <row r="7">
          <cell r="AI7">
            <v>10000</v>
          </cell>
        </row>
      </sheetData>
      <sheetData sheetId="14988">
        <row r="7">
          <cell r="AI7">
            <v>10000</v>
          </cell>
        </row>
      </sheetData>
      <sheetData sheetId="14989">
        <row r="7">
          <cell r="AI7">
            <v>10000</v>
          </cell>
        </row>
      </sheetData>
      <sheetData sheetId="14990">
        <row r="7">
          <cell r="AI7">
            <v>10000</v>
          </cell>
        </row>
      </sheetData>
      <sheetData sheetId="14991">
        <row r="7">
          <cell r="AI7">
            <v>10000</v>
          </cell>
        </row>
      </sheetData>
      <sheetData sheetId="14992">
        <row r="7">
          <cell r="AI7">
            <v>10000</v>
          </cell>
        </row>
      </sheetData>
      <sheetData sheetId="14993">
        <row r="7">
          <cell r="AI7">
            <v>10000</v>
          </cell>
        </row>
      </sheetData>
      <sheetData sheetId="14994">
        <row r="7">
          <cell r="AI7">
            <v>10000</v>
          </cell>
        </row>
      </sheetData>
      <sheetData sheetId="14995">
        <row r="7">
          <cell r="AI7">
            <v>10000</v>
          </cell>
        </row>
      </sheetData>
      <sheetData sheetId="14996">
        <row r="7">
          <cell r="AI7">
            <v>10000</v>
          </cell>
        </row>
      </sheetData>
      <sheetData sheetId="14997">
        <row r="7">
          <cell r="AI7">
            <v>10000</v>
          </cell>
        </row>
      </sheetData>
      <sheetData sheetId="14998">
        <row r="7">
          <cell r="AI7">
            <v>10000</v>
          </cell>
        </row>
      </sheetData>
      <sheetData sheetId="14999">
        <row r="7">
          <cell r="AI7">
            <v>10000</v>
          </cell>
        </row>
      </sheetData>
      <sheetData sheetId="15000">
        <row r="7">
          <cell r="AI7">
            <v>10000</v>
          </cell>
        </row>
      </sheetData>
      <sheetData sheetId="15001">
        <row r="7">
          <cell r="AI7">
            <v>10000</v>
          </cell>
        </row>
      </sheetData>
      <sheetData sheetId="15002">
        <row r="7">
          <cell r="AI7">
            <v>10000</v>
          </cell>
        </row>
      </sheetData>
      <sheetData sheetId="15003">
        <row r="7">
          <cell r="AI7">
            <v>10000</v>
          </cell>
        </row>
      </sheetData>
      <sheetData sheetId="15004">
        <row r="7">
          <cell r="AI7">
            <v>10000</v>
          </cell>
        </row>
      </sheetData>
      <sheetData sheetId="15005">
        <row r="7">
          <cell r="AI7">
            <v>10000</v>
          </cell>
        </row>
      </sheetData>
      <sheetData sheetId="15006">
        <row r="7">
          <cell r="AI7">
            <v>10000</v>
          </cell>
        </row>
      </sheetData>
      <sheetData sheetId="15007">
        <row r="7">
          <cell r="AI7">
            <v>10000</v>
          </cell>
        </row>
      </sheetData>
      <sheetData sheetId="15008">
        <row r="7">
          <cell r="AI7">
            <v>10000</v>
          </cell>
        </row>
      </sheetData>
      <sheetData sheetId="15009">
        <row r="7">
          <cell r="AI7">
            <v>10000</v>
          </cell>
        </row>
      </sheetData>
      <sheetData sheetId="15010">
        <row r="7">
          <cell r="AI7">
            <v>10000</v>
          </cell>
        </row>
      </sheetData>
      <sheetData sheetId="15011">
        <row r="7">
          <cell r="AI7">
            <v>10000</v>
          </cell>
        </row>
      </sheetData>
      <sheetData sheetId="15012">
        <row r="7">
          <cell r="AI7">
            <v>10000</v>
          </cell>
        </row>
      </sheetData>
      <sheetData sheetId="15013">
        <row r="7">
          <cell r="AI7">
            <v>10000</v>
          </cell>
        </row>
      </sheetData>
      <sheetData sheetId="15014">
        <row r="7">
          <cell r="AI7">
            <v>10000</v>
          </cell>
        </row>
      </sheetData>
      <sheetData sheetId="15015">
        <row r="7">
          <cell r="AI7">
            <v>10000</v>
          </cell>
        </row>
      </sheetData>
      <sheetData sheetId="15016">
        <row r="7">
          <cell r="AI7">
            <v>10000</v>
          </cell>
        </row>
      </sheetData>
      <sheetData sheetId="15017">
        <row r="7">
          <cell r="AI7">
            <v>10000</v>
          </cell>
        </row>
      </sheetData>
      <sheetData sheetId="15018">
        <row r="7">
          <cell r="AI7">
            <v>10000</v>
          </cell>
        </row>
      </sheetData>
      <sheetData sheetId="15019">
        <row r="7">
          <cell r="AI7">
            <v>10000</v>
          </cell>
        </row>
      </sheetData>
      <sheetData sheetId="15020">
        <row r="7">
          <cell r="AI7">
            <v>10000</v>
          </cell>
        </row>
      </sheetData>
      <sheetData sheetId="15021">
        <row r="7">
          <cell r="AI7">
            <v>10000</v>
          </cell>
        </row>
      </sheetData>
      <sheetData sheetId="15022">
        <row r="7">
          <cell r="AI7">
            <v>10000</v>
          </cell>
        </row>
      </sheetData>
      <sheetData sheetId="15023">
        <row r="7">
          <cell r="AI7">
            <v>10000</v>
          </cell>
        </row>
      </sheetData>
      <sheetData sheetId="15024">
        <row r="7">
          <cell r="AI7">
            <v>10000</v>
          </cell>
        </row>
      </sheetData>
      <sheetData sheetId="15025">
        <row r="7">
          <cell r="AI7">
            <v>10000</v>
          </cell>
        </row>
      </sheetData>
      <sheetData sheetId="15026">
        <row r="7">
          <cell r="AI7">
            <v>10000</v>
          </cell>
        </row>
      </sheetData>
      <sheetData sheetId="15027">
        <row r="7">
          <cell r="AI7">
            <v>10000</v>
          </cell>
        </row>
      </sheetData>
      <sheetData sheetId="15028">
        <row r="7">
          <cell r="AI7">
            <v>10000</v>
          </cell>
        </row>
      </sheetData>
      <sheetData sheetId="15029">
        <row r="7">
          <cell r="AI7">
            <v>10000</v>
          </cell>
        </row>
      </sheetData>
      <sheetData sheetId="15030">
        <row r="7">
          <cell r="AI7">
            <v>10000</v>
          </cell>
        </row>
      </sheetData>
      <sheetData sheetId="15031">
        <row r="7">
          <cell r="AI7">
            <v>10000</v>
          </cell>
        </row>
      </sheetData>
      <sheetData sheetId="15032">
        <row r="7">
          <cell r="AI7">
            <v>10000</v>
          </cell>
        </row>
      </sheetData>
      <sheetData sheetId="15033">
        <row r="7">
          <cell r="AI7">
            <v>10000</v>
          </cell>
        </row>
      </sheetData>
      <sheetData sheetId="15034">
        <row r="7">
          <cell r="AI7">
            <v>10000</v>
          </cell>
        </row>
      </sheetData>
      <sheetData sheetId="15035">
        <row r="7">
          <cell r="AI7">
            <v>10000</v>
          </cell>
        </row>
      </sheetData>
      <sheetData sheetId="15036">
        <row r="7">
          <cell r="AI7">
            <v>10000</v>
          </cell>
        </row>
      </sheetData>
      <sheetData sheetId="15037">
        <row r="7">
          <cell r="AI7">
            <v>10000</v>
          </cell>
        </row>
      </sheetData>
      <sheetData sheetId="15038">
        <row r="7">
          <cell r="AI7">
            <v>10000</v>
          </cell>
        </row>
      </sheetData>
      <sheetData sheetId="15039">
        <row r="7">
          <cell r="AI7">
            <v>10000</v>
          </cell>
        </row>
      </sheetData>
      <sheetData sheetId="15040">
        <row r="7">
          <cell r="AI7">
            <v>10000</v>
          </cell>
        </row>
      </sheetData>
      <sheetData sheetId="15041">
        <row r="7">
          <cell r="AI7">
            <v>10000</v>
          </cell>
        </row>
      </sheetData>
      <sheetData sheetId="15042">
        <row r="7">
          <cell r="AI7">
            <v>10000</v>
          </cell>
        </row>
      </sheetData>
      <sheetData sheetId="15043">
        <row r="7">
          <cell r="AI7">
            <v>10000</v>
          </cell>
        </row>
      </sheetData>
      <sheetData sheetId="15044">
        <row r="7">
          <cell r="AI7">
            <v>10000</v>
          </cell>
        </row>
      </sheetData>
      <sheetData sheetId="15045">
        <row r="7">
          <cell r="AI7">
            <v>10000</v>
          </cell>
        </row>
      </sheetData>
      <sheetData sheetId="15046">
        <row r="7">
          <cell r="AI7">
            <v>10000</v>
          </cell>
        </row>
      </sheetData>
      <sheetData sheetId="15047">
        <row r="7">
          <cell r="AI7">
            <v>10000</v>
          </cell>
        </row>
      </sheetData>
      <sheetData sheetId="15048">
        <row r="7">
          <cell r="AI7">
            <v>10000</v>
          </cell>
        </row>
      </sheetData>
      <sheetData sheetId="15049">
        <row r="7">
          <cell r="AI7">
            <v>10000</v>
          </cell>
        </row>
      </sheetData>
      <sheetData sheetId="15050">
        <row r="7">
          <cell r="AI7">
            <v>10000</v>
          </cell>
        </row>
      </sheetData>
      <sheetData sheetId="15051">
        <row r="7">
          <cell r="AI7">
            <v>10000</v>
          </cell>
        </row>
      </sheetData>
      <sheetData sheetId="15052">
        <row r="7">
          <cell r="AI7">
            <v>10000</v>
          </cell>
        </row>
      </sheetData>
      <sheetData sheetId="15053">
        <row r="7">
          <cell r="AI7">
            <v>10000</v>
          </cell>
        </row>
      </sheetData>
      <sheetData sheetId="15054">
        <row r="7">
          <cell r="AI7">
            <v>10000</v>
          </cell>
        </row>
      </sheetData>
      <sheetData sheetId="15055">
        <row r="7">
          <cell r="AI7">
            <v>10000</v>
          </cell>
        </row>
      </sheetData>
      <sheetData sheetId="15056">
        <row r="7">
          <cell r="AI7">
            <v>10000</v>
          </cell>
        </row>
      </sheetData>
      <sheetData sheetId="15057">
        <row r="7">
          <cell r="AI7">
            <v>10000</v>
          </cell>
        </row>
      </sheetData>
      <sheetData sheetId="15058">
        <row r="7">
          <cell r="AI7">
            <v>10000</v>
          </cell>
        </row>
      </sheetData>
      <sheetData sheetId="15059">
        <row r="7">
          <cell r="AI7">
            <v>10000</v>
          </cell>
        </row>
      </sheetData>
      <sheetData sheetId="15060">
        <row r="7">
          <cell r="AI7">
            <v>10000</v>
          </cell>
        </row>
      </sheetData>
      <sheetData sheetId="15061">
        <row r="7">
          <cell r="AI7">
            <v>10000</v>
          </cell>
        </row>
      </sheetData>
      <sheetData sheetId="15062">
        <row r="7">
          <cell r="AI7">
            <v>10000</v>
          </cell>
        </row>
      </sheetData>
      <sheetData sheetId="15063">
        <row r="7">
          <cell r="AI7">
            <v>10000</v>
          </cell>
        </row>
      </sheetData>
      <sheetData sheetId="15064">
        <row r="7">
          <cell r="AI7">
            <v>10000</v>
          </cell>
        </row>
      </sheetData>
      <sheetData sheetId="15065">
        <row r="7">
          <cell r="AI7">
            <v>10000</v>
          </cell>
        </row>
      </sheetData>
      <sheetData sheetId="15066">
        <row r="7">
          <cell r="AI7">
            <v>10000</v>
          </cell>
        </row>
      </sheetData>
      <sheetData sheetId="15067">
        <row r="7">
          <cell r="AI7">
            <v>10000</v>
          </cell>
        </row>
      </sheetData>
      <sheetData sheetId="15068">
        <row r="7">
          <cell r="AI7">
            <v>10000</v>
          </cell>
        </row>
      </sheetData>
      <sheetData sheetId="15069">
        <row r="7">
          <cell r="AI7">
            <v>10000</v>
          </cell>
        </row>
      </sheetData>
      <sheetData sheetId="15070">
        <row r="7">
          <cell r="AI7">
            <v>10000</v>
          </cell>
        </row>
      </sheetData>
      <sheetData sheetId="15071">
        <row r="7">
          <cell r="AI7">
            <v>10000</v>
          </cell>
        </row>
      </sheetData>
      <sheetData sheetId="15072">
        <row r="7">
          <cell r="AI7">
            <v>10000</v>
          </cell>
        </row>
      </sheetData>
      <sheetData sheetId="15073">
        <row r="7">
          <cell r="AI7">
            <v>10000</v>
          </cell>
        </row>
      </sheetData>
      <sheetData sheetId="15074">
        <row r="7">
          <cell r="AI7">
            <v>10000</v>
          </cell>
        </row>
      </sheetData>
      <sheetData sheetId="15075">
        <row r="7">
          <cell r="AI7">
            <v>10000</v>
          </cell>
        </row>
      </sheetData>
      <sheetData sheetId="15076">
        <row r="7">
          <cell r="AI7">
            <v>10000</v>
          </cell>
        </row>
      </sheetData>
      <sheetData sheetId="15077">
        <row r="7">
          <cell r="AI7">
            <v>10000</v>
          </cell>
        </row>
      </sheetData>
      <sheetData sheetId="15078">
        <row r="7">
          <cell r="AI7">
            <v>10000</v>
          </cell>
        </row>
      </sheetData>
      <sheetData sheetId="15079">
        <row r="7">
          <cell r="AI7">
            <v>10000</v>
          </cell>
        </row>
      </sheetData>
      <sheetData sheetId="15080">
        <row r="7">
          <cell r="AI7">
            <v>10000</v>
          </cell>
        </row>
      </sheetData>
      <sheetData sheetId="15081">
        <row r="7">
          <cell r="AI7">
            <v>10000</v>
          </cell>
        </row>
      </sheetData>
      <sheetData sheetId="15082">
        <row r="7">
          <cell r="AI7">
            <v>10000</v>
          </cell>
        </row>
      </sheetData>
      <sheetData sheetId="15083">
        <row r="7">
          <cell r="AI7">
            <v>10000</v>
          </cell>
        </row>
      </sheetData>
      <sheetData sheetId="15084">
        <row r="7">
          <cell r="AI7">
            <v>10000</v>
          </cell>
        </row>
      </sheetData>
      <sheetData sheetId="15085">
        <row r="7">
          <cell r="AI7">
            <v>10000</v>
          </cell>
        </row>
      </sheetData>
      <sheetData sheetId="15086">
        <row r="7">
          <cell r="AI7">
            <v>10000</v>
          </cell>
        </row>
      </sheetData>
      <sheetData sheetId="15087">
        <row r="7">
          <cell r="AI7">
            <v>10000</v>
          </cell>
        </row>
      </sheetData>
      <sheetData sheetId="15088">
        <row r="7">
          <cell r="AI7">
            <v>10000</v>
          </cell>
        </row>
      </sheetData>
      <sheetData sheetId="15089">
        <row r="7">
          <cell r="AI7">
            <v>10000</v>
          </cell>
        </row>
      </sheetData>
      <sheetData sheetId="15090">
        <row r="7">
          <cell r="AI7">
            <v>10000</v>
          </cell>
        </row>
      </sheetData>
      <sheetData sheetId="15091">
        <row r="7">
          <cell r="AI7">
            <v>10000</v>
          </cell>
        </row>
      </sheetData>
      <sheetData sheetId="15092">
        <row r="7">
          <cell r="AI7">
            <v>10000</v>
          </cell>
        </row>
      </sheetData>
      <sheetData sheetId="15093">
        <row r="7">
          <cell r="AI7">
            <v>10000</v>
          </cell>
        </row>
      </sheetData>
      <sheetData sheetId="15094">
        <row r="7">
          <cell r="AI7">
            <v>10000</v>
          </cell>
        </row>
      </sheetData>
      <sheetData sheetId="15095">
        <row r="7">
          <cell r="AI7">
            <v>10000</v>
          </cell>
        </row>
      </sheetData>
      <sheetData sheetId="15096">
        <row r="7">
          <cell r="AI7">
            <v>10000</v>
          </cell>
        </row>
      </sheetData>
      <sheetData sheetId="15097">
        <row r="7">
          <cell r="AI7">
            <v>10000</v>
          </cell>
        </row>
      </sheetData>
      <sheetData sheetId="15098">
        <row r="7">
          <cell r="AI7">
            <v>10000</v>
          </cell>
        </row>
      </sheetData>
      <sheetData sheetId="15099">
        <row r="7">
          <cell r="AI7">
            <v>10000</v>
          </cell>
        </row>
      </sheetData>
      <sheetData sheetId="15100">
        <row r="7">
          <cell r="AI7">
            <v>10000</v>
          </cell>
        </row>
      </sheetData>
      <sheetData sheetId="15101">
        <row r="7">
          <cell r="AI7">
            <v>10000</v>
          </cell>
        </row>
      </sheetData>
      <sheetData sheetId="15102">
        <row r="7">
          <cell r="AI7">
            <v>10000</v>
          </cell>
        </row>
      </sheetData>
      <sheetData sheetId="15103">
        <row r="7">
          <cell r="AI7">
            <v>10000</v>
          </cell>
        </row>
      </sheetData>
      <sheetData sheetId="15104">
        <row r="7">
          <cell r="AI7">
            <v>10000</v>
          </cell>
        </row>
      </sheetData>
      <sheetData sheetId="15105">
        <row r="7">
          <cell r="AI7">
            <v>10000</v>
          </cell>
        </row>
      </sheetData>
      <sheetData sheetId="15106">
        <row r="7">
          <cell r="AI7">
            <v>10000</v>
          </cell>
        </row>
      </sheetData>
      <sheetData sheetId="15107">
        <row r="7">
          <cell r="AI7">
            <v>10000</v>
          </cell>
        </row>
      </sheetData>
      <sheetData sheetId="15108">
        <row r="7">
          <cell r="AI7">
            <v>10000</v>
          </cell>
        </row>
      </sheetData>
      <sheetData sheetId="15109">
        <row r="7">
          <cell r="AI7">
            <v>10000</v>
          </cell>
        </row>
      </sheetData>
      <sheetData sheetId="15110">
        <row r="7">
          <cell r="AI7">
            <v>10000</v>
          </cell>
        </row>
      </sheetData>
      <sheetData sheetId="15111">
        <row r="7">
          <cell r="AI7">
            <v>10000</v>
          </cell>
        </row>
      </sheetData>
      <sheetData sheetId="15112">
        <row r="7">
          <cell r="AI7">
            <v>10000</v>
          </cell>
        </row>
      </sheetData>
      <sheetData sheetId="15113">
        <row r="7">
          <cell r="AI7">
            <v>10000</v>
          </cell>
        </row>
      </sheetData>
      <sheetData sheetId="15114">
        <row r="7">
          <cell r="AI7">
            <v>10000</v>
          </cell>
        </row>
      </sheetData>
      <sheetData sheetId="15115">
        <row r="7">
          <cell r="AI7">
            <v>10000</v>
          </cell>
        </row>
      </sheetData>
      <sheetData sheetId="15116">
        <row r="7">
          <cell r="AI7">
            <v>10000</v>
          </cell>
        </row>
      </sheetData>
      <sheetData sheetId="15117">
        <row r="7">
          <cell r="AI7">
            <v>10000</v>
          </cell>
        </row>
      </sheetData>
      <sheetData sheetId="15118">
        <row r="7">
          <cell r="AI7">
            <v>10000</v>
          </cell>
        </row>
      </sheetData>
      <sheetData sheetId="15119">
        <row r="7">
          <cell r="AI7">
            <v>10000</v>
          </cell>
        </row>
      </sheetData>
      <sheetData sheetId="15120">
        <row r="7">
          <cell r="AI7">
            <v>10000</v>
          </cell>
        </row>
      </sheetData>
      <sheetData sheetId="15121">
        <row r="7">
          <cell r="AI7">
            <v>10000</v>
          </cell>
        </row>
      </sheetData>
      <sheetData sheetId="15122">
        <row r="7">
          <cell r="AI7">
            <v>10000</v>
          </cell>
        </row>
      </sheetData>
      <sheetData sheetId="15123">
        <row r="7">
          <cell r="AI7">
            <v>10000</v>
          </cell>
        </row>
      </sheetData>
      <sheetData sheetId="15124">
        <row r="7">
          <cell r="AI7">
            <v>10000</v>
          </cell>
        </row>
      </sheetData>
      <sheetData sheetId="15125">
        <row r="7">
          <cell r="AI7">
            <v>10000</v>
          </cell>
        </row>
      </sheetData>
      <sheetData sheetId="15126">
        <row r="7">
          <cell r="AI7">
            <v>10000</v>
          </cell>
        </row>
      </sheetData>
      <sheetData sheetId="15127">
        <row r="7">
          <cell r="AI7">
            <v>10000</v>
          </cell>
        </row>
      </sheetData>
      <sheetData sheetId="15128">
        <row r="7">
          <cell r="AI7">
            <v>10000</v>
          </cell>
        </row>
      </sheetData>
      <sheetData sheetId="15129">
        <row r="7">
          <cell r="AI7">
            <v>10000</v>
          </cell>
        </row>
      </sheetData>
      <sheetData sheetId="15130">
        <row r="7">
          <cell r="AI7">
            <v>10000</v>
          </cell>
        </row>
      </sheetData>
      <sheetData sheetId="15131">
        <row r="7">
          <cell r="AI7">
            <v>10000</v>
          </cell>
        </row>
      </sheetData>
      <sheetData sheetId="15132">
        <row r="7">
          <cell r="AI7">
            <v>10000</v>
          </cell>
        </row>
      </sheetData>
      <sheetData sheetId="15133">
        <row r="7">
          <cell r="AI7">
            <v>10000</v>
          </cell>
        </row>
      </sheetData>
      <sheetData sheetId="15134">
        <row r="7">
          <cell r="AI7">
            <v>10000</v>
          </cell>
        </row>
      </sheetData>
      <sheetData sheetId="15135">
        <row r="7">
          <cell r="AI7">
            <v>10000</v>
          </cell>
        </row>
      </sheetData>
      <sheetData sheetId="15136">
        <row r="7">
          <cell r="AI7">
            <v>10000</v>
          </cell>
        </row>
      </sheetData>
      <sheetData sheetId="15137">
        <row r="7">
          <cell r="AI7">
            <v>10000</v>
          </cell>
        </row>
      </sheetData>
      <sheetData sheetId="15138">
        <row r="7">
          <cell r="AI7">
            <v>10000</v>
          </cell>
        </row>
      </sheetData>
      <sheetData sheetId="15139">
        <row r="7">
          <cell r="AI7">
            <v>10000</v>
          </cell>
        </row>
      </sheetData>
      <sheetData sheetId="15140">
        <row r="7">
          <cell r="AI7">
            <v>10000</v>
          </cell>
        </row>
      </sheetData>
      <sheetData sheetId="15141">
        <row r="7">
          <cell r="AI7">
            <v>10000</v>
          </cell>
        </row>
      </sheetData>
      <sheetData sheetId="15142">
        <row r="7">
          <cell r="AI7">
            <v>10000</v>
          </cell>
        </row>
      </sheetData>
      <sheetData sheetId="15143">
        <row r="7">
          <cell r="AI7">
            <v>10000</v>
          </cell>
        </row>
      </sheetData>
      <sheetData sheetId="15144">
        <row r="7">
          <cell r="AI7">
            <v>10000</v>
          </cell>
        </row>
      </sheetData>
      <sheetData sheetId="15145">
        <row r="7">
          <cell r="AI7">
            <v>10000</v>
          </cell>
        </row>
      </sheetData>
      <sheetData sheetId="15146">
        <row r="7">
          <cell r="AI7">
            <v>10000</v>
          </cell>
        </row>
      </sheetData>
      <sheetData sheetId="15147">
        <row r="7">
          <cell r="AI7">
            <v>10000</v>
          </cell>
        </row>
      </sheetData>
      <sheetData sheetId="15148">
        <row r="7">
          <cell r="AI7">
            <v>10000</v>
          </cell>
        </row>
      </sheetData>
      <sheetData sheetId="15149">
        <row r="7">
          <cell r="AI7">
            <v>10000</v>
          </cell>
        </row>
      </sheetData>
      <sheetData sheetId="15150">
        <row r="7">
          <cell r="AI7">
            <v>10000</v>
          </cell>
        </row>
      </sheetData>
      <sheetData sheetId="15151">
        <row r="7">
          <cell r="AI7">
            <v>10000</v>
          </cell>
        </row>
      </sheetData>
      <sheetData sheetId="15152">
        <row r="7">
          <cell r="AI7">
            <v>10000</v>
          </cell>
        </row>
      </sheetData>
      <sheetData sheetId="15153">
        <row r="7">
          <cell r="AI7">
            <v>10000</v>
          </cell>
        </row>
      </sheetData>
      <sheetData sheetId="15154">
        <row r="7">
          <cell r="AI7">
            <v>10000</v>
          </cell>
        </row>
      </sheetData>
      <sheetData sheetId="15155">
        <row r="7">
          <cell r="AI7">
            <v>10000</v>
          </cell>
        </row>
      </sheetData>
      <sheetData sheetId="15156">
        <row r="7">
          <cell r="AI7">
            <v>10000</v>
          </cell>
        </row>
      </sheetData>
      <sheetData sheetId="15157">
        <row r="7">
          <cell r="AI7">
            <v>10000</v>
          </cell>
        </row>
      </sheetData>
      <sheetData sheetId="15158">
        <row r="7">
          <cell r="AI7">
            <v>10000</v>
          </cell>
        </row>
      </sheetData>
      <sheetData sheetId="15159">
        <row r="7">
          <cell r="AI7">
            <v>10000</v>
          </cell>
        </row>
      </sheetData>
      <sheetData sheetId="15160">
        <row r="7">
          <cell r="AI7">
            <v>10000</v>
          </cell>
        </row>
      </sheetData>
      <sheetData sheetId="15161">
        <row r="7">
          <cell r="AI7">
            <v>10000</v>
          </cell>
        </row>
      </sheetData>
      <sheetData sheetId="15162">
        <row r="7">
          <cell r="AI7">
            <v>10000</v>
          </cell>
        </row>
      </sheetData>
      <sheetData sheetId="15163">
        <row r="7">
          <cell r="AI7">
            <v>10000</v>
          </cell>
        </row>
      </sheetData>
      <sheetData sheetId="15164">
        <row r="7">
          <cell r="AI7">
            <v>10000</v>
          </cell>
        </row>
      </sheetData>
      <sheetData sheetId="15165">
        <row r="7">
          <cell r="AI7">
            <v>10000</v>
          </cell>
        </row>
      </sheetData>
      <sheetData sheetId="15166">
        <row r="7">
          <cell r="AI7">
            <v>10000</v>
          </cell>
        </row>
      </sheetData>
      <sheetData sheetId="15167">
        <row r="7">
          <cell r="AI7">
            <v>10000</v>
          </cell>
        </row>
      </sheetData>
      <sheetData sheetId="15168">
        <row r="7">
          <cell r="AI7">
            <v>10000</v>
          </cell>
        </row>
      </sheetData>
      <sheetData sheetId="15169">
        <row r="7">
          <cell r="AI7">
            <v>10000</v>
          </cell>
        </row>
      </sheetData>
      <sheetData sheetId="15170">
        <row r="7">
          <cell r="AI7">
            <v>10000</v>
          </cell>
        </row>
      </sheetData>
      <sheetData sheetId="15171">
        <row r="7">
          <cell r="AI7">
            <v>10000</v>
          </cell>
        </row>
      </sheetData>
      <sheetData sheetId="15172">
        <row r="7">
          <cell r="AI7">
            <v>10000</v>
          </cell>
        </row>
      </sheetData>
      <sheetData sheetId="15173">
        <row r="7">
          <cell r="AI7">
            <v>10000</v>
          </cell>
        </row>
      </sheetData>
      <sheetData sheetId="15174">
        <row r="7">
          <cell r="AI7">
            <v>10000</v>
          </cell>
        </row>
      </sheetData>
      <sheetData sheetId="15175">
        <row r="7">
          <cell r="AI7">
            <v>10000</v>
          </cell>
        </row>
      </sheetData>
      <sheetData sheetId="15176">
        <row r="7">
          <cell r="AI7">
            <v>10000</v>
          </cell>
        </row>
      </sheetData>
      <sheetData sheetId="15177">
        <row r="7">
          <cell r="AI7">
            <v>10000</v>
          </cell>
        </row>
      </sheetData>
      <sheetData sheetId="15178">
        <row r="7">
          <cell r="AI7">
            <v>10000</v>
          </cell>
        </row>
      </sheetData>
      <sheetData sheetId="15179">
        <row r="7">
          <cell r="AI7">
            <v>10000</v>
          </cell>
        </row>
      </sheetData>
      <sheetData sheetId="15180">
        <row r="7">
          <cell r="AI7">
            <v>10000</v>
          </cell>
        </row>
      </sheetData>
      <sheetData sheetId="15181">
        <row r="7">
          <cell r="AI7">
            <v>10000</v>
          </cell>
        </row>
      </sheetData>
      <sheetData sheetId="15182">
        <row r="7">
          <cell r="AI7">
            <v>10000</v>
          </cell>
        </row>
      </sheetData>
      <sheetData sheetId="15183">
        <row r="7">
          <cell r="AI7">
            <v>10000</v>
          </cell>
        </row>
      </sheetData>
      <sheetData sheetId="15184">
        <row r="7">
          <cell r="AI7">
            <v>10000</v>
          </cell>
        </row>
      </sheetData>
      <sheetData sheetId="15185">
        <row r="7">
          <cell r="AI7">
            <v>10000</v>
          </cell>
        </row>
      </sheetData>
      <sheetData sheetId="15186">
        <row r="7">
          <cell r="AI7">
            <v>10000</v>
          </cell>
        </row>
      </sheetData>
      <sheetData sheetId="15187">
        <row r="7">
          <cell r="AI7">
            <v>10000</v>
          </cell>
        </row>
      </sheetData>
      <sheetData sheetId="15188">
        <row r="7">
          <cell r="AI7">
            <v>10000</v>
          </cell>
        </row>
      </sheetData>
      <sheetData sheetId="15189">
        <row r="7">
          <cell r="AI7">
            <v>10000</v>
          </cell>
        </row>
      </sheetData>
      <sheetData sheetId="15190">
        <row r="7">
          <cell r="AI7">
            <v>10000</v>
          </cell>
        </row>
      </sheetData>
      <sheetData sheetId="15191">
        <row r="7">
          <cell r="AI7">
            <v>10000</v>
          </cell>
        </row>
      </sheetData>
      <sheetData sheetId="15192">
        <row r="7">
          <cell r="AI7">
            <v>10000</v>
          </cell>
        </row>
      </sheetData>
      <sheetData sheetId="15193">
        <row r="7">
          <cell r="AI7">
            <v>10000</v>
          </cell>
        </row>
      </sheetData>
      <sheetData sheetId="15194">
        <row r="7">
          <cell r="AI7">
            <v>10000</v>
          </cell>
        </row>
      </sheetData>
      <sheetData sheetId="15195">
        <row r="7">
          <cell r="AI7">
            <v>10000</v>
          </cell>
        </row>
      </sheetData>
      <sheetData sheetId="15196">
        <row r="7">
          <cell r="AI7">
            <v>10000</v>
          </cell>
        </row>
      </sheetData>
      <sheetData sheetId="15197">
        <row r="7">
          <cell r="AI7">
            <v>10000</v>
          </cell>
        </row>
      </sheetData>
      <sheetData sheetId="15198">
        <row r="7">
          <cell r="AI7">
            <v>10000</v>
          </cell>
        </row>
      </sheetData>
      <sheetData sheetId="15199">
        <row r="7">
          <cell r="AI7">
            <v>10000</v>
          </cell>
        </row>
      </sheetData>
      <sheetData sheetId="15200">
        <row r="7">
          <cell r="AI7">
            <v>10000</v>
          </cell>
        </row>
      </sheetData>
      <sheetData sheetId="15201">
        <row r="7">
          <cell r="AI7">
            <v>10000</v>
          </cell>
        </row>
      </sheetData>
      <sheetData sheetId="15202">
        <row r="7">
          <cell r="AI7">
            <v>10000</v>
          </cell>
        </row>
      </sheetData>
      <sheetData sheetId="15203">
        <row r="7">
          <cell r="AI7">
            <v>10000</v>
          </cell>
        </row>
      </sheetData>
      <sheetData sheetId="15204">
        <row r="7">
          <cell r="AI7">
            <v>10000</v>
          </cell>
        </row>
      </sheetData>
      <sheetData sheetId="15205">
        <row r="7">
          <cell r="AI7">
            <v>10000</v>
          </cell>
        </row>
      </sheetData>
      <sheetData sheetId="15206">
        <row r="7">
          <cell r="AI7">
            <v>10000</v>
          </cell>
        </row>
      </sheetData>
      <sheetData sheetId="15207">
        <row r="7">
          <cell r="AI7">
            <v>10000</v>
          </cell>
        </row>
      </sheetData>
      <sheetData sheetId="15208">
        <row r="7">
          <cell r="AI7">
            <v>10000</v>
          </cell>
        </row>
      </sheetData>
      <sheetData sheetId="15209">
        <row r="7">
          <cell r="AI7">
            <v>10000</v>
          </cell>
        </row>
      </sheetData>
      <sheetData sheetId="15210">
        <row r="7">
          <cell r="AI7">
            <v>10000</v>
          </cell>
        </row>
      </sheetData>
      <sheetData sheetId="15211">
        <row r="7">
          <cell r="AI7">
            <v>10000</v>
          </cell>
        </row>
      </sheetData>
      <sheetData sheetId="15212">
        <row r="7">
          <cell r="AI7">
            <v>10000</v>
          </cell>
        </row>
      </sheetData>
      <sheetData sheetId="15213">
        <row r="7">
          <cell r="AI7">
            <v>10000</v>
          </cell>
        </row>
      </sheetData>
      <sheetData sheetId="15214">
        <row r="7">
          <cell r="AI7">
            <v>10000</v>
          </cell>
        </row>
      </sheetData>
      <sheetData sheetId="15215">
        <row r="7">
          <cell r="AI7">
            <v>10000</v>
          </cell>
        </row>
      </sheetData>
      <sheetData sheetId="15216">
        <row r="7">
          <cell r="AI7">
            <v>10000</v>
          </cell>
        </row>
      </sheetData>
      <sheetData sheetId="15217">
        <row r="7">
          <cell r="AI7">
            <v>10000</v>
          </cell>
        </row>
      </sheetData>
      <sheetData sheetId="15218">
        <row r="7">
          <cell r="AI7">
            <v>10000</v>
          </cell>
        </row>
      </sheetData>
      <sheetData sheetId="15219">
        <row r="7">
          <cell r="AI7">
            <v>10000</v>
          </cell>
        </row>
      </sheetData>
      <sheetData sheetId="15220">
        <row r="7">
          <cell r="AI7">
            <v>10000</v>
          </cell>
        </row>
      </sheetData>
      <sheetData sheetId="15221">
        <row r="7">
          <cell r="AI7">
            <v>10000</v>
          </cell>
        </row>
      </sheetData>
      <sheetData sheetId="15222">
        <row r="7">
          <cell r="AI7">
            <v>10000</v>
          </cell>
        </row>
      </sheetData>
      <sheetData sheetId="15223">
        <row r="7">
          <cell r="AI7">
            <v>10000</v>
          </cell>
        </row>
      </sheetData>
      <sheetData sheetId="15224">
        <row r="7">
          <cell r="AI7">
            <v>10000</v>
          </cell>
        </row>
      </sheetData>
      <sheetData sheetId="15225">
        <row r="7">
          <cell r="AI7">
            <v>10000</v>
          </cell>
        </row>
      </sheetData>
      <sheetData sheetId="15226">
        <row r="7">
          <cell r="AI7">
            <v>10000</v>
          </cell>
        </row>
      </sheetData>
      <sheetData sheetId="15227">
        <row r="7">
          <cell r="AI7">
            <v>10000</v>
          </cell>
        </row>
      </sheetData>
      <sheetData sheetId="15228">
        <row r="7">
          <cell r="AI7">
            <v>10000</v>
          </cell>
        </row>
      </sheetData>
      <sheetData sheetId="15229">
        <row r="7">
          <cell r="AI7">
            <v>10000</v>
          </cell>
        </row>
      </sheetData>
      <sheetData sheetId="15230">
        <row r="7">
          <cell r="AI7">
            <v>10000</v>
          </cell>
        </row>
      </sheetData>
      <sheetData sheetId="15231">
        <row r="7">
          <cell r="AI7">
            <v>10000</v>
          </cell>
        </row>
      </sheetData>
      <sheetData sheetId="15232">
        <row r="7">
          <cell r="AI7">
            <v>10000</v>
          </cell>
        </row>
      </sheetData>
      <sheetData sheetId="15233">
        <row r="7">
          <cell r="AI7">
            <v>10000</v>
          </cell>
        </row>
      </sheetData>
      <sheetData sheetId="15234">
        <row r="7">
          <cell r="AI7">
            <v>10000</v>
          </cell>
        </row>
      </sheetData>
      <sheetData sheetId="15235">
        <row r="7">
          <cell r="AI7">
            <v>10000</v>
          </cell>
        </row>
      </sheetData>
      <sheetData sheetId="15236">
        <row r="7">
          <cell r="AI7">
            <v>10000</v>
          </cell>
        </row>
      </sheetData>
      <sheetData sheetId="15237">
        <row r="7">
          <cell r="AI7">
            <v>10000</v>
          </cell>
        </row>
      </sheetData>
      <sheetData sheetId="15238">
        <row r="7">
          <cell r="AI7">
            <v>10000</v>
          </cell>
        </row>
      </sheetData>
      <sheetData sheetId="15239">
        <row r="7">
          <cell r="AI7">
            <v>10000</v>
          </cell>
        </row>
      </sheetData>
      <sheetData sheetId="15240">
        <row r="7">
          <cell r="AI7">
            <v>10000</v>
          </cell>
        </row>
      </sheetData>
      <sheetData sheetId="15241">
        <row r="7">
          <cell r="AI7">
            <v>10000</v>
          </cell>
        </row>
      </sheetData>
      <sheetData sheetId="15242">
        <row r="7">
          <cell r="AI7">
            <v>10000</v>
          </cell>
        </row>
      </sheetData>
      <sheetData sheetId="15243">
        <row r="7">
          <cell r="AI7">
            <v>10000</v>
          </cell>
        </row>
      </sheetData>
      <sheetData sheetId="15244">
        <row r="7">
          <cell r="AI7">
            <v>10000</v>
          </cell>
        </row>
      </sheetData>
      <sheetData sheetId="15245">
        <row r="7">
          <cell r="AI7">
            <v>10000</v>
          </cell>
        </row>
      </sheetData>
      <sheetData sheetId="15246">
        <row r="7">
          <cell r="AI7">
            <v>10000</v>
          </cell>
        </row>
      </sheetData>
      <sheetData sheetId="15247">
        <row r="7">
          <cell r="AI7">
            <v>10000</v>
          </cell>
        </row>
      </sheetData>
      <sheetData sheetId="15248">
        <row r="7">
          <cell r="AI7">
            <v>10000</v>
          </cell>
        </row>
      </sheetData>
      <sheetData sheetId="15249">
        <row r="7">
          <cell r="AI7">
            <v>10000</v>
          </cell>
        </row>
      </sheetData>
      <sheetData sheetId="15250">
        <row r="7">
          <cell r="AI7">
            <v>10000</v>
          </cell>
        </row>
      </sheetData>
      <sheetData sheetId="15251">
        <row r="7">
          <cell r="AI7">
            <v>10000</v>
          </cell>
        </row>
      </sheetData>
      <sheetData sheetId="15252">
        <row r="7">
          <cell r="AI7">
            <v>10000</v>
          </cell>
        </row>
      </sheetData>
      <sheetData sheetId="15253">
        <row r="7">
          <cell r="AI7">
            <v>10000</v>
          </cell>
        </row>
      </sheetData>
      <sheetData sheetId="15254">
        <row r="7">
          <cell r="AI7">
            <v>10000</v>
          </cell>
        </row>
      </sheetData>
      <sheetData sheetId="15255">
        <row r="7">
          <cell r="AI7">
            <v>10000</v>
          </cell>
        </row>
      </sheetData>
      <sheetData sheetId="15256">
        <row r="7">
          <cell r="AI7">
            <v>10000</v>
          </cell>
        </row>
      </sheetData>
      <sheetData sheetId="15257">
        <row r="7">
          <cell r="AI7">
            <v>10000</v>
          </cell>
        </row>
      </sheetData>
      <sheetData sheetId="15258">
        <row r="7">
          <cell r="AI7">
            <v>10000</v>
          </cell>
        </row>
      </sheetData>
      <sheetData sheetId="15259">
        <row r="7">
          <cell r="AI7">
            <v>10000</v>
          </cell>
        </row>
      </sheetData>
      <sheetData sheetId="15260">
        <row r="7">
          <cell r="AI7">
            <v>10000</v>
          </cell>
        </row>
      </sheetData>
      <sheetData sheetId="15261">
        <row r="7">
          <cell r="AI7">
            <v>10000</v>
          </cell>
        </row>
      </sheetData>
      <sheetData sheetId="15262">
        <row r="7">
          <cell r="AI7">
            <v>10000</v>
          </cell>
        </row>
      </sheetData>
      <sheetData sheetId="15263">
        <row r="7">
          <cell r="AI7">
            <v>10000</v>
          </cell>
        </row>
      </sheetData>
      <sheetData sheetId="15264">
        <row r="7">
          <cell r="AI7">
            <v>10000</v>
          </cell>
        </row>
      </sheetData>
      <sheetData sheetId="15265">
        <row r="7">
          <cell r="AI7">
            <v>10000</v>
          </cell>
        </row>
      </sheetData>
      <sheetData sheetId="15266">
        <row r="7">
          <cell r="AI7">
            <v>10000</v>
          </cell>
        </row>
      </sheetData>
      <sheetData sheetId="15267">
        <row r="7">
          <cell r="AI7">
            <v>10000</v>
          </cell>
        </row>
      </sheetData>
      <sheetData sheetId="15268">
        <row r="7">
          <cell r="AI7">
            <v>10000</v>
          </cell>
        </row>
      </sheetData>
      <sheetData sheetId="15269">
        <row r="7">
          <cell r="AI7">
            <v>10000</v>
          </cell>
        </row>
      </sheetData>
      <sheetData sheetId="15270">
        <row r="7">
          <cell r="AI7">
            <v>10000</v>
          </cell>
        </row>
      </sheetData>
      <sheetData sheetId="15271">
        <row r="7">
          <cell r="AI7">
            <v>10000</v>
          </cell>
        </row>
      </sheetData>
      <sheetData sheetId="15272">
        <row r="7">
          <cell r="AI7">
            <v>10000</v>
          </cell>
        </row>
      </sheetData>
      <sheetData sheetId="15273">
        <row r="7">
          <cell r="AI7">
            <v>10000</v>
          </cell>
        </row>
      </sheetData>
      <sheetData sheetId="15274">
        <row r="7">
          <cell r="AI7">
            <v>10000</v>
          </cell>
        </row>
      </sheetData>
      <sheetData sheetId="15275">
        <row r="7">
          <cell r="AI7">
            <v>10000</v>
          </cell>
        </row>
      </sheetData>
      <sheetData sheetId="15276">
        <row r="7">
          <cell r="AI7">
            <v>10000</v>
          </cell>
        </row>
      </sheetData>
      <sheetData sheetId="15277">
        <row r="7">
          <cell r="AI7">
            <v>10000</v>
          </cell>
        </row>
      </sheetData>
      <sheetData sheetId="15278">
        <row r="7">
          <cell r="AI7">
            <v>10000</v>
          </cell>
        </row>
      </sheetData>
      <sheetData sheetId="15279">
        <row r="7">
          <cell r="AI7">
            <v>10000</v>
          </cell>
        </row>
      </sheetData>
      <sheetData sheetId="15280">
        <row r="7">
          <cell r="AI7">
            <v>10000</v>
          </cell>
        </row>
      </sheetData>
      <sheetData sheetId="15281">
        <row r="7">
          <cell r="AI7">
            <v>10000</v>
          </cell>
        </row>
      </sheetData>
      <sheetData sheetId="15282">
        <row r="7">
          <cell r="AI7">
            <v>10000</v>
          </cell>
        </row>
      </sheetData>
      <sheetData sheetId="15283">
        <row r="7">
          <cell r="AI7">
            <v>10000</v>
          </cell>
        </row>
      </sheetData>
      <sheetData sheetId="15284">
        <row r="7">
          <cell r="AI7">
            <v>10000</v>
          </cell>
        </row>
      </sheetData>
      <sheetData sheetId="15285">
        <row r="7">
          <cell r="AI7">
            <v>10000</v>
          </cell>
        </row>
      </sheetData>
      <sheetData sheetId="15286">
        <row r="7">
          <cell r="AI7">
            <v>10000</v>
          </cell>
        </row>
      </sheetData>
      <sheetData sheetId="15287">
        <row r="7">
          <cell r="AI7">
            <v>10000</v>
          </cell>
        </row>
      </sheetData>
      <sheetData sheetId="15288">
        <row r="7">
          <cell r="AI7">
            <v>10000</v>
          </cell>
        </row>
      </sheetData>
      <sheetData sheetId="15289">
        <row r="7">
          <cell r="AI7">
            <v>10000</v>
          </cell>
        </row>
      </sheetData>
      <sheetData sheetId="15290">
        <row r="7">
          <cell r="AI7">
            <v>10000</v>
          </cell>
        </row>
      </sheetData>
      <sheetData sheetId="15291">
        <row r="7">
          <cell r="AI7">
            <v>10000</v>
          </cell>
        </row>
      </sheetData>
      <sheetData sheetId="15292">
        <row r="7">
          <cell r="AI7">
            <v>10000</v>
          </cell>
        </row>
      </sheetData>
      <sheetData sheetId="15293">
        <row r="7">
          <cell r="AI7">
            <v>10000</v>
          </cell>
        </row>
      </sheetData>
      <sheetData sheetId="15294">
        <row r="7">
          <cell r="AI7">
            <v>10000</v>
          </cell>
        </row>
      </sheetData>
      <sheetData sheetId="15295">
        <row r="7">
          <cell r="AI7">
            <v>10000</v>
          </cell>
        </row>
      </sheetData>
      <sheetData sheetId="15296">
        <row r="7">
          <cell r="AI7">
            <v>10000</v>
          </cell>
        </row>
      </sheetData>
      <sheetData sheetId="15297">
        <row r="7">
          <cell r="AI7">
            <v>10000</v>
          </cell>
        </row>
      </sheetData>
      <sheetData sheetId="15298">
        <row r="7">
          <cell r="AI7">
            <v>10000</v>
          </cell>
        </row>
      </sheetData>
      <sheetData sheetId="15299">
        <row r="7">
          <cell r="AI7">
            <v>10000</v>
          </cell>
        </row>
      </sheetData>
      <sheetData sheetId="15300">
        <row r="7">
          <cell r="AI7">
            <v>10000</v>
          </cell>
        </row>
      </sheetData>
      <sheetData sheetId="15301">
        <row r="7">
          <cell r="AI7">
            <v>10000</v>
          </cell>
        </row>
      </sheetData>
      <sheetData sheetId="15302">
        <row r="7">
          <cell r="AI7">
            <v>10000</v>
          </cell>
        </row>
      </sheetData>
      <sheetData sheetId="15303">
        <row r="7">
          <cell r="AI7">
            <v>10000</v>
          </cell>
        </row>
      </sheetData>
      <sheetData sheetId="15304">
        <row r="7">
          <cell r="AI7">
            <v>10000</v>
          </cell>
        </row>
      </sheetData>
      <sheetData sheetId="15305">
        <row r="7">
          <cell r="AI7">
            <v>10000</v>
          </cell>
        </row>
      </sheetData>
      <sheetData sheetId="15306">
        <row r="7">
          <cell r="AI7">
            <v>10000</v>
          </cell>
        </row>
      </sheetData>
      <sheetData sheetId="15307">
        <row r="7">
          <cell r="AI7">
            <v>10000</v>
          </cell>
        </row>
      </sheetData>
      <sheetData sheetId="15308">
        <row r="7">
          <cell r="AI7">
            <v>10000</v>
          </cell>
        </row>
      </sheetData>
      <sheetData sheetId="15309">
        <row r="7">
          <cell r="AI7">
            <v>10000</v>
          </cell>
        </row>
      </sheetData>
      <sheetData sheetId="15310">
        <row r="7">
          <cell r="AI7">
            <v>10000</v>
          </cell>
        </row>
      </sheetData>
      <sheetData sheetId="15311">
        <row r="7">
          <cell r="AI7">
            <v>10000</v>
          </cell>
        </row>
      </sheetData>
      <sheetData sheetId="15312">
        <row r="7">
          <cell r="AI7">
            <v>10000</v>
          </cell>
        </row>
      </sheetData>
      <sheetData sheetId="15313">
        <row r="7">
          <cell r="AI7">
            <v>10000</v>
          </cell>
        </row>
      </sheetData>
      <sheetData sheetId="15314">
        <row r="7">
          <cell r="AI7">
            <v>10000</v>
          </cell>
        </row>
      </sheetData>
      <sheetData sheetId="15315">
        <row r="7">
          <cell r="AI7">
            <v>10000</v>
          </cell>
        </row>
      </sheetData>
      <sheetData sheetId="15316">
        <row r="7">
          <cell r="AI7">
            <v>10000</v>
          </cell>
        </row>
      </sheetData>
      <sheetData sheetId="15317">
        <row r="7">
          <cell r="AI7">
            <v>10000</v>
          </cell>
        </row>
      </sheetData>
      <sheetData sheetId="15318">
        <row r="7">
          <cell r="AI7">
            <v>10000</v>
          </cell>
        </row>
      </sheetData>
      <sheetData sheetId="15319">
        <row r="7">
          <cell r="AI7">
            <v>10000</v>
          </cell>
        </row>
      </sheetData>
      <sheetData sheetId="15320">
        <row r="7">
          <cell r="AI7">
            <v>10000</v>
          </cell>
        </row>
      </sheetData>
      <sheetData sheetId="15321">
        <row r="7">
          <cell r="AI7">
            <v>10000</v>
          </cell>
        </row>
      </sheetData>
      <sheetData sheetId="15322">
        <row r="7">
          <cell r="AI7">
            <v>10000</v>
          </cell>
        </row>
      </sheetData>
      <sheetData sheetId="15323">
        <row r="7">
          <cell r="AI7">
            <v>10000</v>
          </cell>
        </row>
      </sheetData>
      <sheetData sheetId="15324">
        <row r="7">
          <cell r="AI7">
            <v>10000</v>
          </cell>
        </row>
      </sheetData>
      <sheetData sheetId="15325">
        <row r="7">
          <cell r="AI7">
            <v>10000</v>
          </cell>
        </row>
      </sheetData>
      <sheetData sheetId="15326">
        <row r="7">
          <cell r="AI7">
            <v>10000</v>
          </cell>
        </row>
      </sheetData>
      <sheetData sheetId="15327">
        <row r="7">
          <cell r="AI7">
            <v>10000</v>
          </cell>
        </row>
      </sheetData>
      <sheetData sheetId="15328">
        <row r="7">
          <cell r="AI7">
            <v>10000</v>
          </cell>
        </row>
      </sheetData>
      <sheetData sheetId="15329">
        <row r="7">
          <cell r="AI7">
            <v>10000</v>
          </cell>
        </row>
      </sheetData>
      <sheetData sheetId="15330">
        <row r="7">
          <cell r="AI7">
            <v>10000</v>
          </cell>
        </row>
      </sheetData>
      <sheetData sheetId="15331">
        <row r="7">
          <cell r="AI7">
            <v>10000</v>
          </cell>
        </row>
      </sheetData>
      <sheetData sheetId="15332">
        <row r="7">
          <cell r="AI7">
            <v>10000</v>
          </cell>
        </row>
      </sheetData>
      <sheetData sheetId="15333">
        <row r="7">
          <cell r="AI7">
            <v>10000</v>
          </cell>
        </row>
      </sheetData>
      <sheetData sheetId="15334">
        <row r="7">
          <cell r="AI7">
            <v>10000</v>
          </cell>
        </row>
      </sheetData>
      <sheetData sheetId="15335">
        <row r="7">
          <cell r="AI7">
            <v>10000</v>
          </cell>
        </row>
      </sheetData>
      <sheetData sheetId="15336">
        <row r="7">
          <cell r="AI7">
            <v>10000</v>
          </cell>
        </row>
      </sheetData>
      <sheetData sheetId="15337">
        <row r="7">
          <cell r="AI7">
            <v>10000</v>
          </cell>
        </row>
      </sheetData>
      <sheetData sheetId="15338">
        <row r="7">
          <cell r="AI7">
            <v>10000</v>
          </cell>
        </row>
      </sheetData>
      <sheetData sheetId="15339">
        <row r="7">
          <cell r="AI7">
            <v>10000</v>
          </cell>
        </row>
      </sheetData>
      <sheetData sheetId="15340">
        <row r="7">
          <cell r="AI7">
            <v>10000</v>
          </cell>
        </row>
      </sheetData>
      <sheetData sheetId="15341">
        <row r="7">
          <cell r="AI7">
            <v>10000</v>
          </cell>
        </row>
      </sheetData>
      <sheetData sheetId="15342">
        <row r="7">
          <cell r="AI7">
            <v>10000</v>
          </cell>
        </row>
      </sheetData>
      <sheetData sheetId="15343">
        <row r="7">
          <cell r="AI7">
            <v>10000</v>
          </cell>
        </row>
      </sheetData>
      <sheetData sheetId="15344">
        <row r="7">
          <cell r="AI7">
            <v>10000</v>
          </cell>
        </row>
      </sheetData>
      <sheetData sheetId="15345">
        <row r="7">
          <cell r="AI7">
            <v>10000</v>
          </cell>
        </row>
      </sheetData>
      <sheetData sheetId="15346">
        <row r="7">
          <cell r="AI7">
            <v>10000</v>
          </cell>
        </row>
      </sheetData>
      <sheetData sheetId="15347">
        <row r="7">
          <cell r="AI7">
            <v>10000</v>
          </cell>
        </row>
      </sheetData>
      <sheetData sheetId="15348">
        <row r="7">
          <cell r="AI7">
            <v>10000</v>
          </cell>
        </row>
      </sheetData>
      <sheetData sheetId="15349">
        <row r="7">
          <cell r="AI7">
            <v>10000</v>
          </cell>
        </row>
      </sheetData>
      <sheetData sheetId="15350">
        <row r="7">
          <cell r="AI7">
            <v>10000</v>
          </cell>
        </row>
      </sheetData>
      <sheetData sheetId="15351">
        <row r="7">
          <cell r="AI7">
            <v>10000</v>
          </cell>
        </row>
      </sheetData>
      <sheetData sheetId="15352">
        <row r="7">
          <cell r="AI7">
            <v>10000</v>
          </cell>
        </row>
      </sheetData>
      <sheetData sheetId="15353">
        <row r="7">
          <cell r="AI7">
            <v>10000</v>
          </cell>
        </row>
      </sheetData>
      <sheetData sheetId="15354">
        <row r="7">
          <cell r="AI7">
            <v>10000</v>
          </cell>
        </row>
      </sheetData>
      <sheetData sheetId="15355">
        <row r="7">
          <cell r="AI7">
            <v>10000</v>
          </cell>
        </row>
      </sheetData>
      <sheetData sheetId="15356">
        <row r="7">
          <cell r="AI7">
            <v>10000</v>
          </cell>
        </row>
      </sheetData>
      <sheetData sheetId="15357">
        <row r="7">
          <cell r="AI7">
            <v>10000</v>
          </cell>
        </row>
      </sheetData>
      <sheetData sheetId="15358">
        <row r="7">
          <cell r="AI7">
            <v>10000</v>
          </cell>
        </row>
      </sheetData>
      <sheetData sheetId="15359">
        <row r="7">
          <cell r="AI7">
            <v>10000</v>
          </cell>
        </row>
      </sheetData>
      <sheetData sheetId="15360">
        <row r="7">
          <cell r="AI7">
            <v>10000</v>
          </cell>
        </row>
      </sheetData>
      <sheetData sheetId="15361">
        <row r="7">
          <cell r="AI7">
            <v>10000</v>
          </cell>
        </row>
      </sheetData>
      <sheetData sheetId="15362">
        <row r="7">
          <cell r="AI7">
            <v>10000</v>
          </cell>
        </row>
      </sheetData>
      <sheetData sheetId="15363">
        <row r="7">
          <cell r="AI7">
            <v>10000</v>
          </cell>
        </row>
      </sheetData>
      <sheetData sheetId="15364">
        <row r="7">
          <cell r="AI7">
            <v>10000</v>
          </cell>
        </row>
      </sheetData>
      <sheetData sheetId="15365">
        <row r="7">
          <cell r="AI7">
            <v>10000</v>
          </cell>
        </row>
      </sheetData>
      <sheetData sheetId="15366">
        <row r="7">
          <cell r="AI7">
            <v>10000</v>
          </cell>
        </row>
      </sheetData>
      <sheetData sheetId="15367">
        <row r="7">
          <cell r="AI7">
            <v>10000</v>
          </cell>
        </row>
      </sheetData>
      <sheetData sheetId="15368">
        <row r="7">
          <cell r="AI7">
            <v>10000</v>
          </cell>
        </row>
      </sheetData>
      <sheetData sheetId="15369">
        <row r="7">
          <cell r="AI7">
            <v>10000</v>
          </cell>
        </row>
      </sheetData>
      <sheetData sheetId="15370">
        <row r="7">
          <cell r="AI7">
            <v>10000</v>
          </cell>
        </row>
      </sheetData>
      <sheetData sheetId="15371">
        <row r="7">
          <cell r="AI7">
            <v>10000</v>
          </cell>
        </row>
      </sheetData>
      <sheetData sheetId="15372">
        <row r="7">
          <cell r="AI7">
            <v>10000</v>
          </cell>
        </row>
      </sheetData>
      <sheetData sheetId="15373">
        <row r="7">
          <cell r="AI7">
            <v>10000</v>
          </cell>
        </row>
      </sheetData>
      <sheetData sheetId="15374">
        <row r="7">
          <cell r="AI7">
            <v>10000</v>
          </cell>
        </row>
      </sheetData>
      <sheetData sheetId="15375">
        <row r="7">
          <cell r="AI7">
            <v>10000</v>
          </cell>
        </row>
      </sheetData>
      <sheetData sheetId="15376">
        <row r="7">
          <cell r="AI7">
            <v>10000</v>
          </cell>
        </row>
      </sheetData>
      <sheetData sheetId="15377">
        <row r="7">
          <cell r="AI7">
            <v>10000</v>
          </cell>
        </row>
      </sheetData>
      <sheetData sheetId="15378">
        <row r="7">
          <cell r="AI7">
            <v>10000</v>
          </cell>
        </row>
      </sheetData>
      <sheetData sheetId="15379">
        <row r="7">
          <cell r="AI7">
            <v>10000</v>
          </cell>
        </row>
      </sheetData>
      <sheetData sheetId="15380">
        <row r="7">
          <cell r="AI7">
            <v>10000</v>
          </cell>
        </row>
      </sheetData>
      <sheetData sheetId="15381">
        <row r="7">
          <cell r="AI7">
            <v>10000</v>
          </cell>
        </row>
      </sheetData>
      <sheetData sheetId="15382">
        <row r="7">
          <cell r="AI7">
            <v>10000</v>
          </cell>
        </row>
      </sheetData>
      <sheetData sheetId="15383">
        <row r="7">
          <cell r="AI7">
            <v>10000</v>
          </cell>
        </row>
      </sheetData>
      <sheetData sheetId="15384">
        <row r="7">
          <cell r="AI7">
            <v>10000</v>
          </cell>
        </row>
      </sheetData>
      <sheetData sheetId="15385">
        <row r="7">
          <cell r="AI7">
            <v>10000</v>
          </cell>
        </row>
      </sheetData>
      <sheetData sheetId="15386">
        <row r="7">
          <cell r="AI7">
            <v>10000</v>
          </cell>
        </row>
      </sheetData>
      <sheetData sheetId="15387">
        <row r="7">
          <cell r="AI7">
            <v>10000</v>
          </cell>
        </row>
      </sheetData>
      <sheetData sheetId="15388">
        <row r="7">
          <cell r="AI7">
            <v>10000</v>
          </cell>
        </row>
      </sheetData>
      <sheetData sheetId="15389">
        <row r="7">
          <cell r="AI7">
            <v>10000</v>
          </cell>
        </row>
      </sheetData>
      <sheetData sheetId="15390">
        <row r="7">
          <cell r="AI7">
            <v>10000</v>
          </cell>
        </row>
      </sheetData>
      <sheetData sheetId="15391">
        <row r="7">
          <cell r="AI7">
            <v>10000</v>
          </cell>
        </row>
      </sheetData>
      <sheetData sheetId="15392">
        <row r="7">
          <cell r="AI7">
            <v>10000</v>
          </cell>
        </row>
      </sheetData>
      <sheetData sheetId="15393">
        <row r="7">
          <cell r="AI7">
            <v>10000</v>
          </cell>
        </row>
      </sheetData>
      <sheetData sheetId="15394">
        <row r="7">
          <cell r="AI7">
            <v>10000</v>
          </cell>
        </row>
      </sheetData>
      <sheetData sheetId="15395">
        <row r="7">
          <cell r="AI7">
            <v>10000</v>
          </cell>
        </row>
      </sheetData>
      <sheetData sheetId="15396">
        <row r="7">
          <cell r="AI7">
            <v>10000</v>
          </cell>
        </row>
      </sheetData>
      <sheetData sheetId="15397">
        <row r="7">
          <cell r="AI7">
            <v>10000</v>
          </cell>
        </row>
      </sheetData>
      <sheetData sheetId="15398">
        <row r="7">
          <cell r="AI7">
            <v>10000</v>
          </cell>
        </row>
      </sheetData>
      <sheetData sheetId="15399">
        <row r="7">
          <cell r="AI7">
            <v>10000</v>
          </cell>
        </row>
      </sheetData>
      <sheetData sheetId="15400">
        <row r="7">
          <cell r="AI7">
            <v>10000</v>
          </cell>
        </row>
      </sheetData>
      <sheetData sheetId="15401">
        <row r="7">
          <cell r="AI7">
            <v>10000</v>
          </cell>
        </row>
      </sheetData>
      <sheetData sheetId="15402">
        <row r="7">
          <cell r="AI7">
            <v>10000</v>
          </cell>
        </row>
      </sheetData>
      <sheetData sheetId="15403">
        <row r="7">
          <cell r="AI7">
            <v>10000</v>
          </cell>
        </row>
      </sheetData>
      <sheetData sheetId="15404">
        <row r="7">
          <cell r="AI7">
            <v>10000</v>
          </cell>
        </row>
      </sheetData>
      <sheetData sheetId="15405">
        <row r="7">
          <cell r="AI7">
            <v>10000</v>
          </cell>
        </row>
      </sheetData>
      <sheetData sheetId="15406">
        <row r="7">
          <cell r="AI7">
            <v>10000</v>
          </cell>
        </row>
      </sheetData>
      <sheetData sheetId="15407">
        <row r="7">
          <cell r="AI7">
            <v>10000</v>
          </cell>
        </row>
      </sheetData>
      <sheetData sheetId="15408">
        <row r="7">
          <cell r="AI7">
            <v>10000</v>
          </cell>
        </row>
      </sheetData>
      <sheetData sheetId="15409">
        <row r="7">
          <cell r="AI7">
            <v>10000</v>
          </cell>
        </row>
      </sheetData>
      <sheetData sheetId="15410">
        <row r="7">
          <cell r="AI7">
            <v>10000</v>
          </cell>
        </row>
      </sheetData>
      <sheetData sheetId="15411">
        <row r="7">
          <cell r="AI7">
            <v>10000</v>
          </cell>
        </row>
      </sheetData>
      <sheetData sheetId="15412">
        <row r="7">
          <cell r="AI7">
            <v>10000</v>
          </cell>
        </row>
      </sheetData>
      <sheetData sheetId="15413">
        <row r="7">
          <cell r="AI7">
            <v>10000</v>
          </cell>
        </row>
      </sheetData>
      <sheetData sheetId="15414">
        <row r="7">
          <cell r="AI7">
            <v>10000</v>
          </cell>
        </row>
      </sheetData>
      <sheetData sheetId="15415">
        <row r="7">
          <cell r="AI7">
            <v>10000</v>
          </cell>
        </row>
      </sheetData>
      <sheetData sheetId="15416">
        <row r="7">
          <cell r="AI7">
            <v>10000</v>
          </cell>
        </row>
      </sheetData>
      <sheetData sheetId="15417">
        <row r="7">
          <cell r="AI7">
            <v>10000</v>
          </cell>
        </row>
      </sheetData>
      <sheetData sheetId="15418">
        <row r="7">
          <cell r="AI7">
            <v>10000</v>
          </cell>
        </row>
      </sheetData>
      <sheetData sheetId="15419">
        <row r="7">
          <cell r="AI7">
            <v>10000</v>
          </cell>
        </row>
      </sheetData>
      <sheetData sheetId="15420">
        <row r="7">
          <cell r="AI7">
            <v>10000</v>
          </cell>
        </row>
      </sheetData>
      <sheetData sheetId="15421">
        <row r="7">
          <cell r="AI7">
            <v>10000</v>
          </cell>
        </row>
      </sheetData>
      <sheetData sheetId="15422">
        <row r="7">
          <cell r="AI7">
            <v>10000</v>
          </cell>
        </row>
      </sheetData>
      <sheetData sheetId="15423">
        <row r="7">
          <cell r="AI7">
            <v>10000</v>
          </cell>
        </row>
      </sheetData>
      <sheetData sheetId="15424">
        <row r="7">
          <cell r="AI7">
            <v>10000</v>
          </cell>
        </row>
      </sheetData>
      <sheetData sheetId="15425">
        <row r="7">
          <cell r="AI7">
            <v>10000</v>
          </cell>
        </row>
      </sheetData>
      <sheetData sheetId="15426">
        <row r="7">
          <cell r="AI7">
            <v>10000</v>
          </cell>
        </row>
      </sheetData>
      <sheetData sheetId="15427">
        <row r="7">
          <cell r="AI7">
            <v>10000</v>
          </cell>
        </row>
      </sheetData>
      <sheetData sheetId="15428">
        <row r="7">
          <cell r="AI7">
            <v>10000</v>
          </cell>
        </row>
      </sheetData>
      <sheetData sheetId="15429">
        <row r="7">
          <cell r="AI7">
            <v>10000</v>
          </cell>
        </row>
      </sheetData>
      <sheetData sheetId="15430">
        <row r="7">
          <cell r="AI7">
            <v>10000</v>
          </cell>
        </row>
      </sheetData>
      <sheetData sheetId="15431">
        <row r="7">
          <cell r="AI7">
            <v>10000</v>
          </cell>
        </row>
      </sheetData>
      <sheetData sheetId="15432">
        <row r="7">
          <cell r="AI7">
            <v>10000</v>
          </cell>
        </row>
      </sheetData>
      <sheetData sheetId="15433">
        <row r="7">
          <cell r="AI7">
            <v>10000</v>
          </cell>
        </row>
      </sheetData>
      <sheetData sheetId="15434">
        <row r="7">
          <cell r="AI7">
            <v>10000</v>
          </cell>
        </row>
      </sheetData>
      <sheetData sheetId="15435">
        <row r="7">
          <cell r="AI7">
            <v>10000</v>
          </cell>
        </row>
      </sheetData>
      <sheetData sheetId="15436">
        <row r="7">
          <cell r="AI7">
            <v>10000</v>
          </cell>
        </row>
      </sheetData>
      <sheetData sheetId="15437">
        <row r="7">
          <cell r="AI7">
            <v>10000</v>
          </cell>
        </row>
      </sheetData>
      <sheetData sheetId="15438">
        <row r="7">
          <cell r="AI7">
            <v>10000</v>
          </cell>
        </row>
      </sheetData>
      <sheetData sheetId="15439">
        <row r="7">
          <cell r="AI7">
            <v>10000</v>
          </cell>
        </row>
      </sheetData>
      <sheetData sheetId="15440">
        <row r="7">
          <cell r="AI7">
            <v>10000</v>
          </cell>
        </row>
      </sheetData>
      <sheetData sheetId="15441">
        <row r="7">
          <cell r="AI7">
            <v>10000</v>
          </cell>
        </row>
      </sheetData>
      <sheetData sheetId="15442">
        <row r="7">
          <cell r="AI7">
            <v>10000</v>
          </cell>
        </row>
      </sheetData>
      <sheetData sheetId="15443">
        <row r="7">
          <cell r="AI7">
            <v>10000</v>
          </cell>
        </row>
      </sheetData>
      <sheetData sheetId="15444">
        <row r="7">
          <cell r="AI7">
            <v>10000</v>
          </cell>
        </row>
      </sheetData>
      <sheetData sheetId="15445">
        <row r="7">
          <cell r="AI7">
            <v>10000</v>
          </cell>
        </row>
      </sheetData>
      <sheetData sheetId="15446">
        <row r="7">
          <cell r="AI7">
            <v>10000</v>
          </cell>
        </row>
      </sheetData>
      <sheetData sheetId="15447">
        <row r="7">
          <cell r="AI7">
            <v>10000</v>
          </cell>
        </row>
      </sheetData>
      <sheetData sheetId="15448">
        <row r="7">
          <cell r="AI7">
            <v>10000</v>
          </cell>
        </row>
      </sheetData>
      <sheetData sheetId="15449">
        <row r="7">
          <cell r="AI7">
            <v>10000</v>
          </cell>
        </row>
      </sheetData>
      <sheetData sheetId="15450">
        <row r="7">
          <cell r="AI7">
            <v>10000</v>
          </cell>
        </row>
      </sheetData>
      <sheetData sheetId="15451">
        <row r="7">
          <cell r="AI7">
            <v>10000</v>
          </cell>
        </row>
      </sheetData>
      <sheetData sheetId="15452">
        <row r="7">
          <cell r="AI7">
            <v>10000</v>
          </cell>
        </row>
      </sheetData>
      <sheetData sheetId="15453">
        <row r="7">
          <cell r="AI7">
            <v>10000</v>
          </cell>
        </row>
      </sheetData>
      <sheetData sheetId="15454">
        <row r="7">
          <cell r="AI7">
            <v>10000</v>
          </cell>
        </row>
      </sheetData>
      <sheetData sheetId="15455">
        <row r="7">
          <cell r="AI7">
            <v>10000</v>
          </cell>
        </row>
      </sheetData>
      <sheetData sheetId="15456">
        <row r="7">
          <cell r="AI7">
            <v>10000</v>
          </cell>
        </row>
      </sheetData>
      <sheetData sheetId="15457">
        <row r="7">
          <cell r="AI7">
            <v>10000</v>
          </cell>
        </row>
      </sheetData>
      <sheetData sheetId="15458">
        <row r="7">
          <cell r="AI7">
            <v>10000</v>
          </cell>
        </row>
      </sheetData>
      <sheetData sheetId="15459">
        <row r="7">
          <cell r="AI7">
            <v>10000</v>
          </cell>
        </row>
      </sheetData>
      <sheetData sheetId="15460">
        <row r="7">
          <cell r="AI7">
            <v>10000</v>
          </cell>
        </row>
      </sheetData>
      <sheetData sheetId="15461">
        <row r="7">
          <cell r="AI7">
            <v>10000</v>
          </cell>
        </row>
      </sheetData>
      <sheetData sheetId="15462">
        <row r="7">
          <cell r="AI7">
            <v>10000</v>
          </cell>
        </row>
      </sheetData>
      <sheetData sheetId="15463">
        <row r="7">
          <cell r="AI7">
            <v>10000</v>
          </cell>
        </row>
      </sheetData>
      <sheetData sheetId="15464">
        <row r="7">
          <cell r="AI7">
            <v>10000</v>
          </cell>
        </row>
      </sheetData>
      <sheetData sheetId="15465">
        <row r="7">
          <cell r="AI7">
            <v>10000</v>
          </cell>
        </row>
      </sheetData>
      <sheetData sheetId="15466">
        <row r="7">
          <cell r="AI7">
            <v>10000</v>
          </cell>
        </row>
      </sheetData>
      <sheetData sheetId="15467">
        <row r="7">
          <cell r="AI7">
            <v>10000</v>
          </cell>
        </row>
      </sheetData>
      <sheetData sheetId="15468">
        <row r="7">
          <cell r="AI7">
            <v>10000</v>
          </cell>
        </row>
      </sheetData>
      <sheetData sheetId="15469">
        <row r="7">
          <cell r="AI7">
            <v>10000</v>
          </cell>
        </row>
      </sheetData>
      <sheetData sheetId="15470">
        <row r="7">
          <cell r="AI7">
            <v>10000</v>
          </cell>
        </row>
      </sheetData>
      <sheetData sheetId="15471">
        <row r="7">
          <cell r="AI7">
            <v>10000</v>
          </cell>
        </row>
      </sheetData>
      <sheetData sheetId="15472">
        <row r="7">
          <cell r="AI7">
            <v>10000</v>
          </cell>
        </row>
      </sheetData>
      <sheetData sheetId="15473">
        <row r="7">
          <cell r="AI7">
            <v>10000</v>
          </cell>
        </row>
      </sheetData>
      <sheetData sheetId="15474">
        <row r="7">
          <cell r="AI7">
            <v>10000</v>
          </cell>
        </row>
      </sheetData>
      <sheetData sheetId="15475">
        <row r="7">
          <cell r="AI7">
            <v>10000</v>
          </cell>
        </row>
      </sheetData>
      <sheetData sheetId="15476">
        <row r="7">
          <cell r="AI7">
            <v>10000</v>
          </cell>
        </row>
      </sheetData>
      <sheetData sheetId="15477">
        <row r="7">
          <cell r="AI7">
            <v>10000</v>
          </cell>
        </row>
      </sheetData>
      <sheetData sheetId="15478">
        <row r="7">
          <cell r="AI7">
            <v>10000</v>
          </cell>
        </row>
      </sheetData>
      <sheetData sheetId="15479">
        <row r="7">
          <cell r="AI7">
            <v>10000</v>
          </cell>
        </row>
      </sheetData>
      <sheetData sheetId="15480">
        <row r="7">
          <cell r="AI7">
            <v>10000</v>
          </cell>
        </row>
      </sheetData>
      <sheetData sheetId="15481">
        <row r="7">
          <cell r="AI7">
            <v>10000</v>
          </cell>
        </row>
      </sheetData>
      <sheetData sheetId="15482">
        <row r="7">
          <cell r="AI7">
            <v>10000</v>
          </cell>
        </row>
      </sheetData>
      <sheetData sheetId="15483">
        <row r="7">
          <cell r="AI7">
            <v>10000</v>
          </cell>
        </row>
      </sheetData>
      <sheetData sheetId="15484">
        <row r="7">
          <cell r="AI7">
            <v>10000</v>
          </cell>
        </row>
      </sheetData>
      <sheetData sheetId="15485">
        <row r="7">
          <cell r="AI7">
            <v>10000</v>
          </cell>
        </row>
      </sheetData>
      <sheetData sheetId="15486">
        <row r="7">
          <cell r="AI7">
            <v>10000</v>
          </cell>
        </row>
      </sheetData>
      <sheetData sheetId="15487">
        <row r="7">
          <cell r="AI7">
            <v>10000</v>
          </cell>
        </row>
      </sheetData>
      <sheetData sheetId="15488">
        <row r="7">
          <cell r="AI7">
            <v>10000</v>
          </cell>
        </row>
      </sheetData>
      <sheetData sheetId="15489">
        <row r="7">
          <cell r="AI7">
            <v>10000</v>
          </cell>
        </row>
      </sheetData>
      <sheetData sheetId="15490">
        <row r="7">
          <cell r="AI7">
            <v>10000</v>
          </cell>
        </row>
      </sheetData>
      <sheetData sheetId="15491">
        <row r="7">
          <cell r="AI7">
            <v>10000</v>
          </cell>
        </row>
      </sheetData>
      <sheetData sheetId="15492">
        <row r="7">
          <cell r="AI7">
            <v>10000</v>
          </cell>
        </row>
      </sheetData>
      <sheetData sheetId="15493">
        <row r="7">
          <cell r="AI7">
            <v>10000</v>
          </cell>
        </row>
      </sheetData>
      <sheetData sheetId="15494">
        <row r="7">
          <cell r="AI7">
            <v>10000</v>
          </cell>
        </row>
      </sheetData>
      <sheetData sheetId="15495">
        <row r="7">
          <cell r="AI7">
            <v>10000</v>
          </cell>
        </row>
      </sheetData>
      <sheetData sheetId="15496">
        <row r="7">
          <cell r="AI7">
            <v>10000</v>
          </cell>
        </row>
      </sheetData>
      <sheetData sheetId="15497">
        <row r="7">
          <cell r="AI7">
            <v>10000</v>
          </cell>
        </row>
      </sheetData>
      <sheetData sheetId="15498">
        <row r="7">
          <cell r="AI7">
            <v>10000</v>
          </cell>
        </row>
      </sheetData>
      <sheetData sheetId="15499">
        <row r="7">
          <cell r="AI7">
            <v>10000</v>
          </cell>
        </row>
      </sheetData>
      <sheetData sheetId="15500">
        <row r="7">
          <cell r="AI7">
            <v>10000</v>
          </cell>
        </row>
      </sheetData>
      <sheetData sheetId="15501">
        <row r="7">
          <cell r="AI7">
            <v>10000</v>
          </cell>
        </row>
      </sheetData>
      <sheetData sheetId="15502">
        <row r="7">
          <cell r="AI7">
            <v>10000</v>
          </cell>
        </row>
      </sheetData>
      <sheetData sheetId="15503">
        <row r="7">
          <cell r="AI7">
            <v>10000</v>
          </cell>
        </row>
      </sheetData>
      <sheetData sheetId="15504">
        <row r="7">
          <cell r="AI7">
            <v>10000</v>
          </cell>
        </row>
      </sheetData>
      <sheetData sheetId="15505">
        <row r="7">
          <cell r="AI7">
            <v>10000</v>
          </cell>
        </row>
      </sheetData>
      <sheetData sheetId="15506">
        <row r="7">
          <cell r="AI7">
            <v>10000</v>
          </cell>
        </row>
      </sheetData>
      <sheetData sheetId="15507">
        <row r="7">
          <cell r="AI7">
            <v>10000</v>
          </cell>
        </row>
      </sheetData>
      <sheetData sheetId="15508">
        <row r="7">
          <cell r="AI7">
            <v>10000</v>
          </cell>
        </row>
      </sheetData>
      <sheetData sheetId="15509">
        <row r="7">
          <cell r="AI7">
            <v>10000</v>
          </cell>
        </row>
      </sheetData>
      <sheetData sheetId="15510">
        <row r="7">
          <cell r="AI7">
            <v>10000</v>
          </cell>
        </row>
      </sheetData>
      <sheetData sheetId="15511">
        <row r="7">
          <cell r="AI7">
            <v>10000</v>
          </cell>
        </row>
      </sheetData>
      <sheetData sheetId="15512">
        <row r="7">
          <cell r="AI7">
            <v>10000</v>
          </cell>
        </row>
      </sheetData>
      <sheetData sheetId="15513">
        <row r="7">
          <cell r="AI7">
            <v>10000</v>
          </cell>
        </row>
      </sheetData>
      <sheetData sheetId="15514">
        <row r="7">
          <cell r="AI7">
            <v>10000</v>
          </cell>
        </row>
      </sheetData>
      <sheetData sheetId="15515">
        <row r="7">
          <cell r="AI7">
            <v>10000</v>
          </cell>
        </row>
      </sheetData>
      <sheetData sheetId="15516">
        <row r="7">
          <cell r="AI7">
            <v>10000</v>
          </cell>
        </row>
      </sheetData>
      <sheetData sheetId="15517">
        <row r="7">
          <cell r="AI7">
            <v>10000</v>
          </cell>
        </row>
      </sheetData>
      <sheetData sheetId="15518">
        <row r="7">
          <cell r="AI7">
            <v>10000</v>
          </cell>
        </row>
      </sheetData>
      <sheetData sheetId="15519">
        <row r="7">
          <cell r="AI7">
            <v>10000</v>
          </cell>
        </row>
      </sheetData>
      <sheetData sheetId="15520">
        <row r="7">
          <cell r="AI7">
            <v>10000</v>
          </cell>
        </row>
      </sheetData>
      <sheetData sheetId="15521">
        <row r="7">
          <cell r="AI7">
            <v>10000</v>
          </cell>
        </row>
      </sheetData>
      <sheetData sheetId="15522">
        <row r="7">
          <cell r="AI7">
            <v>10000</v>
          </cell>
        </row>
      </sheetData>
      <sheetData sheetId="15523">
        <row r="7">
          <cell r="AI7">
            <v>10000</v>
          </cell>
        </row>
      </sheetData>
      <sheetData sheetId="15524">
        <row r="7">
          <cell r="AI7">
            <v>10000</v>
          </cell>
        </row>
      </sheetData>
      <sheetData sheetId="15525">
        <row r="7">
          <cell r="AI7">
            <v>10000</v>
          </cell>
        </row>
      </sheetData>
      <sheetData sheetId="15526">
        <row r="7">
          <cell r="AI7">
            <v>10000</v>
          </cell>
        </row>
      </sheetData>
      <sheetData sheetId="15527">
        <row r="7">
          <cell r="AI7">
            <v>10000</v>
          </cell>
        </row>
      </sheetData>
      <sheetData sheetId="15528">
        <row r="7">
          <cell r="AI7">
            <v>10000</v>
          </cell>
        </row>
      </sheetData>
      <sheetData sheetId="15529">
        <row r="7">
          <cell r="AI7">
            <v>10000</v>
          </cell>
        </row>
      </sheetData>
      <sheetData sheetId="15530">
        <row r="7">
          <cell r="AI7">
            <v>10000</v>
          </cell>
        </row>
      </sheetData>
      <sheetData sheetId="15531">
        <row r="7">
          <cell r="AI7">
            <v>10000</v>
          </cell>
        </row>
      </sheetData>
      <sheetData sheetId="15532">
        <row r="7">
          <cell r="AI7">
            <v>10000</v>
          </cell>
        </row>
      </sheetData>
      <sheetData sheetId="15533">
        <row r="7">
          <cell r="AI7">
            <v>10000</v>
          </cell>
        </row>
      </sheetData>
      <sheetData sheetId="15534">
        <row r="7">
          <cell r="AI7">
            <v>10000</v>
          </cell>
        </row>
      </sheetData>
      <sheetData sheetId="15535">
        <row r="7">
          <cell r="AI7">
            <v>10000</v>
          </cell>
        </row>
      </sheetData>
      <sheetData sheetId="15536">
        <row r="7">
          <cell r="AI7">
            <v>10000</v>
          </cell>
        </row>
      </sheetData>
      <sheetData sheetId="15537">
        <row r="7">
          <cell r="AI7">
            <v>10000</v>
          </cell>
        </row>
      </sheetData>
      <sheetData sheetId="15538">
        <row r="7">
          <cell r="AI7">
            <v>10000</v>
          </cell>
        </row>
      </sheetData>
      <sheetData sheetId="15539">
        <row r="7">
          <cell r="AI7">
            <v>10000</v>
          </cell>
        </row>
      </sheetData>
      <sheetData sheetId="15540">
        <row r="7">
          <cell r="AI7">
            <v>10000</v>
          </cell>
        </row>
      </sheetData>
      <sheetData sheetId="15541">
        <row r="7">
          <cell r="AI7">
            <v>10000</v>
          </cell>
        </row>
      </sheetData>
      <sheetData sheetId="15542">
        <row r="7">
          <cell r="AI7">
            <v>10000</v>
          </cell>
        </row>
      </sheetData>
      <sheetData sheetId="15543">
        <row r="7">
          <cell r="AI7">
            <v>10000</v>
          </cell>
        </row>
      </sheetData>
      <sheetData sheetId="15544">
        <row r="7">
          <cell r="AI7">
            <v>10000</v>
          </cell>
        </row>
      </sheetData>
      <sheetData sheetId="15545">
        <row r="7">
          <cell r="AI7">
            <v>10000</v>
          </cell>
        </row>
      </sheetData>
      <sheetData sheetId="15546">
        <row r="7">
          <cell r="AI7">
            <v>10000</v>
          </cell>
        </row>
      </sheetData>
      <sheetData sheetId="15547">
        <row r="7">
          <cell r="AI7">
            <v>10000</v>
          </cell>
        </row>
      </sheetData>
      <sheetData sheetId="15548">
        <row r="7">
          <cell r="AI7">
            <v>10000</v>
          </cell>
        </row>
      </sheetData>
      <sheetData sheetId="15549">
        <row r="7">
          <cell r="AI7">
            <v>10000</v>
          </cell>
        </row>
      </sheetData>
      <sheetData sheetId="15550">
        <row r="7">
          <cell r="AI7">
            <v>10000</v>
          </cell>
        </row>
      </sheetData>
      <sheetData sheetId="15551">
        <row r="7">
          <cell r="AI7">
            <v>10000</v>
          </cell>
        </row>
      </sheetData>
      <sheetData sheetId="15552">
        <row r="7">
          <cell r="AI7">
            <v>10000</v>
          </cell>
        </row>
      </sheetData>
      <sheetData sheetId="15553">
        <row r="7">
          <cell r="AI7">
            <v>10000</v>
          </cell>
        </row>
      </sheetData>
      <sheetData sheetId="15554">
        <row r="7">
          <cell r="AI7">
            <v>10000</v>
          </cell>
        </row>
      </sheetData>
      <sheetData sheetId="15555">
        <row r="7">
          <cell r="AI7">
            <v>10000</v>
          </cell>
        </row>
      </sheetData>
      <sheetData sheetId="15556">
        <row r="7">
          <cell r="AI7">
            <v>10000</v>
          </cell>
        </row>
      </sheetData>
      <sheetData sheetId="15557">
        <row r="7">
          <cell r="AI7">
            <v>10000</v>
          </cell>
        </row>
      </sheetData>
      <sheetData sheetId="15558">
        <row r="7">
          <cell r="AI7">
            <v>10000</v>
          </cell>
        </row>
      </sheetData>
      <sheetData sheetId="15559">
        <row r="7">
          <cell r="AI7">
            <v>10000</v>
          </cell>
        </row>
      </sheetData>
      <sheetData sheetId="15560">
        <row r="7">
          <cell r="AI7">
            <v>10000</v>
          </cell>
        </row>
      </sheetData>
      <sheetData sheetId="15561">
        <row r="7">
          <cell r="AI7">
            <v>10000</v>
          </cell>
        </row>
      </sheetData>
      <sheetData sheetId="15562">
        <row r="7">
          <cell r="AI7">
            <v>10000</v>
          </cell>
        </row>
      </sheetData>
      <sheetData sheetId="15563">
        <row r="7">
          <cell r="AI7">
            <v>10000</v>
          </cell>
        </row>
      </sheetData>
      <sheetData sheetId="15564">
        <row r="7">
          <cell r="AI7">
            <v>10000</v>
          </cell>
        </row>
      </sheetData>
      <sheetData sheetId="15565">
        <row r="7">
          <cell r="AI7">
            <v>10000</v>
          </cell>
        </row>
      </sheetData>
      <sheetData sheetId="15566">
        <row r="7">
          <cell r="AI7">
            <v>10000</v>
          </cell>
        </row>
      </sheetData>
      <sheetData sheetId="15567">
        <row r="7">
          <cell r="AI7">
            <v>10000</v>
          </cell>
        </row>
      </sheetData>
      <sheetData sheetId="15568">
        <row r="7">
          <cell r="AI7">
            <v>10000</v>
          </cell>
        </row>
      </sheetData>
      <sheetData sheetId="15569">
        <row r="7">
          <cell r="AI7">
            <v>10000</v>
          </cell>
        </row>
      </sheetData>
      <sheetData sheetId="15570">
        <row r="7">
          <cell r="AI7">
            <v>10000</v>
          </cell>
        </row>
      </sheetData>
      <sheetData sheetId="15571">
        <row r="7">
          <cell r="AI7">
            <v>10000</v>
          </cell>
        </row>
      </sheetData>
      <sheetData sheetId="15572">
        <row r="7">
          <cell r="AI7">
            <v>10000</v>
          </cell>
        </row>
      </sheetData>
      <sheetData sheetId="15573">
        <row r="7">
          <cell r="AI7">
            <v>10000</v>
          </cell>
        </row>
      </sheetData>
      <sheetData sheetId="15574">
        <row r="7">
          <cell r="AI7">
            <v>10000</v>
          </cell>
        </row>
      </sheetData>
      <sheetData sheetId="15575">
        <row r="7">
          <cell r="AI7">
            <v>10000</v>
          </cell>
        </row>
      </sheetData>
      <sheetData sheetId="15576">
        <row r="7">
          <cell r="AI7">
            <v>10000</v>
          </cell>
        </row>
      </sheetData>
      <sheetData sheetId="15577">
        <row r="7">
          <cell r="AI7">
            <v>10000</v>
          </cell>
        </row>
      </sheetData>
      <sheetData sheetId="15578">
        <row r="7">
          <cell r="AI7">
            <v>10000</v>
          </cell>
        </row>
      </sheetData>
      <sheetData sheetId="15579">
        <row r="7">
          <cell r="AI7">
            <v>10000</v>
          </cell>
        </row>
      </sheetData>
      <sheetData sheetId="15580">
        <row r="7">
          <cell r="AI7">
            <v>10000</v>
          </cell>
        </row>
      </sheetData>
      <sheetData sheetId="15581">
        <row r="7">
          <cell r="AI7">
            <v>10000</v>
          </cell>
        </row>
      </sheetData>
      <sheetData sheetId="15582">
        <row r="7">
          <cell r="AI7">
            <v>10000</v>
          </cell>
        </row>
      </sheetData>
      <sheetData sheetId="15583">
        <row r="7">
          <cell r="AI7">
            <v>10000</v>
          </cell>
        </row>
      </sheetData>
      <sheetData sheetId="15584">
        <row r="7">
          <cell r="AI7">
            <v>10000</v>
          </cell>
        </row>
      </sheetData>
      <sheetData sheetId="15585">
        <row r="7">
          <cell r="AI7">
            <v>10000</v>
          </cell>
        </row>
      </sheetData>
      <sheetData sheetId="15586">
        <row r="7">
          <cell r="AI7">
            <v>10000</v>
          </cell>
        </row>
      </sheetData>
      <sheetData sheetId="15587">
        <row r="7">
          <cell r="AI7">
            <v>10000</v>
          </cell>
        </row>
      </sheetData>
      <sheetData sheetId="15588">
        <row r="7">
          <cell r="AI7">
            <v>10000</v>
          </cell>
        </row>
      </sheetData>
      <sheetData sheetId="15589">
        <row r="7">
          <cell r="AI7">
            <v>10000</v>
          </cell>
        </row>
      </sheetData>
      <sheetData sheetId="15590">
        <row r="7">
          <cell r="AI7">
            <v>10000</v>
          </cell>
        </row>
      </sheetData>
      <sheetData sheetId="15591">
        <row r="7">
          <cell r="AI7">
            <v>10000</v>
          </cell>
        </row>
      </sheetData>
      <sheetData sheetId="15592">
        <row r="7">
          <cell r="AI7">
            <v>10000</v>
          </cell>
        </row>
      </sheetData>
      <sheetData sheetId="15593">
        <row r="7">
          <cell r="AI7">
            <v>10000</v>
          </cell>
        </row>
      </sheetData>
      <sheetData sheetId="15594">
        <row r="7">
          <cell r="AI7">
            <v>10000</v>
          </cell>
        </row>
      </sheetData>
      <sheetData sheetId="15595">
        <row r="7">
          <cell r="AI7">
            <v>10000</v>
          </cell>
        </row>
      </sheetData>
      <sheetData sheetId="15596">
        <row r="7">
          <cell r="AI7">
            <v>10000</v>
          </cell>
        </row>
      </sheetData>
      <sheetData sheetId="15597">
        <row r="7">
          <cell r="AI7">
            <v>10000</v>
          </cell>
        </row>
      </sheetData>
      <sheetData sheetId="15598">
        <row r="7">
          <cell r="AI7">
            <v>10000</v>
          </cell>
        </row>
      </sheetData>
      <sheetData sheetId="15599">
        <row r="7">
          <cell r="AI7">
            <v>10000</v>
          </cell>
        </row>
      </sheetData>
      <sheetData sheetId="15600">
        <row r="7">
          <cell r="AI7">
            <v>10000</v>
          </cell>
        </row>
      </sheetData>
      <sheetData sheetId="15601">
        <row r="7">
          <cell r="AI7">
            <v>10000</v>
          </cell>
        </row>
      </sheetData>
      <sheetData sheetId="15602">
        <row r="7">
          <cell r="AI7">
            <v>10000</v>
          </cell>
        </row>
      </sheetData>
      <sheetData sheetId="15603">
        <row r="7">
          <cell r="AI7">
            <v>10000</v>
          </cell>
        </row>
      </sheetData>
      <sheetData sheetId="15604">
        <row r="7">
          <cell r="AI7">
            <v>10000</v>
          </cell>
        </row>
      </sheetData>
      <sheetData sheetId="15605">
        <row r="7">
          <cell r="AI7">
            <v>10000</v>
          </cell>
        </row>
      </sheetData>
      <sheetData sheetId="15606">
        <row r="7">
          <cell r="AI7">
            <v>10000</v>
          </cell>
        </row>
      </sheetData>
      <sheetData sheetId="15607">
        <row r="7">
          <cell r="AI7">
            <v>10000</v>
          </cell>
        </row>
      </sheetData>
      <sheetData sheetId="15608">
        <row r="7">
          <cell r="AI7">
            <v>10000</v>
          </cell>
        </row>
      </sheetData>
      <sheetData sheetId="15609">
        <row r="7">
          <cell r="AI7">
            <v>10000</v>
          </cell>
        </row>
      </sheetData>
      <sheetData sheetId="15610">
        <row r="7">
          <cell r="AI7">
            <v>10000</v>
          </cell>
        </row>
      </sheetData>
      <sheetData sheetId="15611">
        <row r="7">
          <cell r="AI7">
            <v>10000</v>
          </cell>
        </row>
      </sheetData>
      <sheetData sheetId="15612">
        <row r="7">
          <cell r="AI7">
            <v>10000</v>
          </cell>
        </row>
      </sheetData>
      <sheetData sheetId="15613">
        <row r="7">
          <cell r="AI7">
            <v>10000</v>
          </cell>
        </row>
      </sheetData>
      <sheetData sheetId="15614">
        <row r="7">
          <cell r="AI7">
            <v>10000</v>
          </cell>
        </row>
      </sheetData>
      <sheetData sheetId="15615">
        <row r="7">
          <cell r="AI7">
            <v>10000</v>
          </cell>
        </row>
      </sheetData>
      <sheetData sheetId="15616">
        <row r="7">
          <cell r="AI7">
            <v>10000</v>
          </cell>
        </row>
      </sheetData>
      <sheetData sheetId="15617">
        <row r="7">
          <cell r="AI7">
            <v>10000</v>
          </cell>
        </row>
      </sheetData>
      <sheetData sheetId="15618">
        <row r="7">
          <cell r="AI7">
            <v>10000</v>
          </cell>
        </row>
      </sheetData>
      <sheetData sheetId="15619">
        <row r="7">
          <cell r="AI7">
            <v>10000</v>
          </cell>
        </row>
      </sheetData>
      <sheetData sheetId="15620">
        <row r="7">
          <cell r="AI7">
            <v>10000</v>
          </cell>
        </row>
      </sheetData>
      <sheetData sheetId="15621">
        <row r="7">
          <cell r="AI7">
            <v>10000</v>
          </cell>
        </row>
      </sheetData>
      <sheetData sheetId="15622">
        <row r="7">
          <cell r="AI7">
            <v>10000</v>
          </cell>
        </row>
      </sheetData>
      <sheetData sheetId="15623">
        <row r="7">
          <cell r="AI7">
            <v>10000</v>
          </cell>
        </row>
      </sheetData>
      <sheetData sheetId="15624">
        <row r="7">
          <cell r="AI7">
            <v>10000</v>
          </cell>
        </row>
      </sheetData>
      <sheetData sheetId="15625">
        <row r="7">
          <cell r="AI7">
            <v>10000</v>
          </cell>
        </row>
      </sheetData>
      <sheetData sheetId="15626">
        <row r="7">
          <cell r="AI7">
            <v>10000</v>
          </cell>
        </row>
      </sheetData>
      <sheetData sheetId="15627">
        <row r="7">
          <cell r="AI7">
            <v>10000</v>
          </cell>
        </row>
      </sheetData>
      <sheetData sheetId="15628">
        <row r="7">
          <cell r="AI7">
            <v>10000</v>
          </cell>
        </row>
      </sheetData>
      <sheetData sheetId="15629">
        <row r="7">
          <cell r="AI7">
            <v>10000</v>
          </cell>
        </row>
      </sheetData>
      <sheetData sheetId="15630">
        <row r="7">
          <cell r="AI7">
            <v>10000</v>
          </cell>
        </row>
      </sheetData>
      <sheetData sheetId="15631">
        <row r="7">
          <cell r="AI7">
            <v>10000</v>
          </cell>
        </row>
      </sheetData>
      <sheetData sheetId="15632">
        <row r="7">
          <cell r="AI7">
            <v>10000</v>
          </cell>
        </row>
      </sheetData>
      <sheetData sheetId="15633">
        <row r="7">
          <cell r="AI7">
            <v>10000</v>
          </cell>
        </row>
      </sheetData>
      <sheetData sheetId="15634">
        <row r="7">
          <cell r="AI7">
            <v>10000</v>
          </cell>
        </row>
      </sheetData>
      <sheetData sheetId="15635">
        <row r="7">
          <cell r="AI7">
            <v>10000</v>
          </cell>
        </row>
      </sheetData>
      <sheetData sheetId="15636">
        <row r="7">
          <cell r="AI7">
            <v>10000</v>
          </cell>
        </row>
      </sheetData>
      <sheetData sheetId="15637">
        <row r="7">
          <cell r="AI7">
            <v>10000</v>
          </cell>
        </row>
      </sheetData>
      <sheetData sheetId="15638">
        <row r="7">
          <cell r="AI7">
            <v>10000</v>
          </cell>
        </row>
      </sheetData>
      <sheetData sheetId="15639">
        <row r="7">
          <cell r="AI7">
            <v>10000</v>
          </cell>
        </row>
      </sheetData>
      <sheetData sheetId="15640">
        <row r="7">
          <cell r="AI7">
            <v>10000</v>
          </cell>
        </row>
      </sheetData>
      <sheetData sheetId="15641">
        <row r="7">
          <cell r="AI7">
            <v>10000</v>
          </cell>
        </row>
      </sheetData>
      <sheetData sheetId="15642">
        <row r="7">
          <cell r="AI7">
            <v>10000</v>
          </cell>
        </row>
      </sheetData>
      <sheetData sheetId="15643">
        <row r="7">
          <cell r="AI7">
            <v>10000</v>
          </cell>
        </row>
      </sheetData>
      <sheetData sheetId="15644">
        <row r="7">
          <cell r="AI7">
            <v>10000</v>
          </cell>
        </row>
      </sheetData>
      <sheetData sheetId="15645">
        <row r="7">
          <cell r="AI7">
            <v>10000</v>
          </cell>
        </row>
      </sheetData>
      <sheetData sheetId="15646">
        <row r="7">
          <cell r="AI7">
            <v>10000</v>
          </cell>
        </row>
      </sheetData>
      <sheetData sheetId="15647">
        <row r="7">
          <cell r="AI7">
            <v>10000</v>
          </cell>
        </row>
      </sheetData>
      <sheetData sheetId="15648">
        <row r="7">
          <cell r="AI7">
            <v>10000</v>
          </cell>
        </row>
      </sheetData>
      <sheetData sheetId="15649">
        <row r="7">
          <cell r="AI7">
            <v>10000</v>
          </cell>
        </row>
      </sheetData>
      <sheetData sheetId="15650">
        <row r="7">
          <cell r="AI7">
            <v>10000</v>
          </cell>
        </row>
      </sheetData>
      <sheetData sheetId="15651">
        <row r="7">
          <cell r="AI7">
            <v>10000</v>
          </cell>
        </row>
      </sheetData>
      <sheetData sheetId="15652">
        <row r="7">
          <cell r="AI7">
            <v>10000</v>
          </cell>
        </row>
      </sheetData>
      <sheetData sheetId="15653">
        <row r="7">
          <cell r="AI7">
            <v>10000</v>
          </cell>
        </row>
      </sheetData>
      <sheetData sheetId="15654">
        <row r="7">
          <cell r="AI7">
            <v>10000</v>
          </cell>
        </row>
      </sheetData>
      <sheetData sheetId="15655">
        <row r="7">
          <cell r="AI7">
            <v>10000</v>
          </cell>
        </row>
      </sheetData>
      <sheetData sheetId="15656">
        <row r="7">
          <cell r="AI7">
            <v>10000</v>
          </cell>
        </row>
      </sheetData>
      <sheetData sheetId="15657">
        <row r="7">
          <cell r="AI7">
            <v>10000</v>
          </cell>
        </row>
      </sheetData>
      <sheetData sheetId="15658">
        <row r="7">
          <cell r="AI7">
            <v>10000</v>
          </cell>
        </row>
      </sheetData>
      <sheetData sheetId="15659">
        <row r="7">
          <cell r="AI7">
            <v>10000</v>
          </cell>
        </row>
      </sheetData>
      <sheetData sheetId="15660">
        <row r="7">
          <cell r="AI7">
            <v>10000</v>
          </cell>
        </row>
      </sheetData>
      <sheetData sheetId="15661">
        <row r="7">
          <cell r="AI7">
            <v>10000</v>
          </cell>
        </row>
      </sheetData>
      <sheetData sheetId="15662">
        <row r="7">
          <cell r="AI7">
            <v>10000</v>
          </cell>
        </row>
      </sheetData>
      <sheetData sheetId="15663">
        <row r="7">
          <cell r="AI7">
            <v>10000</v>
          </cell>
        </row>
      </sheetData>
      <sheetData sheetId="15664">
        <row r="7">
          <cell r="AI7">
            <v>10000</v>
          </cell>
        </row>
      </sheetData>
      <sheetData sheetId="15665">
        <row r="7">
          <cell r="AI7">
            <v>10000</v>
          </cell>
        </row>
      </sheetData>
      <sheetData sheetId="15666">
        <row r="7">
          <cell r="AI7">
            <v>10000</v>
          </cell>
        </row>
      </sheetData>
      <sheetData sheetId="15667">
        <row r="7">
          <cell r="AI7">
            <v>10000</v>
          </cell>
        </row>
      </sheetData>
      <sheetData sheetId="15668">
        <row r="7">
          <cell r="AI7">
            <v>10000</v>
          </cell>
        </row>
      </sheetData>
      <sheetData sheetId="15669">
        <row r="7">
          <cell r="AI7">
            <v>10000</v>
          </cell>
        </row>
      </sheetData>
      <sheetData sheetId="15670">
        <row r="7">
          <cell r="AI7">
            <v>10000</v>
          </cell>
        </row>
      </sheetData>
      <sheetData sheetId="15671">
        <row r="7">
          <cell r="AI7">
            <v>10000</v>
          </cell>
        </row>
      </sheetData>
      <sheetData sheetId="15672">
        <row r="7">
          <cell r="AI7">
            <v>10000</v>
          </cell>
        </row>
      </sheetData>
      <sheetData sheetId="15673">
        <row r="7">
          <cell r="AI7">
            <v>10000</v>
          </cell>
        </row>
      </sheetData>
      <sheetData sheetId="15674">
        <row r="7">
          <cell r="AI7">
            <v>10000</v>
          </cell>
        </row>
      </sheetData>
      <sheetData sheetId="15675">
        <row r="7">
          <cell r="AI7">
            <v>10000</v>
          </cell>
        </row>
      </sheetData>
      <sheetData sheetId="15676">
        <row r="7">
          <cell r="AI7">
            <v>10000</v>
          </cell>
        </row>
      </sheetData>
      <sheetData sheetId="15677">
        <row r="7">
          <cell r="AI7">
            <v>10000</v>
          </cell>
        </row>
      </sheetData>
      <sheetData sheetId="15678">
        <row r="7">
          <cell r="AI7">
            <v>10000</v>
          </cell>
        </row>
      </sheetData>
      <sheetData sheetId="15679">
        <row r="7">
          <cell r="AI7">
            <v>10000</v>
          </cell>
        </row>
      </sheetData>
      <sheetData sheetId="15680">
        <row r="7">
          <cell r="AI7">
            <v>10000</v>
          </cell>
        </row>
      </sheetData>
      <sheetData sheetId="15681">
        <row r="7">
          <cell r="AI7">
            <v>10000</v>
          </cell>
        </row>
      </sheetData>
      <sheetData sheetId="15682">
        <row r="7">
          <cell r="AI7">
            <v>10000</v>
          </cell>
        </row>
      </sheetData>
      <sheetData sheetId="15683">
        <row r="7">
          <cell r="AI7">
            <v>10000</v>
          </cell>
        </row>
      </sheetData>
      <sheetData sheetId="15684">
        <row r="7">
          <cell r="AI7">
            <v>10000</v>
          </cell>
        </row>
      </sheetData>
      <sheetData sheetId="15685">
        <row r="7">
          <cell r="AI7">
            <v>10000</v>
          </cell>
        </row>
      </sheetData>
      <sheetData sheetId="15686">
        <row r="7">
          <cell r="AI7">
            <v>10000</v>
          </cell>
        </row>
      </sheetData>
      <sheetData sheetId="15687">
        <row r="7">
          <cell r="AI7">
            <v>10000</v>
          </cell>
        </row>
      </sheetData>
      <sheetData sheetId="15688">
        <row r="7">
          <cell r="AI7">
            <v>10000</v>
          </cell>
        </row>
      </sheetData>
      <sheetData sheetId="15689">
        <row r="7">
          <cell r="AI7">
            <v>10000</v>
          </cell>
        </row>
      </sheetData>
      <sheetData sheetId="15690">
        <row r="7">
          <cell r="AI7">
            <v>10000</v>
          </cell>
        </row>
      </sheetData>
      <sheetData sheetId="15691">
        <row r="7">
          <cell r="AI7">
            <v>10000</v>
          </cell>
        </row>
      </sheetData>
      <sheetData sheetId="15692">
        <row r="7">
          <cell r="AI7">
            <v>10000</v>
          </cell>
        </row>
      </sheetData>
      <sheetData sheetId="15693">
        <row r="7">
          <cell r="AI7">
            <v>10000</v>
          </cell>
        </row>
      </sheetData>
      <sheetData sheetId="15694">
        <row r="7">
          <cell r="AI7">
            <v>10000</v>
          </cell>
        </row>
      </sheetData>
      <sheetData sheetId="15695">
        <row r="7">
          <cell r="AI7">
            <v>10000</v>
          </cell>
        </row>
      </sheetData>
      <sheetData sheetId="15696">
        <row r="7">
          <cell r="AI7">
            <v>10000</v>
          </cell>
        </row>
      </sheetData>
      <sheetData sheetId="15697">
        <row r="7">
          <cell r="AI7">
            <v>10000</v>
          </cell>
        </row>
      </sheetData>
      <sheetData sheetId="15698">
        <row r="7">
          <cell r="AI7">
            <v>10000</v>
          </cell>
        </row>
      </sheetData>
      <sheetData sheetId="15699">
        <row r="7">
          <cell r="AI7">
            <v>10000</v>
          </cell>
        </row>
      </sheetData>
      <sheetData sheetId="15700">
        <row r="7">
          <cell r="AI7">
            <v>10000</v>
          </cell>
        </row>
      </sheetData>
      <sheetData sheetId="15701">
        <row r="7">
          <cell r="AI7">
            <v>10000</v>
          </cell>
        </row>
      </sheetData>
      <sheetData sheetId="15702">
        <row r="7">
          <cell r="AI7">
            <v>10000</v>
          </cell>
        </row>
      </sheetData>
      <sheetData sheetId="15703">
        <row r="7">
          <cell r="AI7">
            <v>10000</v>
          </cell>
        </row>
      </sheetData>
      <sheetData sheetId="15704">
        <row r="7">
          <cell r="AI7">
            <v>10000</v>
          </cell>
        </row>
      </sheetData>
      <sheetData sheetId="15705">
        <row r="7">
          <cell r="AI7">
            <v>10000</v>
          </cell>
        </row>
      </sheetData>
      <sheetData sheetId="15706">
        <row r="7">
          <cell r="AI7">
            <v>10000</v>
          </cell>
        </row>
      </sheetData>
      <sheetData sheetId="15707">
        <row r="7">
          <cell r="AI7">
            <v>10000</v>
          </cell>
        </row>
      </sheetData>
      <sheetData sheetId="15708">
        <row r="7">
          <cell r="AI7">
            <v>10000</v>
          </cell>
        </row>
      </sheetData>
      <sheetData sheetId="15709">
        <row r="7">
          <cell r="AI7">
            <v>10000</v>
          </cell>
        </row>
      </sheetData>
      <sheetData sheetId="15710">
        <row r="7">
          <cell r="AI7">
            <v>10000</v>
          </cell>
        </row>
      </sheetData>
      <sheetData sheetId="15711">
        <row r="7">
          <cell r="AI7">
            <v>10000</v>
          </cell>
        </row>
      </sheetData>
      <sheetData sheetId="15712">
        <row r="7">
          <cell r="AI7">
            <v>10000</v>
          </cell>
        </row>
      </sheetData>
      <sheetData sheetId="15713">
        <row r="7">
          <cell r="AI7">
            <v>10000</v>
          </cell>
        </row>
      </sheetData>
      <sheetData sheetId="15714">
        <row r="7">
          <cell r="AI7">
            <v>10000</v>
          </cell>
        </row>
      </sheetData>
      <sheetData sheetId="15715">
        <row r="7">
          <cell r="AI7">
            <v>10000</v>
          </cell>
        </row>
      </sheetData>
      <sheetData sheetId="15716">
        <row r="7">
          <cell r="AI7">
            <v>10000</v>
          </cell>
        </row>
      </sheetData>
      <sheetData sheetId="15717">
        <row r="7">
          <cell r="AI7">
            <v>10000</v>
          </cell>
        </row>
      </sheetData>
      <sheetData sheetId="15718">
        <row r="7">
          <cell r="AI7">
            <v>10000</v>
          </cell>
        </row>
      </sheetData>
      <sheetData sheetId="15719">
        <row r="7">
          <cell r="AI7">
            <v>10000</v>
          </cell>
        </row>
      </sheetData>
      <sheetData sheetId="15720">
        <row r="7">
          <cell r="AI7">
            <v>10000</v>
          </cell>
        </row>
      </sheetData>
      <sheetData sheetId="15721">
        <row r="7">
          <cell r="AI7">
            <v>10000</v>
          </cell>
        </row>
      </sheetData>
      <sheetData sheetId="15722">
        <row r="7">
          <cell r="AI7">
            <v>10000</v>
          </cell>
        </row>
      </sheetData>
      <sheetData sheetId="15723">
        <row r="7">
          <cell r="AI7">
            <v>10000</v>
          </cell>
        </row>
      </sheetData>
      <sheetData sheetId="15724">
        <row r="7">
          <cell r="AI7">
            <v>10000</v>
          </cell>
        </row>
      </sheetData>
      <sheetData sheetId="15725">
        <row r="7">
          <cell r="AI7">
            <v>10000</v>
          </cell>
        </row>
      </sheetData>
      <sheetData sheetId="15726">
        <row r="7">
          <cell r="AI7">
            <v>10000</v>
          </cell>
        </row>
      </sheetData>
      <sheetData sheetId="15727">
        <row r="7">
          <cell r="AI7">
            <v>10000</v>
          </cell>
        </row>
      </sheetData>
      <sheetData sheetId="15728">
        <row r="7">
          <cell r="AI7">
            <v>10000</v>
          </cell>
        </row>
      </sheetData>
      <sheetData sheetId="15729">
        <row r="7">
          <cell r="AI7">
            <v>10000</v>
          </cell>
        </row>
      </sheetData>
      <sheetData sheetId="15730">
        <row r="7">
          <cell r="AI7">
            <v>10000</v>
          </cell>
        </row>
      </sheetData>
      <sheetData sheetId="15731">
        <row r="7">
          <cell r="AI7">
            <v>10000</v>
          </cell>
        </row>
      </sheetData>
      <sheetData sheetId="15732">
        <row r="7">
          <cell r="AI7">
            <v>10000</v>
          </cell>
        </row>
      </sheetData>
      <sheetData sheetId="15733">
        <row r="7">
          <cell r="AI7">
            <v>10000</v>
          </cell>
        </row>
      </sheetData>
      <sheetData sheetId="15734">
        <row r="7">
          <cell r="AI7">
            <v>10000</v>
          </cell>
        </row>
      </sheetData>
      <sheetData sheetId="15735">
        <row r="7">
          <cell r="AI7">
            <v>10000</v>
          </cell>
        </row>
      </sheetData>
      <sheetData sheetId="15736">
        <row r="7">
          <cell r="AI7">
            <v>10000</v>
          </cell>
        </row>
      </sheetData>
      <sheetData sheetId="15737">
        <row r="7">
          <cell r="AI7">
            <v>10000</v>
          </cell>
        </row>
      </sheetData>
      <sheetData sheetId="15738">
        <row r="7">
          <cell r="AI7">
            <v>10000</v>
          </cell>
        </row>
      </sheetData>
      <sheetData sheetId="15739">
        <row r="7">
          <cell r="AI7">
            <v>10000</v>
          </cell>
        </row>
      </sheetData>
      <sheetData sheetId="15740">
        <row r="7">
          <cell r="AI7">
            <v>10000</v>
          </cell>
        </row>
      </sheetData>
      <sheetData sheetId="15741">
        <row r="7">
          <cell r="AI7">
            <v>10000</v>
          </cell>
        </row>
      </sheetData>
      <sheetData sheetId="15742">
        <row r="7">
          <cell r="AI7">
            <v>10000</v>
          </cell>
        </row>
      </sheetData>
      <sheetData sheetId="15743">
        <row r="7">
          <cell r="AI7">
            <v>10000</v>
          </cell>
        </row>
      </sheetData>
      <sheetData sheetId="15744">
        <row r="7">
          <cell r="AI7">
            <v>10000</v>
          </cell>
        </row>
      </sheetData>
      <sheetData sheetId="15745">
        <row r="7">
          <cell r="AI7">
            <v>10000</v>
          </cell>
        </row>
      </sheetData>
      <sheetData sheetId="15746">
        <row r="7">
          <cell r="AI7">
            <v>10000</v>
          </cell>
        </row>
      </sheetData>
      <sheetData sheetId="15747">
        <row r="7">
          <cell r="AI7">
            <v>10000</v>
          </cell>
        </row>
      </sheetData>
      <sheetData sheetId="15748">
        <row r="7">
          <cell r="AI7">
            <v>10000</v>
          </cell>
        </row>
      </sheetData>
      <sheetData sheetId="15749">
        <row r="7">
          <cell r="AI7">
            <v>10000</v>
          </cell>
        </row>
      </sheetData>
      <sheetData sheetId="15750">
        <row r="7">
          <cell r="AI7">
            <v>10000</v>
          </cell>
        </row>
      </sheetData>
      <sheetData sheetId="15751">
        <row r="7">
          <cell r="AI7">
            <v>10000</v>
          </cell>
        </row>
      </sheetData>
      <sheetData sheetId="15752">
        <row r="7">
          <cell r="AI7">
            <v>10000</v>
          </cell>
        </row>
      </sheetData>
      <sheetData sheetId="15753">
        <row r="7">
          <cell r="AI7">
            <v>10000</v>
          </cell>
        </row>
      </sheetData>
      <sheetData sheetId="15754">
        <row r="7">
          <cell r="AI7">
            <v>10000</v>
          </cell>
        </row>
      </sheetData>
      <sheetData sheetId="15755">
        <row r="7">
          <cell r="AI7">
            <v>10000</v>
          </cell>
        </row>
      </sheetData>
      <sheetData sheetId="15756">
        <row r="7">
          <cell r="AI7">
            <v>10000</v>
          </cell>
        </row>
      </sheetData>
      <sheetData sheetId="15757">
        <row r="7">
          <cell r="AI7">
            <v>10000</v>
          </cell>
        </row>
      </sheetData>
      <sheetData sheetId="15758">
        <row r="7">
          <cell r="AI7">
            <v>10000</v>
          </cell>
        </row>
      </sheetData>
      <sheetData sheetId="15759">
        <row r="7">
          <cell r="AI7">
            <v>10000</v>
          </cell>
        </row>
      </sheetData>
      <sheetData sheetId="15760">
        <row r="7">
          <cell r="AI7">
            <v>10000</v>
          </cell>
        </row>
      </sheetData>
      <sheetData sheetId="15761">
        <row r="7">
          <cell r="AI7">
            <v>10000</v>
          </cell>
        </row>
      </sheetData>
      <sheetData sheetId="15762">
        <row r="7">
          <cell r="AI7">
            <v>10000</v>
          </cell>
        </row>
      </sheetData>
      <sheetData sheetId="15763">
        <row r="7">
          <cell r="AI7">
            <v>10000</v>
          </cell>
        </row>
      </sheetData>
      <sheetData sheetId="15764">
        <row r="7">
          <cell r="AI7">
            <v>10000</v>
          </cell>
        </row>
      </sheetData>
      <sheetData sheetId="15765">
        <row r="7">
          <cell r="AI7">
            <v>10000</v>
          </cell>
        </row>
      </sheetData>
      <sheetData sheetId="15766">
        <row r="7">
          <cell r="AI7">
            <v>10000</v>
          </cell>
        </row>
      </sheetData>
      <sheetData sheetId="15767">
        <row r="7">
          <cell r="AI7">
            <v>10000</v>
          </cell>
        </row>
      </sheetData>
      <sheetData sheetId="15768">
        <row r="7">
          <cell r="AI7">
            <v>10000</v>
          </cell>
        </row>
      </sheetData>
      <sheetData sheetId="15769">
        <row r="7">
          <cell r="AI7">
            <v>10000</v>
          </cell>
        </row>
      </sheetData>
      <sheetData sheetId="15770">
        <row r="7">
          <cell r="AI7">
            <v>10000</v>
          </cell>
        </row>
      </sheetData>
      <sheetData sheetId="15771">
        <row r="7">
          <cell r="AI7">
            <v>10000</v>
          </cell>
        </row>
      </sheetData>
      <sheetData sheetId="15772">
        <row r="7">
          <cell r="AI7">
            <v>10000</v>
          </cell>
        </row>
      </sheetData>
      <sheetData sheetId="15773">
        <row r="7">
          <cell r="AI7">
            <v>10000</v>
          </cell>
        </row>
      </sheetData>
      <sheetData sheetId="15774">
        <row r="7">
          <cell r="AI7">
            <v>10000</v>
          </cell>
        </row>
      </sheetData>
      <sheetData sheetId="15775">
        <row r="7">
          <cell r="AI7">
            <v>10000</v>
          </cell>
        </row>
      </sheetData>
      <sheetData sheetId="15776">
        <row r="7">
          <cell r="AI7">
            <v>10000</v>
          </cell>
        </row>
      </sheetData>
      <sheetData sheetId="15777">
        <row r="7">
          <cell r="AI7">
            <v>10000</v>
          </cell>
        </row>
      </sheetData>
      <sheetData sheetId="15778">
        <row r="7">
          <cell r="AI7">
            <v>10000</v>
          </cell>
        </row>
      </sheetData>
      <sheetData sheetId="15779">
        <row r="7">
          <cell r="AI7">
            <v>10000</v>
          </cell>
        </row>
      </sheetData>
      <sheetData sheetId="15780">
        <row r="7">
          <cell r="AI7">
            <v>10000</v>
          </cell>
        </row>
      </sheetData>
      <sheetData sheetId="15781">
        <row r="7">
          <cell r="AI7">
            <v>10000</v>
          </cell>
        </row>
      </sheetData>
      <sheetData sheetId="15782">
        <row r="7">
          <cell r="AI7">
            <v>10000</v>
          </cell>
        </row>
      </sheetData>
      <sheetData sheetId="15783">
        <row r="7">
          <cell r="AI7">
            <v>10000</v>
          </cell>
        </row>
      </sheetData>
      <sheetData sheetId="15784">
        <row r="7">
          <cell r="AI7">
            <v>10000</v>
          </cell>
        </row>
      </sheetData>
      <sheetData sheetId="15785">
        <row r="7">
          <cell r="AI7">
            <v>10000</v>
          </cell>
        </row>
      </sheetData>
      <sheetData sheetId="15786">
        <row r="7">
          <cell r="AI7">
            <v>10000</v>
          </cell>
        </row>
      </sheetData>
      <sheetData sheetId="15787">
        <row r="7">
          <cell r="AI7">
            <v>10000</v>
          </cell>
        </row>
      </sheetData>
      <sheetData sheetId="15788">
        <row r="7">
          <cell r="AI7">
            <v>10000</v>
          </cell>
        </row>
      </sheetData>
      <sheetData sheetId="15789">
        <row r="7">
          <cell r="AI7">
            <v>10000</v>
          </cell>
        </row>
      </sheetData>
      <sheetData sheetId="15790">
        <row r="7">
          <cell r="AI7">
            <v>10000</v>
          </cell>
        </row>
      </sheetData>
      <sheetData sheetId="15791">
        <row r="7">
          <cell r="AI7">
            <v>10000</v>
          </cell>
        </row>
      </sheetData>
      <sheetData sheetId="15792">
        <row r="7">
          <cell r="AI7">
            <v>10000</v>
          </cell>
        </row>
      </sheetData>
      <sheetData sheetId="15793">
        <row r="7">
          <cell r="AI7">
            <v>10000</v>
          </cell>
        </row>
      </sheetData>
      <sheetData sheetId="15794">
        <row r="7">
          <cell r="AI7">
            <v>10000</v>
          </cell>
        </row>
      </sheetData>
      <sheetData sheetId="15795">
        <row r="7">
          <cell r="AI7">
            <v>10000</v>
          </cell>
        </row>
      </sheetData>
      <sheetData sheetId="15796">
        <row r="7">
          <cell r="AI7">
            <v>10000</v>
          </cell>
        </row>
      </sheetData>
      <sheetData sheetId="15797">
        <row r="7">
          <cell r="AI7">
            <v>10000</v>
          </cell>
        </row>
      </sheetData>
      <sheetData sheetId="15798">
        <row r="7">
          <cell r="AI7">
            <v>10000</v>
          </cell>
        </row>
      </sheetData>
      <sheetData sheetId="15799">
        <row r="7">
          <cell r="AI7">
            <v>10000</v>
          </cell>
        </row>
      </sheetData>
      <sheetData sheetId="15800">
        <row r="7">
          <cell r="AI7">
            <v>10000</v>
          </cell>
        </row>
      </sheetData>
      <sheetData sheetId="15801">
        <row r="7">
          <cell r="AI7">
            <v>10000</v>
          </cell>
        </row>
      </sheetData>
      <sheetData sheetId="15802">
        <row r="7">
          <cell r="AI7">
            <v>10000</v>
          </cell>
        </row>
      </sheetData>
      <sheetData sheetId="15803">
        <row r="7">
          <cell r="AI7">
            <v>10000</v>
          </cell>
        </row>
      </sheetData>
      <sheetData sheetId="15804">
        <row r="7">
          <cell r="AI7">
            <v>10000</v>
          </cell>
        </row>
      </sheetData>
      <sheetData sheetId="15805">
        <row r="7">
          <cell r="AI7">
            <v>10000</v>
          </cell>
        </row>
      </sheetData>
      <sheetData sheetId="15806">
        <row r="7">
          <cell r="AI7">
            <v>10000</v>
          </cell>
        </row>
      </sheetData>
      <sheetData sheetId="15807">
        <row r="7">
          <cell r="AI7">
            <v>10000</v>
          </cell>
        </row>
      </sheetData>
      <sheetData sheetId="15808">
        <row r="7">
          <cell r="AI7">
            <v>10000</v>
          </cell>
        </row>
      </sheetData>
      <sheetData sheetId="15809">
        <row r="7">
          <cell r="AI7">
            <v>10000</v>
          </cell>
        </row>
      </sheetData>
      <sheetData sheetId="15810">
        <row r="7">
          <cell r="AI7">
            <v>10000</v>
          </cell>
        </row>
      </sheetData>
      <sheetData sheetId="15811">
        <row r="7">
          <cell r="AI7">
            <v>10000</v>
          </cell>
        </row>
      </sheetData>
      <sheetData sheetId="15812">
        <row r="7">
          <cell r="AI7">
            <v>10000</v>
          </cell>
        </row>
      </sheetData>
      <sheetData sheetId="15813">
        <row r="7">
          <cell r="AI7">
            <v>10000</v>
          </cell>
        </row>
      </sheetData>
      <sheetData sheetId="15814">
        <row r="7">
          <cell r="AI7">
            <v>10000</v>
          </cell>
        </row>
      </sheetData>
      <sheetData sheetId="15815">
        <row r="7">
          <cell r="AI7">
            <v>10000</v>
          </cell>
        </row>
      </sheetData>
      <sheetData sheetId="15816">
        <row r="7">
          <cell r="AI7">
            <v>10000</v>
          </cell>
        </row>
      </sheetData>
      <sheetData sheetId="15817">
        <row r="7">
          <cell r="AI7">
            <v>10000</v>
          </cell>
        </row>
      </sheetData>
      <sheetData sheetId="15818">
        <row r="7">
          <cell r="AI7">
            <v>10000</v>
          </cell>
        </row>
      </sheetData>
      <sheetData sheetId="15819">
        <row r="7">
          <cell r="AI7">
            <v>10000</v>
          </cell>
        </row>
      </sheetData>
      <sheetData sheetId="15820">
        <row r="7">
          <cell r="AI7">
            <v>10000</v>
          </cell>
        </row>
      </sheetData>
      <sheetData sheetId="15821">
        <row r="7">
          <cell r="AI7">
            <v>10000</v>
          </cell>
        </row>
      </sheetData>
      <sheetData sheetId="15822">
        <row r="7">
          <cell r="AI7">
            <v>10000</v>
          </cell>
        </row>
      </sheetData>
      <sheetData sheetId="15823">
        <row r="7">
          <cell r="AI7">
            <v>10000</v>
          </cell>
        </row>
      </sheetData>
      <sheetData sheetId="15824">
        <row r="7">
          <cell r="AI7">
            <v>10000</v>
          </cell>
        </row>
      </sheetData>
      <sheetData sheetId="15825">
        <row r="7">
          <cell r="AI7">
            <v>10000</v>
          </cell>
        </row>
      </sheetData>
      <sheetData sheetId="15826">
        <row r="7">
          <cell r="AI7">
            <v>10000</v>
          </cell>
        </row>
      </sheetData>
      <sheetData sheetId="15827">
        <row r="7">
          <cell r="AI7">
            <v>10000</v>
          </cell>
        </row>
      </sheetData>
      <sheetData sheetId="15828">
        <row r="7">
          <cell r="AI7">
            <v>10000</v>
          </cell>
        </row>
      </sheetData>
      <sheetData sheetId="15829">
        <row r="7">
          <cell r="AI7">
            <v>10000</v>
          </cell>
        </row>
      </sheetData>
      <sheetData sheetId="15830">
        <row r="7">
          <cell r="AI7">
            <v>10000</v>
          </cell>
        </row>
      </sheetData>
      <sheetData sheetId="15831">
        <row r="7">
          <cell r="AI7">
            <v>10000</v>
          </cell>
        </row>
      </sheetData>
      <sheetData sheetId="15832">
        <row r="7">
          <cell r="AI7">
            <v>10000</v>
          </cell>
        </row>
      </sheetData>
      <sheetData sheetId="15833">
        <row r="7">
          <cell r="AI7">
            <v>10000</v>
          </cell>
        </row>
      </sheetData>
      <sheetData sheetId="15834">
        <row r="7">
          <cell r="AI7">
            <v>10000</v>
          </cell>
        </row>
      </sheetData>
      <sheetData sheetId="15835">
        <row r="7">
          <cell r="AI7">
            <v>10000</v>
          </cell>
        </row>
      </sheetData>
      <sheetData sheetId="15836">
        <row r="7">
          <cell r="AI7">
            <v>10000</v>
          </cell>
        </row>
      </sheetData>
      <sheetData sheetId="15837">
        <row r="7">
          <cell r="AI7">
            <v>10000</v>
          </cell>
        </row>
      </sheetData>
      <sheetData sheetId="15838">
        <row r="7">
          <cell r="AI7">
            <v>10000</v>
          </cell>
        </row>
      </sheetData>
      <sheetData sheetId="15839">
        <row r="7">
          <cell r="AI7">
            <v>10000</v>
          </cell>
        </row>
      </sheetData>
      <sheetData sheetId="15840">
        <row r="7">
          <cell r="AI7">
            <v>10000</v>
          </cell>
        </row>
      </sheetData>
      <sheetData sheetId="15841">
        <row r="7">
          <cell r="AI7">
            <v>10000</v>
          </cell>
        </row>
      </sheetData>
      <sheetData sheetId="15842">
        <row r="7">
          <cell r="AI7">
            <v>10000</v>
          </cell>
        </row>
      </sheetData>
      <sheetData sheetId="15843">
        <row r="7">
          <cell r="AI7">
            <v>10000</v>
          </cell>
        </row>
      </sheetData>
      <sheetData sheetId="15844">
        <row r="7">
          <cell r="AI7">
            <v>10000</v>
          </cell>
        </row>
      </sheetData>
      <sheetData sheetId="15845">
        <row r="7">
          <cell r="AI7">
            <v>10000</v>
          </cell>
        </row>
      </sheetData>
      <sheetData sheetId="15846">
        <row r="7">
          <cell r="AI7">
            <v>10000</v>
          </cell>
        </row>
      </sheetData>
      <sheetData sheetId="15847">
        <row r="7">
          <cell r="AI7">
            <v>10000</v>
          </cell>
        </row>
      </sheetData>
      <sheetData sheetId="15848">
        <row r="7">
          <cell r="AI7">
            <v>10000</v>
          </cell>
        </row>
      </sheetData>
      <sheetData sheetId="15849">
        <row r="7">
          <cell r="AI7">
            <v>10000</v>
          </cell>
        </row>
      </sheetData>
      <sheetData sheetId="15850">
        <row r="7">
          <cell r="AI7">
            <v>10000</v>
          </cell>
        </row>
      </sheetData>
      <sheetData sheetId="15851">
        <row r="7">
          <cell r="AI7">
            <v>10000</v>
          </cell>
        </row>
      </sheetData>
      <sheetData sheetId="15852">
        <row r="7">
          <cell r="AI7">
            <v>10000</v>
          </cell>
        </row>
      </sheetData>
      <sheetData sheetId="15853">
        <row r="7">
          <cell r="AI7">
            <v>10000</v>
          </cell>
        </row>
      </sheetData>
      <sheetData sheetId="15854">
        <row r="7">
          <cell r="AI7">
            <v>10000</v>
          </cell>
        </row>
      </sheetData>
      <sheetData sheetId="15855">
        <row r="7">
          <cell r="AI7">
            <v>10000</v>
          </cell>
        </row>
      </sheetData>
      <sheetData sheetId="15856">
        <row r="7">
          <cell r="AI7">
            <v>10000</v>
          </cell>
        </row>
      </sheetData>
      <sheetData sheetId="15857">
        <row r="7">
          <cell r="AI7">
            <v>10000</v>
          </cell>
        </row>
      </sheetData>
      <sheetData sheetId="15858">
        <row r="7">
          <cell r="AI7">
            <v>10000</v>
          </cell>
        </row>
      </sheetData>
      <sheetData sheetId="15859">
        <row r="7">
          <cell r="AI7">
            <v>10000</v>
          </cell>
        </row>
      </sheetData>
      <sheetData sheetId="15860">
        <row r="7">
          <cell r="AI7">
            <v>10000</v>
          </cell>
        </row>
      </sheetData>
      <sheetData sheetId="15861">
        <row r="7">
          <cell r="AI7">
            <v>10000</v>
          </cell>
        </row>
      </sheetData>
      <sheetData sheetId="15862">
        <row r="7">
          <cell r="AI7">
            <v>10000</v>
          </cell>
        </row>
      </sheetData>
      <sheetData sheetId="15863">
        <row r="7">
          <cell r="AI7">
            <v>10000</v>
          </cell>
        </row>
      </sheetData>
      <sheetData sheetId="15864">
        <row r="7">
          <cell r="AI7">
            <v>10000</v>
          </cell>
        </row>
      </sheetData>
      <sheetData sheetId="15865">
        <row r="7">
          <cell r="AI7">
            <v>10000</v>
          </cell>
        </row>
      </sheetData>
      <sheetData sheetId="15866">
        <row r="7">
          <cell r="AI7">
            <v>10000</v>
          </cell>
        </row>
      </sheetData>
      <sheetData sheetId="15867">
        <row r="7">
          <cell r="AI7">
            <v>10000</v>
          </cell>
        </row>
      </sheetData>
      <sheetData sheetId="15868">
        <row r="7">
          <cell r="AI7">
            <v>10000</v>
          </cell>
        </row>
      </sheetData>
      <sheetData sheetId="15869">
        <row r="7">
          <cell r="AI7">
            <v>10000</v>
          </cell>
        </row>
      </sheetData>
      <sheetData sheetId="15870">
        <row r="7">
          <cell r="AI7">
            <v>10000</v>
          </cell>
        </row>
      </sheetData>
      <sheetData sheetId="15871">
        <row r="7">
          <cell r="AI7">
            <v>10000</v>
          </cell>
        </row>
      </sheetData>
      <sheetData sheetId="15872">
        <row r="7">
          <cell r="AI7">
            <v>10000</v>
          </cell>
        </row>
      </sheetData>
      <sheetData sheetId="15873">
        <row r="7">
          <cell r="AI7">
            <v>10000</v>
          </cell>
        </row>
      </sheetData>
      <sheetData sheetId="15874">
        <row r="7">
          <cell r="AI7">
            <v>10000</v>
          </cell>
        </row>
      </sheetData>
      <sheetData sheetId="15875">
        <row r="7">
          <cell r="AI7">
            <v>10000</v>
          </cell>
        </row>
      </sheetData>
      <sheetData sheetId="15876">
        <row r="7">
          <cell r="AI7">
            <v>10000</v>
          </cell>
        </row>
      </sheetData>
      <sheetData sheetId="15877">
        <row r="7">
          <cell r="AI7">
            <v>10000</v>
          </cell>
        </row>
      </sheetData>
      <sheetData sheetId="15878">
        <row r="7">
          <cell r="AI7">
            <v>10000</v>
          </cell>
        </row>
      </sheetData>
      <sheetData sheetId="15879">
        <row r="7">
          <cell r="AI7">
            <v>10000</v>
          </cell>
        </row>
      </sheetData>
      <sheetData sheetId="15880">
        <row r="7">
          <cell r="AI7">
            <v>10000</v>
          </cell>
        </row>
      </sheetData>
      <sheetData sheetId="15881">
        <row r="7">
          <cell r="AI7">
            <v>10000</v>
          </cell>
        </row>
      </sheetData>
      <sheetData sheetId="15882">
        <row r="7">
          <cell r="AI7">
            <v>10000</v>
          </cell>
        </row>
      </sheetData>
      <sheetData sheetId="15883">
        <row r="7">
          <cell r="AI7">
            <v>10000</v>
          </cell>
        </row>
      </sheetData>
      <sheetData sheetId="15884">
        <row r="7">
          <cell r="AI7">
            <v>10000</v>
          </cell>
        </row>
      </sheetData>
      <sheetData sheetId="15885">
        <row r="7">
          <cell r="AI7">
            <v>10000</v>
          </cell>
        </row>
      </sheetData>
      <sheetData sheetId="15886">
        <row r="7">
          <cell r="AI7">
            <v>10000</v>
          </cell>
        </row>
      </sheetData>
      <sheetData sheetId="15887">
        <row r="7">
          <cell r="AI7">
            <v>10000</v>
          </cell>
        </row>
      </sheetData>
      <sheetData sheetId="15888">
        <row r="7">
          <cell r="AI7">
            <v>10000</v>
          </cell>
        </row>
      </sheetData>
      <sheetData sheetId="15889">
        <row r="7">
          <cell r="AI7">
            <v>10000</v>
          </cell>
        </row>
      </sheetData>
      <sheetData sheetId="15890">
        <row r="7">
          <cell r="AI7">
            <v>10000</v>
          </cell>
        </row>
      </sheetData>
      <sheetData sheetId="15891">
        <row r="7">
          <cell r="AI7">
            <v>10000</v>
          </cell>
        </row>
      </sheetData>
      <sheetData sheetId="15892">
        <row r="7">
          <cell r="AI7">
            <v>10000</v>
          </cell>
        </row>
      </sheetData>
      <sheetData sheetId="15893">
        <row r="7">
          <cell r="AI7">
            <v>10000</v>
          </cell>
        </row>
      </sheetData>
      <sheetData sheetId="15894">
        <row r="7">
          <cell r="AI7">
            <v>10000</v>
          </cell>
        </row>
      </sheetData>
      <sheetData sheetId="15895">
        <row r="7">
          <cell r="AI7">
            <v>10000</v>
          </cell>
        </row>
      </sheetData>
      <sheetData sheetId="15896">
        <row r="7">
          <cell r="AI7">
            <v>10000</v>
          </cell>
        </row>
      </sheetData>
      <sheetData sheetId="15897">
        <row r="7">
          <cell r="AI7">
            <v>10000</v>
          </cell>
        </row>
      </sheetData>
      <sheetData sheetId="15898">
        <row r="7">
          <cell r="AI7">
            <v>10000</v>
          </cell>
        </row>
      </sheetData>
      <sheetData sheetId="15899">
        <row r="7">
          <cell r="AI7">
            <v>10000</v>
          </cell>
        </row>
      </sheetData>
      <sheetData sheetId="15900">
        <row r="7">
          <cell r="AI7">
            <v>10000</v>
          </cell>
        </row>
      </sheetData>
      <sheetData sheetId="15901">
        <row r="7">
          <cell r="AI7">
            <v>10000</v>
          </cell>
        </row>
      </sheetData>
      <sheetData sheetId="15902">
        <row r="7">
          <cell r="AI7">
            <v>10000</v>
          </cell>
        </row>
      </sheetData>
      <sheetData sheetId="15903">
        <row r="7">
          <cell r="AI7">
            <v>10000</v>
          </cell>
        </row>
      </sheetData>
      <sheetData sheetId="15904">
        <row r="7">
          <cell r="AI7">
            <v>10000</v>
          </cell>
        </row>
      </sheetData>
      <sheetData sheetId="15905">
        <row r="7">
          <cell r="AI7">
            <v>10000</v>
          </cell>
        </row>
      </sheetData>
      <sheetData sheetId="15906">
        <row r="7">
          <cell r="AI7">
            <v>10000</v>
          </cell>
        </row>
      </sheetData>
      <sheetData sheetId="15907">
        <row r="7">
          <cell r="AI7">
            <v>10000</v>
          </cell>
        </row>
      </sheetData>
      <sheetData sheetId="15908">
        <row r="7">
          <cell r="AI7">
            <v>10000</v>
          </cell>
        </row>
      </sheetData>
      <sheetData sheetId="15909">
        <row r="7">
          <cell r="AI7">
            <v>10000</v>
          </cell>
        </row>
      </sheetData>
      <sheetData sheetId="15910">
        <row r="7">
          <cell r="AI7">
            <v>10000</v>
          </cell>
        </row>
      </sheetData>
      <sheetData sheetId="15911">
        <row r="7">
          <cell r="AI7">
            <v>10000</v>
          </cell>
        </row>
      </sheetData>
      <sheetData sheetId="15912">
        <row r="7">
          <cell r="AI7">
            <v>10000</v>
          </cell>
        </row>
      </sheetData>
      <sheetData sheetId="15913">
        <row r="7">
          <cell r="AI7">
            <v>10000</v>
          </cell>
        </row>
      </sheetData>
      <sheetData sheetId="15914">
        <row r="7">
          <cell r="AI7">
            <v>10000</v>
          </cell>
        </row>
      </sheetData>
      <sheetData sheetId="15915">
        <row r="7">
          <cell r="AI7">
            <v>10000</v>
          </cell>
        </row>
      </sheetData>
      <sheetData sheetId="15916">
        <row r="7">
          <cell r="AI7">
            <v>10000</v>
          </cell>
        </row>
      </sheetData>
      <sheetData sheetId="15917">
        <row r="7">
          <cell r="AI7">
            <v>10000</v>
          </cell>
        </row>
      </sheetData>
      <sheetData sheetId="15918">
        <row r="7">
          <cell r="AI7">
            <v>10000</v>
          </cell>
        </row>
      </sheetData>
      <sheetData sheetId="15919">
        <row r="7">
          <cell r="AI7">
            <v>10000</v>
          </cell>
        </row>
      </sheetData>
      <sheetData sheetId="15920">
        <row r="7">
          <cell r="AI7">
            <v>10000</v>
          </cell>
        </row>
      </sheetData>
      <sheetData sheetId="15921">
        <row r="7">
          <cell r="AI7">
            <v>10000</v>
          </cell>
        </row>
      </sheetData>
      <sheetData sheetId="15922">
        <row r="7">
          <cell r="AI7">
            <v>10000</v>
          </cell>
        </row>
      </sheetData>
      <sheetData sheetId="15923">
        <row r="7">
          <cell r="AI7">
            <v>10000</v>
          </cell>
        </row>
      </sheetData>
      <sheetData sheetId="15924">
        <row r="7">
          <cell r="AI7">
            <v>10000</v>
          </cell>
        </row>
      </sheetData>
      <sheetData sheetId="15925">
        <row r="7">
          <cell r="AI7">
            <v>10000</v>
          </cell>
        </row>
      </sheetData>
      <sheetData sheetId="15926">
        <row r="7">
          <cell r="AI7">
            <v>10000</v>
          </cell>
        </row>
      </sheetData>
      <sheetData sheetId="15927">
        <row r="7">
          <cell r="AI7">
            <v>10000</v>
          </cell>
        </row>
      </sheetData>
      <sheetData sheetId="15928">
        <row r="7">
          <cell r="AI7">
            <v>10000</v>
          </cell>
        </row>
      </sheetData>
      <sheetData sheetId="15929">
        <row r="7">
          <cell r="AI7">
            <v>10000</v>
          </cell>
        </row>
      </sheetData>
      <sheetData sheetId="15930">
        <row r="7">
          <cell r="AI7">
            <v>10000</v>
          </cell>
        </row>
      </sheetData>
      <sheetData sheetId="15931">
        <row r="7">
          <cell r="AI7">
            <v>10000</v>
          </cell>
        </row>
      </sheetData>
      <sheetData sheetId="15932">
        <row r="7">
          <cell r="AI7">
            <v>10000</v>
          </cell>
        </row>
      </sheetData>
      <sheetData sheetId="15933">
        <row r="7">
          <cell r="AI7">
            <v>10000</v>
          </cell>
        </row>
      </sheetData>
      <sheetData sheetId="15934">
        <row r="7">
          <cell r="AI7">
            <v>10000</v>
          </cell>
        </row>
      </sheetData>
      <sheetData sheetId="15935">
        <row r="7">
          <cell r="AI7">
            <v>10000</v>
          </cell>
        </row>
      </sheetData>
      <sheetData sheetId="15936">
        <row r="7">
          <cell r="AI7">
            <v>10000</v>
          </cell>
        </row>
      </sheetData>
      <sheetData sheetId="15937">
        <row r="7">
          <cell r="AI7">
            <v>10000</v>
          </cell>
        </row>
      </sheetData>
      <sheetData sheetId="15938">
        <row r="7">
          <cell r="AI7">
            <v>10000</v>
          </cell>
        </row>
      </sheetData>
      <sheetData sheetId="15939">
        <row r="7">
          <cell r="AI7">
            <v>10000</v>
          </cell>
        </row>
      </sheetData>
      <sheetData sheetId="15940">
        <row r="7">
          <cell r="AI7">
            <v>10000</v>
          </cell>
        </row>
      </sheetData>
      <sheetData sheetId="15941">
        <row r="7">
          <cell r="AI7">
            <v>10000</v>
          </cell>
        </row>
      </sheetData>
      <sheetData sheetId="15942">
        <row r="7">
          <cell r="AI7">
            <v>10000</v>
          </cell>
        </row>
      </sheetData>
      <sheetData sheetId="15943">
        <row r="7">
          <cell r="AI7">
            <v>10000</v>
          </cell>
        </row>
      </sheetData>
      <sheetData sheetId="15944">
        <row r="7">
          <cell r="AI7">
            <v>10000</v>
          </cell>
        </row>
      </sheetData>
      <sheetData sheetId="15945">
        <row r="7">
          <cell r="AI7">
            <v>10000</v>
          </cell>
        </row>
      </sheetData>
      <sheetData sheetId="15946">
        <row r="7">
          <cell r="AI7">
            <v>10000</v>
          </cell>
        </row>
      </sheetData>
      <sheetData sheetId="15947">
        <row r="7">
          <cell r="AI7">
            <v>10000</v>
          </cell>
        </row>
      </sheetData>
      <sheetData sheetId="15948">
        <row r="7">
          <cell r="AI7">
            <v>10000</v>
          </cell>
        </row>
      </sheetData>
      <sheetData sheetId="15949">
        <row r="7">
          <cell r="AI7">
            <v>10000</v>
          </cell>
        </row>
      </sheetData>
      <sheetData sheetId="15950">
        <row r="7">
          <cell r="AI7">
            <v>10000</v>
          </cell>
        </row>
      </sheetData>
      <sheetData sheetId="15951">
        <row r="7">
          <cell r="AI7">
            <v>10000</v>
          </cell>
        </row>
      </sheetData>
      <sheetData sheetId="15952">
        <row r="7">
          <cell r="AI7">
            <v>10000</v>
          </cell>
        </row>
      </sheetData>
      <sheetData sheetId="15953">
        <row r="7">
          <cell r="AI7">
            <v>10000</v>
          </cell>
        </row>
      </sheetData>
      <sheetData sheetId="15954">
        <row r="7">
          <cell r="AI7">
            <v>10000</v>
          </cell>
        </row>
      </sheetData>
      <sheetData sheetId="15955">
        <row r="7">
          <cell r="AI7">
            <v>10000</v>
          </cell>
        </row>
      </sheetData>
      <sheetData sheetId="15956">
        <row r="7">
          <cell r="AI7">
            <v>10000</v>
          </cell>
        </row>
      </sheetData>
      <sheetData sheetId="15957">
        <row r="7">
          <cell r="AI7">
            <v>10000</v>
          </cell>
        </row>
      </sheetData>
      <sheetData sheetId="15958">
        <row r="7">
          <cell r="AI7">
            <v>10000</v>
          </cell>
        </row>
      </sheetData>
      <sheetData sheetId="15959">
        <row r="7">
          <cell r="AI7">
            <v>10000</v>
          </cell>
        </row>
      </sheetData>
      <sheetData sheetId="15960">
        <row r="7">
          <cell r="AI7">
            <v>10000</v>
          </cell>
        </row>
      </sheetData>
      <sheetData sheetId="15961">
        <row r="7">
          <cell r="AI7">
            <v>10000</v>
          </cell>
        </row>
      </sheetData>
      <sheetData sheetId="15962">
        <row r="7">
          <cell r="AI7">
            <v>10000</v>
          </cell>
        </row>
      </sheetData>
      <sheetData sheetId="15963">
        <row r="7">
          <cell r="AI7">
            <v>10000</v>
          </cell>
        </row>
      </sheetData>
      <sheetData sheetId="15964">
        <row r="7">
          <cell r="AI7">
            <v>10000</v>
          </cell>
        </row>
      </sheetData>
      <sheetData sheetId="15965">
        <row r="7">
          <cell r="AI7">
            <v>10000</v>
          </cell>
        </row>
      </sheetData>
      <sheetData sheetId="15966">
        <row r="7">
          <cell r="AI7">
            <v>10000</v>
          </cell>
        </row>
      </sheetData>
      <sheetData sheetId="15967">
        <row r="7">
          <cell r="AI7">
            <v>10000</v>
          </cell>
        </row>
      </sheetData>
      <sheetData sheetId="15968">
        <row r="7">
          <cell r="AI7">
            <v>10000</v>
          </cell>
        </row>
      </sheetData>
      <sheetData sheetId="15969">
        <row r="7">
          <cell r="AI7">
            <v>10000</v>
          </cell>
        </row>
      </sheetData>
      <sheetData sheetId="15970">
        <row r="7">
          <cell r="AI7">
            <v>10000</v>
          </cell>
        </row>
      </sheetData>
      <sheetData sheetId="15971">
        <row r="7">
          <cell r="AI7">
            <v>10000</v>
          </cell>
        </row>
      </sheetData>
      <sheetData sheetId="15972">
        <row r="7">
          <cell r="AI7">
            <v>10000</v>
          </cell>
        </row>
      </sheetData>
      <sheetData sheetId="15973">
        <row r="7">
          <cell r="AI7">
            <v>10000</v>
          </cell>
        </row>
      </sheetData>
      <sheetData sheetId="15974">
        <row r="7">
          <cell r="AI7">
            <v>10000</v>
          </cell>
        </row>
      </sheetData>
      <sheetData sheetId="15975">
        <row r="7">
          <cell r="AI7">
            <v>10000</v>
          </cell>
        </row>
      </sheetData>
      <sheetData sheetId="15976">
        <row r="7">
          <cell r="AI7">
            <v>10000</v>
          </cell>
        </row>
      </sheetData>
      <sheetData sheetId="15977">
        <row r="7">
          <cell r="AI7">
            <v>10000</v>
          </cell>
        </row>
      </sheetData>
      <sheetData sheetId="15978">
        <row r="7">
          <cell r="AI7">
            <v>10000</v>
          </cell>
        </row>
      </sheetData>
      <sheetData sheetId="15979">
        <row r="7">
          <cell r="AI7">
            <v>10000</v>
          </cell>
        </row>
      </sheetData>
      <sheetData sheetId="15980">
        <row r="7">
          <cell r="AI7">
            <v>10000</v>
          </cell>
        </row>
      </sheetData>
      <sheetData sheetId="15981">
        <row r="7">
          <cell r="AI7">
            <v>10000</v>
          </cell>
        </row>
      </sheetData>
      <sheetData sheetId="15982">
        <row r="7">
          <cell r="AI7">
            <v>10000</v>
          </cell>
        </row>
      </sheetData>
      <sheetData sheetId="15983">
        <row r="7">
          <cell r="AI7">
            <v>10000</v>
          </cell>
        </row>
      </sheetData>
      <sheetData sheetId="15984">
        <row r="7">
          <cell r="AI7">
            <v>10000</v>
          </cell>
        </row>
      </sheetData>
      <sheetData sheetId="15985">
        <row r="7">
          <cell r="AI7">
            <v>10000</v>
          </cell>
        </row>
      </sheetData>
      <sheetData sheetId="15986">
        <row r="7">
          <cell r="AI7">
            <v>10000</v>
          </cell>
        </row>
      </sheetData>
      <sheetData sheetId="15987">
        <row r="7">
          <cell r="AI7">
            <v>10000</v>
          </cell>
        </row>
      </sheetData>
      <sheetData sheetId="15988">
        <row r="7">
          <cell r="AI7">
            <v>10000</v>
          </cell>
        </row>
      </sheetData>
      <sheetData sheetId="15989">
        <row r="7">
          <cell r="AI7">
            <v>10000</v>
          </cell>
        </row>
      </sheetData>
      <sheetData sheetId="15990">
        <row r="7">
          <cell r="AI7">
            <v>10000</v>
          </cell>
        </row>
      </sheetData>
      <sheetData sheetId="15991">
        <row r="7">
          <cell r="AI7">
            <v>10000</v>
          </cell>
        </row>
      </sheetData>
      <sheetData sheetId="15992">
        <row r="7">
          <cell r="AI7">
            <v>10000</v>
          </cell>
        </row>
      </sheetData>
      <sheetData sheetId="15993">
        <row r="7">
          <cell r="AI7">
            <v>10000</v>
          </cell>
        </row>
      </sheetData>
      <sheetData sheetId="15994">
        <row r="7">
          <cell r="AI7">
            <v>10000</v>
          </cell>
        </row>
      </sheetData>
      <sheetData sheetId="15995">
        <row r="7">
          <cell r="AI7">
            <v>10000</v>
          </cell>
        </row>
      </sheetData>
      <sheetData sheetId="15996">
        <row r="7">
          <cell r="AI7">
            <v>10000</v>
          </cell>
        </row>
      </sheetData>
      <sheetData sheetId="15997">
        <row r="7">
          <cell r="AI7">
            <v>10000</v>
          </cell>
        </row>
      </sheetData>
      <sheetData sheetId="15998">
        <row r="7">
          <cell r="AI7">
            <v>10000</v>
          </cell>
        </row>
      </sheetData>
      <sheetData sheetId="15999">
        <row r="7">
          <cell r="AI7">
            <v>10000</v>
          </cell>
        </row>
      </sheetData>
      <sheetData sheetId="16000">
        <row r="7">
          <cell r="AI7">
            <v>10000</v>
          </cell>
        </row>
      </sheetData>
      <sheetData sheetId="16001">
        <row r="7">
          <cell r="AI7">
            <v>10000</v>
          </cell>
        </row>
      </sheetData>
      <sheetData sheetId="16002">
        <row r="7">
          <cell r="AI7">
            <v>10000</v>
          </cell>
        </row>
      </sheetData>
      <sheetData sheetId="16003">
        <row r="7">
          <cell r="AI7">
            <v>10000</v>
          </cell>
        </row>
      </sheetData>
      <sheetData sheetId="16004">
        <row r="7">
          <cell r="AI7">
            <v>10000</v>
          </cell>
        </row>
      </sheetData>
      <sheetData sheetId="16005">
        <row r="7">
          <cell r="AI7">
            <v>10000</v>
          </cell>
        </row>
      </sheetData>
      <sheetData sheetId="16006">
        <row r="7">
          <cell r="AI7">
            <v>10000</v>
          </cell>
        </row>
      </sheetData>
      <sheetData sheetId="16007">
        <row r="7">
          <cell r="AI7">
            <v>10000</v>
          </cell>
        </row>
      </sheetData>
      <sheetData sheetId="16008">
        <row r="7">
          <cell r="AI7">
            <v>10000</v>
          </cell>
        </row>
      </sheetData>
      <sheetData sheetId="16009">
        <row r="7">
          <cell r="AI7">
            <v>10000</v>
          </cell>
        </row>
      </sheetData>
      <sheetData sheetId="16010">
        <row r="7">
          <cell r="AI7">
            <v>10000</v>
          </cell>
        </row>
      </sheetData>
      <sheetData sheetId="16011">
        <row r="7">
          <cell r="AI7">
            <v>10000</v>
          </cell>
        </row>
      </sheetData>
      <sheetData sheetId="16012">
        <row r="7">
          <cell r="AI7">
            <v>10000</v>
          </cell>
        </row>
      </sheetData>
      <sheetData sheetId="16013">
        <row r="7">
          <cell r="AI7">
            <v>10000</v>
          </cell>
        </row>
      </sheetData>
      <sheetData sheetId="16014">
        <row r="7">
          <cell r="AI7">
            <v>10000</v>
          </cell>
        </row>
      </sheetData>
      <sheetData sheetId="16015">
        <row r="7">
          <cell r="AI7">
            <v>10000</v>
          </cell>
        </row>
      </sheetData>
      <sheetData sheetId="16016">
        <row r="7">
          <cell r="AI7">
            <v>10000</v>
          </cell>
        </row>
      </sheetData>
      <sheetData sheetId="16017">
        <row r="7">
          <cell r="AI7">
            <v>10000</v>
          </cell>
        </row>
      </sheetData>
      <sheetData sheetId="16018">
        <row r="7">
          <cell r="AI7">
            <v>10000</v>
          </cell>
        </row>
      </sheetData>
      <sheetData sheetId="16019">
        <row r="7">
          <cell r="AI7">
            <v>10000</v>
          </cell>
        </row>
      </sheetData>
      <sheetData sheetId="16020">
        <row r="7">
          <cell r="AI7">
            <v>10000</v>
          </cell>
        </row>
      </sheetData>
      <sheetData sheetId="16021">
        <row r="7">
          <cell r="AI7">
            <v>10000</v>
          </cell>
        </row>
      </sheetData>
      <sheetData sheetId="16022">
        <row r="7">
          <cell r="AI7">
            <v>10000</v>
          </cell>
        </row>
      </sheetData>
      <sheetData sheetId="16023">
        <row r="7">
          <cell r="AI7">
            <v>10000</v>
          </cell>
        </row>
      </sheetData>
      <sheetData sheetId="16024">
        <row r="7">
          <cell r="AI7">
            <v>10000</v>
          </cell>
        </row>
      </sheetData>
      <sheetData sheetId="16025">
        <row r="7">
          <cell r="AI7">
            <v>10000</v>
          </cell>
        </row>
      </sheetData>
      <sheetData sheetId="16026">
        <row r="7">
          <cell r="AI7">
            <v>10000</v>
          </cell>
        </row>
      </sheetData>
      <sheetData sheetId="16027">
        <row r="7">
          <cell r="AI7">
            <v>10000</v>
          </cell>
        </row>
      </sheetData>
      <sheetData sheetId="16028">
        <row r="7">
          <cell r="AI7">
            <v>10000</v>
          </cell>
        </row>
      </sheetData>
      <sheetData sheetId="16029">
        <row r="7">
          <cell r="AI7">
            <v>10000</v>
          </cell>
        </row>
      </sheetData>
      <sheetData sheetId="16030">
        <row r="7">
          <cell r="AI7">
            <v>10000</v>
          </cell>
        </row>
      </sheetData>
      <sheetData sheetId="16031">
        <row r="7">
          <cell r="AI7">
            <v>10000</v>
          </cell>
        </row>
      </sheetData>
      <sheetData sheetId="16032">
        <row r="7">
          <cell r="AI7">
            <v>10000</v>
          </cell>
        </row>
      </sheetData>
      <sheetData sheetId="16033">
        <row r="7">
          <cell r="AI7">
            <v>10000</v>
          </cell>
        </row>
      </sheetData>
      <sheetData sheetId="16034">
        <row r="7">
          <cell r="AI7">
            <v>10000</v>
          </cell>
        </row>
      </sheetData>
      <sheetData sheetId="16035">
        <row r="7">
          <cell r="AI7">
            <v>10000</v>
          </cell>
        </row>
      </sheetData>
      <sheetData sheetId="16036">
        <row r="7">
          <cell r="AI7">
            <v>10000</v>
          </cell>
        </row>
      </sheetData>
      <sheetData sheetId="16037">
        <row r="7">
          <cell r="AI7">
            <v>10000</v>
          </cell>
        </row>
      </sheetData>
      <sheetData sheetId="16038">
        <row r="7">
          <cell r="AI7">
            <v>10000</v>
          </cell>
        </row>
      </sheetData>
      <sheetData sheetId="16039">
        <row r="7">
          <cell r="AI7">
            <v>10000</v>
          </cell>
        </row>
      </sheetData>
      <sheetData sheetId="16040">
        <row r="7">
          <cell r="AI7">
            <v>10000</v>
          </cell>
        </row>
      </sheetData>
      <sheetData sheetId="16041">
        <row r="7">
          <cell r="AI7">
            <v>10000</v>
          </cell>
        </row>
      </sheetData>
      <sheetData sheetId="16042">
        <row r="7">
          <cell r="AI7">
            <v>10000</v>
          </cell>
        </row>
      </sheetData>
      <sheetData sheetId="16043">
        <row r="7">
          <cell r="AI7">
            <v>10000</v>
          </cell>
        </row>
      </sheetData>
      <sheetData sheetId="16044">
        <row r="7">
          <cell r="AI7">
            <v>10000</v>
          </cell>
        </row>
      </sheetData>
      <sheetData sheetId="16045">
        <row r="7">
          <cell r="AI7">
            <v>10000</v>
          </cell>
        </row>
      </sheetData>
      <sheetData sheetId="16046">
        <row r="7">
          <cell r="AI7">
            <v>10000</v>
          </cell>
        </row>
      </sheetData>
      <sheetData sheetId="16047">
        <row r="7">
          <cell r="AI7">
            <v>10000</v>
          </cell>
        </row>
      </sheetData>
      <sheetData sheetId="16048">
        <row r="7">
          <cell r="AI7">
            <v>10000</v>
          </cell>
        </row>
      </sheetData>
      <sheetData sheetId="16049">
        <row r="7">
          <cell r="AI7">
            <v>10000</v>
          </cell>
        </row>
      </sheetData>
      <sheetData sheetId="16050">
        <row r="7">
          <cell r="AI7">
            <v>10000</v>
          </cell>
        </row>
      </sheetData>
      <sheetData sheetId="16051">
        <row r="7">
          <cell r="AI7">
            <v>10000</v>
          </cell>
        </row>
      </sheetData>
      <sheetData sheetId="16052">
        <row r="7">
          <cell r="AI7">
            <v>10000</v>
          </cell>
        </row>
      </sheetData>
      <sheetData sheetId="16053">
        <row r="7">
          <cell r="AI7">
            <v>10000</v>
          </cell>
        </row>
      </sheetData>
      <sheetData sheetId="16054">
        <row r="7">
          <cell r="AI7">
            <v>10000</v>
          </cell>
        </row>
      </sheetData>
      <sheetData sheetId="16055">
        <row r="7">
          <cell r="AI7">
            <v>10000</v>
          </cell>
        </row>
      </sheetData>
      <sheetData sheetId="16056">
        <row r="7">
          <cell r="AI7">
            <v>10000</v>
          </cell>
        </row>
      </sheetData>
      <sheetData sheetId="16057">
        <row r="7">
          <cell r="AI7">
            <v>10000</v>
          </cell>
        </row>
      </sheetData>
      <sheetData sheetId="16058">
        <row r="7">
          <cell r="AI7">
            <v>10000</v>
          </cell>
        </row>
      </sheetData>
      <sheetData sheetId="16059">
        <row r="7">
          <cell r="AI7">
            <v>10000</v>
          </cell>
        </row>
      </sheetData>
      <sheetData sheetId="16060">
        <row r="7">
          <cell r="AI7">
            <v>10000</v>
          </cell>
        </row>
      </sheetData>
      <sheetData sheetId="16061">
        <row r="7">
          <cell r="AI7">
            <v>10000</v>
          </cell>
        </row>
      </sheetData>
      <sheetData sheetId="16062">
        <row r="7">
          <cell r="AI7">
            <v>10000</v>
          </cell>
        </row>
      </sheetData>
      <sheetData sheetId="16063">
        <row r="7">
          <cell r="AI7">
            <v>10000</v>
          </cell>
        </row>
      </sheetData>
      <sheetData sheetId="16064">
        <row r="7">
          <cell r="AI7">
            <v>10000</v>
          </cell>
        </row>
      </sheetData>
      <sheetData sheetId="16065">
        <row r="7">
          <cell r="AI7">
            <v>10000</v>
          </cell>
        </row>
      </sheetData>
      <sheetData sheetId="16066">
        <row r="7">
          <cell r="AI7">
            <v>10000</v>
          </cell>
        </row>
      </sheetData>
      <sheetData sheetId="16067">
        <row r="7">
          <cell r="AI7">
            <v>10000</v>
          </cell>
        </row>
      </sheetData>
      <sheetData sheetId="16068">
        <row r="7">
          <cell r="AI7">
            <v>10000</v>
          </cell>
        </row>
      </sheetData>
      <sheetData sheetId="16069">
        <row r="7">
          <cell r="AI7">
            <v>10000</v>
          </cell>
        </row>
      </sheetData>
      <sheetData sheetId="16070">
        <row r="7">
          <cell r="AI7">
            <v>10000</v>
          </cell>
        </row>
      </sheetData>
      <sheetData sheetId="16071">
        <row r="7">
          <cell r="AI7">
            <v>10000</v>
          </cell>
        </row>
      </sheetData>
      <sheetData sheetId="16072">
        <row r="7">
          <cell r="AI7">
            <v>10000</v>
          </cell>
        </row>
      </sheetData>
      <sheetData sheetId="16073">
        <row r="7">
          <cell r="AI7">
            <v>10000</v>
          </cell>
        </row>
      </sheetData>
      <sheetData sheetId="16074">
        <row r="7">
          <cell r="AI7">
            <v>10000</v>
          </cell>
        </row>
      </sheetData>
      <sheetData sheetId="16075">
        <row r="7">
          <cell r="AI7">
            <v>10000</v>
          </cell>
        </row>
      </sheetData>
      <sheetData sheetId="16076">
        <row r="7">
          <cell r="AI7">
            <v>10000</v>
          </cell>
        </row>
      </sheetData>
      <sheetData sheetId="16077">
        <row r="7">
          <cell r="AI7">
            <v>10000</v>
          </cell>
        </row>
      </sheetData>
      <sheetData sheetId="16078">
        <row r="7">
          <cell r="AI7">
            <v>10000</v>
          </cell>
        </row>
      </sheetData>
      <sheetData sheetId="16079">
        <row r="7">
          <cell r="AI7">
            <v>10000</v>
          </cell>
        </row>
      </sheetData>
      <sheetData sheetId="16080">
        <row r="7">
          <cell r="AI7">
            <v>10000</v>
          </cell>
        </row>
      </sheetData>
      <sheetData sheetId="16081">
        <row r="7">
          <cell r="AI7">
            <v>10000</v>
          </cell>
        </row>
      </sheetData>
      <sheetData sheetId="16082">
        <row r="7">
          <cell r="AI7">
            <v>10000</v>
          </cell>
        </row>
      </sheetData>
      <sheetData sheetId="16083">
        <row r="7">
          <cell r="AI7">
            <v>10000</v>
          </cell>
        </row>
      </sheetData>
      <sheetData sheetId="16084">
        <row r="7">
          <cell r="AI7">
            <v>10000</v>
          </cell>
        </row>
      </sheetData>
      <sheetData sheetId="16085">
        <row r="7">
          <cell r="AI7">
            <v>10000</v>
          </cell>
        </row>
      </sheetData>
      <sheetData sheetId="16086">
        <row r="7">
          <cell r="AI7">
            <v>10000</v>
          </cell>
        </row>
      </sheetData>
      <sheetData sheetId="16087">
        <row r="7">
          <cell r="AI7">
            <v>10000</v>
          </cell>
        </row>
      </sheetData>
      <sheetData sheetId="16088">
        <row r="7">
          <cell r="AI7">
            <v>10000</v>
          </cell>
        </row>
      </sheetData>
      <sheetData sheetId="16089">
        <row r="7">
          <cell r="AI7">
            <v>10000</v>
          </cell>
        </row>
      </sheetData>
      <sheetData sheetId="16090">
        <row r="7">
          <cell r="AI7">
            <v>10000</v>
          </cell>
        </row>
      </sheetData>
      <sheetData sheetId="16091">
        <row r="7">
          <cell r="AI7">
            <v>10000</v>
          </cell>
        </row>
      </sheetData>
      <sheetData sheetId="16092">
        <row r="7">
          <cell r="AI7">
            <v>10000</v>
          </cell>
        </row>
      </sheetData>
      <sheetData sheetId="16093">
        <row r="7">
          <cell r="AI7">
            <v>10000</v>
          </cell>
        </row>
      </sheetData>
      <sheetData sheetId="16094">
        <row r="7">
          <cell r="AI7">
            <v>10000</v>
          </cell>
        </row>
      </sheetData>
      <sheetData sheetId="16095">
        <row r="7">
          <cell r="AI7">
            <v>10000</v>
          </cell>
        </row>
      </sheetData>
      <sheetData sheetId="16096">
        <row r="7">
          <cell r="AI7">
            <v>10000</v>
          </cell>
        </row>
      </sheetData>
      <sheetData sheetId="16097">
        <row r="7">
          <cell r="AI7">
            <v>10000</v>
          </cell>
        </row>
      </sheetData>
      <sheetData sheetId="16098">
        <row r="7">
          <cell r="AI7">
            <v>10000</v>
          </cell>
        </row>
      </sheetData>
      <sheetData sheetId="16099">
        <row r="7">
          <cell r="AI7">
            <v>10000</v>
          </cell>
        </row>
      </sheetData>
      <sheetData sheetId="16100">
        <row r="7">
          <cell r="AI7">
            <v>10000</v>
          </cell>
        </row>
      </sheetData>
      <sheetData sheetId="16101">
        <row r="7">
          <cell r="AI7">
            <v>10000</v>
          </cell>
        </row>
      </sheetData>
      <sheetData sheetId="16102">
        <row r="7">
          <cell r="AI7">
            <v>10000</v>
          </cell>
        </row>
      </sheetData>
      <sheetData sheetId="16103">
        <row r="7">
          <cell r="AI7">
            <v>10000</v>
          </cell>
        </row>
      </sheetData>
      <sheetData sheetId="16104">
        <row r="7">
          <cell r="AI7">
            <v>10000</v>
          </cell>
        </row>
      </sheetData>
      <sheetData sheetId="16105">
        <row r="7">
          <cell r="AI7">
            <v>10000</v>
          </cell>
        </row>
      </sheetData>
      <sheetData sheetId="16106">
        <row r="7">
          <cell r="AI7">
            <v>10000</v>
          </cell>
        </row>
      </sheetData>
      <sheetData sheetId="16107">
        <row r="7">
          <cell r="AI7">
            <v>10000</v>
          </cell>
        </row>
      </sheetData>
      <sheetData sheetId="16108">
        <row r="7">
          <cell r="AI7">
            <v>10000</v>
          </cell>
        </row>
      </sheetData>
      <sheetData sheetId="16109">
        <row r="7">
          <cell r="AI7">
            <v>10000</v>
          </cell>
        </row>
      </sheetData>
      <sheetData sheetId="16110">
        <row r="7">
          <cell r="AI7">
            <v>10000</v>
          </cell>
        </row>
      </sheetData>
      <sheetData sheetId="16111">
        <row r="7">
          <cell r="AI7">
            <v>10000</v>
          </cell>
        </row>
      </sheetData>
      <sheetData sheetId="16112">
        <row r="7">
          <cell r="AI7">
            <v>10000</v>
          </cell>
        </row>
      </sheetData>
      <sheetData sheetId="16113">
        <row r="7">
          <cell r="AI7">
            <v>10000</v>
          </cell>
        </row>
      </sheetData>
      <sheetData sheetId="16114">
        <row r="7">
          <cell r="AI7">
            <v>10000</v>
          </cell>
        </row>
      </sheetData>
      <sheetData sheetId="16115">
        <row r="7">
          <cell r="AI7">
            <v>10000</v>
          </cell>
        </row>
      </sheetData>
      <sheetData sheetId="16116">
        <row r="7">
          <cell r="AI7">
            <v>10000</v>
          </cell>
        </row>
      </sheetData>
      <sheetData sheetId="16117">
        <row r="7">
          <cell r="AI7">
            <v>10000</v>
          </cell>
        </row>
      </sheetData>
      <sheetData sheetId="16118">
        <row r="7">
          <cell r="AI7">
            <v>10000</v>
          </cell>
        </row>
      </sheetData>
      <sheetData sheetId="16119">
        <row r="7">
          <cell r="AI7">
            <v>10000</v>
          </cell>
        </row>
      </sheetData>
      <sheetData sheetId="16120">
        <row r="7">
          <cell r="AI7">
            <v>10000</v>
          </cell>
        </row>
      </sheetData>
      <sheetData sheetId="16121">
        <row r="7">
          <cell r="AI7">
            <v>10000</v>
          </cell>
        </row>
      </sheetData>
      <sheetData sheetId="16122">
        <row r="7">
          <cell r="AI7">
            <v>10000</v>
          </cell>
        </row>
      </sheetData>
      <sheetData sheetId="16123">
        <row r="7">
          <cell r="AI7">
            <v>10000</v>
          </cell>
        </row>
      </sheetData>
      <sheetData sheetId="16124">
        <row r="7">
          <cell r="AI7">
            <v>10000</v>
          </cell>
        </row>
      </sheetData>
      <sheetData sheetId="16125">
        <row r="7">
          <cell r="AI7">
            <v>10000</v>
          </cell>
        </row>
      </sheetData>
      <sheetData sheetId="16126">
        <row r="7">
          <cell r="AI7">
            <v>10000</v>
          </cell>
        </row>
      </sheetData>
      <sheetData sheetId="16127">
        <row r="7">
          <cell r="AI7">
            <v>10000</v>
          </cell>
        </row>
      </sheetData>
      <sheetData sheetId="16128">
        <row r="7">
          <cell r="AI7">
            <v>10000</v>
          </cell>
        </row>
      </sheetData>
      <sheetData sheetId="16129">
        <row r="7">
          <cell r="AI7">
            <v>10000</v>
          </cell>
        </row>
      </sheetData>
      <sheetData sheetId="16130">
        <row r="7">
          <cell r="AI7">
            <v>10000</v>
          </cell>
        </row>
      </sheetData>
      <sheetData sheetId="16131">
        <row r="7">
          <cell r="AI7">
            <v>10000</v>
          </cell>
        </row>
      </sheetData>
      <sheetData sheetId="16132">
        <row r="7">
          <cell r="AI7">
            <v>10000</v>
          </cell>
        </row>
      </sheetData>
      <sheetData sheetId="16133">
        <row r="7">
          <cell r="AI7">
            <v>10000</v>
          </cell>
        </row>
      </sheetData>
      <sheetData sheetId="16134">
        <row r="7">
          <cell r="AI7">
            <v>10000</v>
          </cell>
        </row>
      </sheetData>
      <sheetData sheetId="16135">
        <row r="7">
          <cell r="AI7">
            <v>10000</v>
          </cell>
        </row>
      </sheetData>
      <sheetData sheetId="16136">
        <row r="7">
          <cell r="AI7">
            <v>10000</v>
          </cell>
        </row>
      </sheetData>
      <sheetData sheetId="16137">
        <row r="7">
          <cell r="AI7">
            <v>10000</v>
          </cell>
        </row>
      </sheetData>
      <sheetData sheetId="16138">
        <row r="7">
          <cell r="AI7">
            <v>10000</v>
          </cell>
        </row>
      </sheetData>
      <sheetData sheetId="16139">
        <row r="7">
          <cell r="AI7">
            <v>10000</v>
          </cell>
        </row>
      </sheetData>
      <sheetData sheetId="16140">
        <row r="7">
          <cell r="AI7">
            <v>10000</v>
          </cell>
        </row>
      </sheetData>
      <sheetData sheetId="16141">
        <row r="7">
          <cell r="AI7">
            <v>10000</v>
          </cell>
        </row>
      </sheetData>
      <sheetData sheetId="16142">
        <row r="7">
          <cell r="AI7">
            <v>10000</v>
          </cell>
        </row>
      </sheetData>
      <sheetData sheetId="16143">
        <row r="7">
          <cell r="AI7">
            <v>10000</v>
          </cell>
        </row>
      </sheetData>
      <sheetData sheetId="16144">
        <row r="7">
          <cell r="AI7">
            <v>10000</v>
          </cell>
        </row>
      </sheetData>
      <sheetData sheetId="16145">
        <row r="7">
          <cell r="AI7">
            <v>10000</v>
          </cell>
        </row>
      </sheetData>
      <sheetData sheetId="16146">
        <row r="7">
          <cell r="AI7">
            <v>10000</v>
          </cell>
        </row>
      </sheetData>
      <sheetData sheetId="16147">
        <row r="7">
          <cell r="AI7">
            <v>10000</v>
          </cell>
        </row>
      </sheetData>
      <sheetData sheetId="16148">
        <row r="7">
          <cell r="AI7">
            <v>10000</v>
          </cell>
        </row>
      </sheetData>
      <sheetData sheetId="16149">
        <row r="7">
          <cell r="AI7">
            <v>10000</v>
          </cell>
        </row>
      </sheetData>
      <sheetData sheetId="16150">
        <row r="7">
          <cell r="AI7">
            <v>10000</v>
          </cell>
        </row>
      </sheetData>
      <sheetData sheetId="16151">
        <row r="7">
          <cell r="AI7">
            <v>10000</v>
          </cell>
        </row>
      </sheetData>
      <sheetData sheetId="16152">
        <row r="7">
          <cell r="AI7">
            <v>10000</v>
          </cell>
        </row>
      </sheetData>
      <sheetData sheetId="16153">
        <row r="7">
          <cell r="AI7">
            <v>10000</v>
          </cell>
        </row>
      </sheetData>
      <sheetData sheetId="16154">
        <row r="7">
          <cell r="AI7">
            <v>10000</v>
          </cell>
        </row>
      </sheetData>
      <sheetData sheetId="16155">
        <row r="7">
          <cell r="AI7">
            <v>10000</v>
          </cell>
        </row>
      </sheetData>
      <sheetData sheetId="16156">
        <row r="7">
          <cell r="AI7">
            <v>10000</v>
          </cell>
        </row>
      </sheetData>
      <sheetData sheetId="16157">
        <row r="7">
          <cell r="AI7">
            <v>10000</v>
          </cell>
        </row>
      </sheetData>
      <sheetData sheetId="16158">
        <row r="7">
          <cell r="AI7">
            <v>10000</v>
          </cell>
        </row>
      </sheetData>
      <sheetData sheetId="16159">
        <row r="7">
          <cell r="AI7">
            <v>10000</v>
          </cell>
        </row>
      </sheetData>
      <sheetData sheetId="16160">
        <row r="7">
          <cell r="AI7">
            <v>10000</v>
          </cell>
        </row>
      </sheetData>
      <sheetData sheetId="16161">
        <row r="7">
          <cell r="AI7">
            <v>10000</v>
          </cell>
        </row>
      </sheetData>
      <sheetData sheetId="16162">
        <row r="7">
          <cell r="AI7">
            <v>10000</v>
          </cell>
        </row>
      </sheetData>
      <sheetData sheetId="16163">
        <row r="7">
          <cell r="AI7">
            <v>10000</v>
          </cell>
        </row>
      </sheetData>
      <sheetData sheetId="16164">
        <row r="7">
          <cell r="AI7">
            <v>10000</v>
          </cell>
        </row>
      </sheetData>
      <sheetData sheetId="16165">
        <row r="7">
          <cell r="AI7">
            <v>10000</v>
          </cell>
        </row>
      </sheetData>
      <sheetData sheetId="16166">
        <row r="7">
          <cell r="AI7">
            <v>10000</v>
          </cell>
        </row>
      </sheetData>
      <sheetData sheetId="16167">
        <row r="7">
          <cell r="AI7">
            <v>10000</v>
          </cell>
        </row>
      </sheetData>
      <sheetData sheetId="16168">
        <row r="7">
          <cell r="AI7">
            <v>10000</v>
          </cell>
        </row>
      </sheetData>
      <sheetData sheetId="16169">
        <row r="7">
          <cell r="AI7">
            <v>10000</v>
          </cell>
        </row>
      </sheetData>
      <sheetData sheetId="16170">
        <row r="7">
          <cell r="AI7">
            <v>10000</v>
          </cell>
        </row>
      </sheetData>
      <sheetData sheetId="16171">
        <row r="7">
          <cell r="AI7">
            <v>10000</v>
          </cell>
        </row>
      </sheetData>
      <sheetData sheetId="16172"/>
      <sheetData sheetId="16173">
        <row r="7">
          <cell r="AI7">
            <v>10000</v>
          </cell>
        </row>
      </sheetData>
      <sheetData sheetId="16174">
        <row r="7">
          <cell r="AI7">
            <v>10000</v>
          </cell>
        </row>
      </sheetData>
      <sheetData sheetId="16175">
        <row r="7">
          <cell r="AI7">
            <v>10000</v>
          </cell>
        </row>
      </sheetData>
      <sheetData sheetId="16176">
        <row r="7">
          <cell r="AI7">
            <v>10000</v>
          </cell>
        </row>
      </sheetData>
      <sheetData sheetId="16177">
        <row r="7">
          <cell r="AI7">
            <v>10000</v>
          </cell>
        </row>
      </sheetData>
      <sheetData sheetId="16178">
        <row r="7">
          <cell r="AI7">
            <v>10000</v>
          </cell>
        </row>
      </sheetData>
      <sheetData sheetId="16179">
        <row r="7">
          <cell r="AI7">
            <v>10000</v>
          </cell>
        </row>
      </sheetData>
      <sheetData sheetId="16180">
        <row r="7">
          <cell r="AI7">
            <v>10000</v>
          </cell>
        </row>
      </sheetData>
      <sheetData sheetId="16181">
        <row r="7">
          <cell r="AI7">
            <v>10000</v>
          </cell>
        </row>
      </sheetData>
      <sheetData sheetId="16182">
        <row r="7">
          <cell r="AI7">
            <v>10000</v>
          </cell>
        </row>
      </sheetData>
      <sheetData sheetId="16183">
        <row r="7">
          <cell r="AI7">
            <v>10000</v>
          </cell>
        </row>
      </sheetData>
      <sheetData sheetId="16184">
        <row r="7">
          <cell r="AI7">
            <v>10000</v>
          </cell>
        </row>
      </sheetData>
      <sheetData sheetId="16185">
        <row r="7">
          <cell r="AI7">
            <v>10000</v>
          </cell>
        </row>
      </sheetData>
      <sheetData sheetId="16186">
        <row r="7">
          <cell r="AI7">
            <v>10000</v>
          </cell>
        </row>
      </sheetData>
      <sheetData sheetId="16187">
        <row r="7">
          <cell r="AI7">
            <v>10000</v>
          </cell>
        </row>
      </sheetData>
      <sheetData sheetId="16188">
        <row r="7">
          <cell r="AI7">
            <v>10000</v>
          </cell>
        </row>
      </sheetData>
      <sheetData sheetId="16189">
        <row r="7">
          <cell r="AI7">
            <v>10000</v>
          </cell>
        </row>
      </sheetData>
      <sheetData sheetId="16190">
        <row r="7">
          <cell r="AI7">
            <v>10000</v>
          </cell>
        </row>
      </sheetData>
      <sheetData sheetId="16191">
        <row r="7">
          <cell r="AI7">
            <v>10000</v>
          </cell>
        </row>
      </sheetData>
      <sheetData sheetId="16192">
        <row r="7">
          <cell r="AI7">
            <v>10000</v>
          </cell>
        </row>
      </sheetData>
      <sheetData sheetId="16193">
        <row r="7">
          <cell r="AI7">
            <v>10000</v>
          </cell>
        </row>
      </sheetData>
      <sheetData sheetId="16194">
        <row r="7">
          <cell r="AI7">
            <v>10000</v>
          </cell>
        </row>
      </sheetData>
      <sheetData sheetId="16195">
        <row r="7">
          <cell r="AI7">
            <v>10000</v>
          </cell>
        </row>
      </sheetData>
      <sheetData sheetId="16196">
        <row r="7">
          <cell r="AI7">
            <v>10000</v>
          </cell>
        </row>
      </sheetData>
      <sheetData sheetId="16197">
        <row r="7">
          <cell r="AI7">
            <v>10000</v>
          </cell>
        </row>
      </sheetData>
      <sheetData sheetId="16198">
        <row r="7">
          <cell r="AI7">
            <v>10000</v>
          </cell>
        </row>
      </sheetData>
      <sheetData sheetId="16199">
        <row r="7">
          <cell r="AI7">
            <v>10000</v>
          </cell>
        </row>
      </sheetData>
      <sheetData sheetId="16200">
        <row r="7">
          <cell r="AI7">
            <v>10000</v>
          </cell>
        </row>
      </sheetData>
      <sheetData sheetId="16201">
        <row r="7">
          <cell r="AI7">
            <v>10000</v>
          </cell>
        </row>
      </sheetData>
      <sheetData sheetId="16202">
        <row r="7">
          <cell r="AI7">
            <v>10000</v>
          </cell>
        </row>
      </sheetData>
      <sheetData sheetId="16203">
        <row r="7">
          <cell r="AI7">
            <v>10000</v>
          </cell>
        </row>
      </sheetData>
      <sheetData sheetId="16204">
        <row r="7">
          <cell r="AI7">
            <v>10000</v>
          </cell>
        </row>
      </sheetData>
      <sheetData sheetId="16205">
        <row r="7">
          <cell r="AI7">
            <v>10000</v>
          </cell>
        </row>
      </sheetData>
      <sheetData sheetId="16206">
        <row r="7">
          <cell r="AI7">
            <v>10000</v>
          </cell>
        </row>
      </sheetData>
      <sheetData sheetId="16207">
        <row r="7">
          <cell r="AI7">
            <v>10000</v>
          </cell>
        </row>
      </sheetData>
      <sheetData sheetId="16208">
        <row r="7">
          <cell r="AI7">
            <v>10000</v>
          </cell>
        </row>
      </sheetData>
      <sheetData sheetId="16209">
        <row r="7">
          <cell r="AI7">
            <v>10000</v>
          </cell>
        </row>
      </sheetData>
      <sheetData sheetId="16210">
        <row r="7">
          <cell r="AI7">
            <v>10000</v>
          </cell>
        </row>
      </sheetData>
      <sheetData sheetId="16211">
        <row r="7">
          <cell r="AI7">
            <v>10000</v>
          </cell>
        </row>
      </sheetData>
      <sheetData sheetId="16212">
        <row r="7">
          <cell r="AI7">
            <v>10000</v>
          </cell>
        </row>
      </sheetData>
      <sheetData sheetId="16213">
        <row r="7">
          <cell r="AI7">
            <v>10000</v>
          </cell>
        </row>
      </sheetData>
      <sheetData sheetId="16214">
        <row r="7">
          <cell r="AI7">
            <v>10000</v>
          </cell>
        </row>
      </sheetData>
      <sheetData sheetId="16215">
        <row r="7">
          <cell r="AI7">
            <v>10000</v>
          </cell>
        </row>
      </sheetData>
      <sheetData sheetId="16216">
        <row r="7">
          <cell r="AI7">
            <v>10000</v>
          </cell>
        </row>
      </sheetData>
      <sheetData sheetId="16217">
        <row r="7">
          <cell r="AI7">
            <v>10000</v>
          </cell>
        </row>
      </sheetData>
      <sheetData sheetId="16218">
        <row r="7">
          <cell r="AI7">
            <v>10000</v>
          </cell>
        </row>
      </sheetData>
      <sheetData sheetId="16219">
        <row r="7">
          <cell r="AI7">
            <v>10000</v>
          </cell>
        </row>
      </sheetData>
      <sheetData sheetId="16220">
        <row r="7">
          <cell r="AI7">
            <v>10000</v>
          </cell>
        </row>
      </sheetData>
      <sheetData sheetId="16221">
        <row r="7">
          <cell r="AI7">
            <v>10000</v>
          </cell>
        </row>
      </sheetData>
      <sheetData sheetId="16222">
        <row r="7">
          <cell r="AI7">
            <v>10000</v>
          </cell>
        </row>
      </sheetData>
      <sheetData sheetId="16223">
        <row r="7">
          <cell r="AI7">
            <v>10000</v>
          </cell>
        </row>
      </sheetData>
      <sheetData sheetId="16224">
        <row r="7">
          <cell r="AI7">
            <v>10000</v>
          </cell>
        </row>
      </sheetData>
      <sheetData sheetId="16225">
        <row r="7">
          <cell r="AI7">
            <v>10000</v>
          </cell>
        </row>
      </sheetData>
      <sheetData sheetId="16226">
        <row r="7">
          <cell r="AI7">
            <v>10000</v>
          </cell>
        </row>
      </sheetData>
      <sheetData sheetId="16227">
        <row r="7">
          <cell r="AI7">
            <v>10000</v>
          </cell>
        </row>
      </sheetData>
      <sheetData sheetId="16228">
        <row r="7">
          <cell r="AI7">
            <v>10000</v>
          </cell>
        </row>
      </sheetData>
      <sheetData sheetId="16229">
        <row r="7">
          <cell r="AI7">
            <v>10000</v>
          </cell>
        </row>
      </sheetData>
      <sheetData sheetId="16230">
        <row r="7">
          <cell r="AI7">
            <v>10000</v>
          </cell>
        </row>
      </sheetData>
      <sheetData sheetId="16231">
        <row r="7">
          <cell r="AI7">
            <v>10000</v>
          </cell>
        </row>
      </sheetData>
      <sheetData sheetId="16232">
        <row r="7">
          <cell r="AI7">
            <v>10000</v>
          </cell>
        </row>
      </sheetData>
      <sheetData sheetId="16233">
        <row r="7">
          <cell r="AI7">
            <v>10000</v>
          </cell>
        </row>
      </sheetData>
      <sheetData sheetId="16234">
        <row r="7">
          <cell r="AI7">
            <v>10000</v>
          </cell>
        </row>
      </sheetData>
      <sheetData sheetId="16235">
        <row r="7">
          <cell r="AI7">
            <v>10000</v>
          </cell>
        </row>
      </sheetData>
      <sheetData sheetId="16236">
        <row r="7">
          <cell r="AI7">
            <v>10000</v>
          </cell>
        </row>
      </sheetData>
      <sheetData sheetId="16237">
        <row r="7">
          <cell r="AI7">
            <v>10000</v>
          </cell>
        </row>
      </sheetData>
      <sheetData sheetId="16238">
        <row r="7">
          <cell r="AI7">
            <v>10000</v>
          </cell>
        </row>
      </sheetData>
      <sheetData sheetId="16239">
        <row r="7">
          <cell r="AI7">
            <v>10000</v>
          </cell>
        </row>
      </sheetData>
      <sheetData sheetId="16240">
        <row r="7">
          <cell r="AI7">
            <v>10000</v>
          </cell>
        </row>
      </sheetData>
      <sheetData sheetId="16241">
        <row r="7">
          <cell r="AI7">
            <v>10000</v>
          </cell>
        </row>
      </sheetData>
      <sheetData sheetId="16242">
        <row r="7">
          <cell r="AI7">
            <v>10000</v>
          </cell>
        </row>
      </sheetData>
      <sheetData sheetId="16243">
        <row r="7">
          <cell r="AI7">
            <v>10000</v>
          </cell>
        </row>
      </sheetData>
      <sheetData sheetId="16244">
        <row r="7">
          <cell r="AI7">
            <v>10000</v>
          </cell>
        </row>
      </sheetData>
      <sheetData sheetId="16245">
        <row r="7">
          <cell r="AI7">
            <v>10000</v>
          </cell>
        </row>
      </sheetData>
      <sheetData sheetId="16246">
        <row r="7">
          <cell r="AI7">
            <v>10000</v>
          </cell>
        </row>
      </sheetData>
      <sheetData sheetId="16247">
        <row r="7">
          <cell r="AI7">
            <v>10000</v>
          </cell>
        </row>
      </sheetData>
      <sheetData sheetId="16248">
        <row r="7">
          <cell r="AI7">
            <v>10000</v>
          </cell>
        </row>
      </sheetData>
      <sheetData sheetId="16249">
        <row r="7">
          <cell r="AI7">
            <v>10000</v>
          </cell>
        </row>
      </sheetData>
      <sheetData sheetId="16250">
        <row r="7">
          <cell r="AI7">
            <v>10000</v>
          </cell>
        </row>
      </sheetData>
      <sheetData sheetId="16251">
        <row r="7">
          <cell r="AI7">
            <v>10000</v>
          </cell>
        </row>
      </sheetData>
      <sheetData sheetId="16252"/>
      <sheetData sheetId="16253">
        <row r="7">
          <cell r="AI7">
            <v>10000</v>
          </cell>
        </row>
      </sheetData>
      <sheetData sheetId="16254">
        <row r="7">
          <cell r="AI7">
            <v>10000</v>
          </cell>
        </row>
      </sheetData>
      <sheetData sheetId="16255">
        <row r="7">
          <cell r="AI7">
            <v>10000</v>
          </cell>
        </row>
      </sheetData>
      <sheetData sheetId="16256">
        <row r="7">
          <cell r="AI7">
            <v>10000</v>
          </cell>
        </row>
      </sheetData>
      <sheetData sheetId="16257"/>
      <sheetData sheetId="16258">
        <row r="7">
          <cell r="AI7">
            <v>10000</v>
          </cell>
        </row>
      </sheetData>
      <sheetData sheetId="16259"/>
      <sheetData sheetId="16260">
        <row r="7">
          <cell r="AI7">
            <v>10000</v>
          </cell>
        </row>
      </sheetData>
      <sheetData sheetId="16261">
        <row r="7">
          <cell r="AI7">
            <v>10000</v>
          </cell>
        </row>
      </sheetData>
      <sheetData sheetId="16262">
        <row r="7">
          <cell r="AI7">
            <v>10000</v>
          </cell>
        </row>
      </sheetData>
      <sheetData sheetId="16263">
        <row r="7">
          <cell r="AI7">
            <v>10000</v>
          </cell>
        </row>
      </sheetData>
      <sheetData sheetId="16264">
        <row r="7">
          <cell r="AI7">
            <v>10000</v>
          </cell>
        </row>
      </sheetData>
      <sheetData sheetId="16265">
        <row r="7">
          <cell r="AI7">
            <v>10000</v>
          </cell>
        </row>
      </sheetData>
      <sheetData sheetId="16266">
        <row r="7">
          <cell r="AI7">
            <v>10000</v>
          </cell>
        </row>
      </sheetData>
      <sheetData sheetId="16267"/>
      <sheetData sheetId="16268"/>
      <sheetData sheetId="16269"/>
      <sheetData sheetId="16270">
        <row r="7">
          <cell r="AI7">
            <v>10000</v>
          </cell>
        </row>
      </sheetData>
      <sheetData sheetId="16271">
        <row r="7">
          <cell r="AI7">
            <v>10000</v>
          </cell>
        </row>
      </sheetData>
      <sheetData sheetId="16272"/>
      <sheetData sheetId="16273">
        <row r="7">
          <cell r="AI7">
            <v>10000</v>
          </cell>
        </row>
      </sheetData>
      <sheetData sheetId="16274"/>
      <sheetData sheetId="16275">
        <row r="7">
          <cell r="AI7">
            <v>10000</v>
          </cell>
        </row>
      </sheetData>
      <sheetData sheetId="16276"/>
      <sheetData sheetId="16277">
        <row r="7">
          <cell r="AI7">
            <v>10000</v>
          </cell>
        </row>
      </sheetData>
      <sheetData sheetId="16278">
        <row r="7">
          <cell r="AI7">
            <v>10000</v>
          </cell>
        </row>
      </sheetData>
      <sheetData sheetId="16279">
        <row r="7">
          <cell r="AI7">
            <v>10000</v>
          </cell>
        </row>
      </sheetData>
      <sheetData sheetId="16280">
        <row r="7">
          <cell r="AI7">
            <v>10000</v>
          </cell>
        </row>
      </sheetData>
      <sheetData sheetId="16281"/>
      <sheetData sheetId="16282"/>
      <sheetData sheetId="16283"/>
      <sheetData sheetId="16284"/>
      <sheetData sheetId="16285">
        <row r="7">
          <cell r="AI7">
            <v>10000</v>
          </cell>
        </row>
      </sheetData>
      <sheetData sheetId="16286"/>
      <sheetData sheetId="16287"/>
      <sheetData sheetId="16288">
        <row r="7">
          <cell r="AI7">
            <v>10000</v>
          </cell>
        </row>
      </sheetData>
      <sheetData sheetId="16289"/>
      <sheetData sheetId="16290">
        <row r="7">
          <cell r="AI7">
            <v>10000</v>
          </cell>
        </row>
      </sheetData>
      <sheetData sheetId="16291">
        <row r="7">
          <cell r="AI7">
            <v>10000</v>
          </cell>
        </row>
      </sheetData>
      <sheetData sheetId="16292">
        <row r="7">
          <cell r="AI7">
            <v>10000</v>
          </cell>
        </row>
      </sheetData>
      <sheetData sheetId="16293">
        <row r="7">
          <cell r="AI7">
            <v>10000</v>
          </cell>
        </row>
      </sheetData>
      <sheetData sheetId="16294"/>
      <sheetData sheetId="16295">
        <row r="7">
          <cell r="AI7">
            <v>10000</v>
          </cell>
        </row>
      </sheetData>
      <sheetData sheetId="16296"/>
      <sheetData sheetId="16297"/>
      <sheetData sheetId="16298">
        <row r="7">
          <cell r="AI7">
            <v>10000</v>
          </cell>
        </row>
      </sheetData>
      <sheetData sheetId="16299">
        <row r="7">
          <cell r="AI7">
            <v>10000</v>
          </cell>
        </row>
      </sheetData>
      <sheetData sheetId="16300"/>
      <sheetData sheetId="16301"/>
      <sheetData sheetId="16302"/>
      <sheetData sheetId="16303">
        <row r="7">
          <cell r="AI7">
            <v>10000</v>
          </cell>
        </row>
      </sheetData>
      <sheetData sheetId="16304"/>
      <sheetData sheetId="16305"/>
      <sheetData sheetId="16306">
        <row r="7">
          <cell r="AI7">
            <v>10000</v>
          </cell>
        </row>
      </sheetData>
      <sheetData sheetId="16307">
        <row r="7">
          <cell r="AI7">
            <v>10000</v>
          </cell>
        </row>
      </sheetData>
      <sheetData sheetId="16308">
        <row r="7">
          <cell r="AI7">
            <v>10000</v>
          </cell>
        </row>
      </sheetData>
      <sheetData sheetId="16309"/>
      <sheetData sheetId="16310"/>
      <sheetData sheetId="16311"/>
      <sheetData sheetId="16312"/>
      <sheetData sheetId="16313">
        <row r="7">
          <cell r="AI7">
            <v>10000</v>
          </cell>
        </row>
      </sheetData>
      <sheetData sheetId="16314"/>
      <sheetData sheetId="16315"/>
      <sheetData sheetId="16316"/>
      <sheetData sheetId="16317"/>
      <sheetData sheetId="16318">
        <row r="7">
          <cell r="AI7">
            <v>10000</v>
          </cell>
        </row>
      </sheetData>
      <sheetData sheetId="16319"/>
      <sheetData sheetId="16320"/>
      <sheetData sheetId="16321"/>
      <sheetData sheetId="16322"/>
      <sheetData sheetId="16323">
        <row r="7">
          <cell r="AI7">
            <v>10000</v>
          </cell>
        </row>
      </sheetData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/>
      <sheetData sheetId="17266" refreshError="1"/>
      <sheetData sheetId="17267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/>
      <sheetData sheetId="17275" refreshError="1"/>
      <sheetData sheetId="17276" refreshError="1"/>
      <sheetData sheetId="17277" refreshError="1"/>
      <sheetData sheetId="17278"/>
      <sheetData sheetId="17279"/>
      <sheetData sheetId="17280" refreshError="1"/>
      <sheetData sheetId="17281" refreshError="1"/>
      <sheetData sheetId="17282">
        <row r="7">
          <cell r="AI7">
            <v>10000</v>
          </cell>
        </row>
      </sheetData>
      <sheetData sheetId="17283" refreshError="1"/>
      <sheetData sheetId="17284">
        <row r="7">
          <cell r="AI7">
            <v>10000</v>
          </cell>
        </row>
      </sheetData>
      <sheetData sheetId="17285">
        <row r="7">
          <cell r="AI7">
            <v>10000</v>
          </cell>
        </row>
      </sheetData>
      <sheetData sheetId="17286"/>
      <sheetData sheetId="17287"/>
      <sheetData sheetId="17288">
        <row r="7">
          <cell r="AI7">
            <v>10000</v>
          </cell>
        </row>
      </sheetData>
      <sheetData sheetId="17289" refreshError="1"/>
      <sheetData sheetId="17290" refreshError="1"/>
      <sheetData sheetId="17291" refreshError="1"/>
      <sheetData sheetId="17292" refreshError="1"/>
      <sheetData sheetId="17293"/>
      <sheetData sheetId="17294" refreshError="1"/>
      <sheetData sheetId="17295"/>
      <sheetData sheetId="17296" refreshError="1"/>
      <sheetData sheetId="17297" refreshError="1"/>
      <sheetData sheetId="17298"/>
      <sheetData sheetId="17299"/>
      <sheetData sheetId="17300"/>
      <sheetData sheetId="17301" refreshError="1"/>
      <sheetData sheetId="17302"/>
      <sheetData sheetId="17303" refreshError="1"/>
      <sheetData sheetId="17304" refreshError="1"/>
      <sheetData sheetId="17305"/>
      <sheetData sheetId="17306" refreshError="1"/>
      <sheetData sheetId="17307"/>
      <sheetData sheetId="17308" refreshError="1"/>
      <sheetData sheetId="17309"/>
      <sheetData sheetId="17310"/>
      <sheetData sheetId="17311" refreshError="1"/>
      <sheetData sheetId="17312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/>
      <sheetData sheetId="17319" refreshError="1"/>
      <sheetData sheetId="17320" refreshError="1"/>
      <sheetData sheetId="17321">
        <row r="7">
          <cell r="AI7">
            <v>10000</v>
          </cell>
        </row>
      </sheetData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/>
      <sheetData sheetId="17400" refreshError="1"/>
      <sheetData sheetId="17401"/>
      <sheetData sheetId="17402" refreshError="1"/>
      <sheetData sheetId="17403" refreshError="1"/>
      <sheetData sheetId="17404" refreshError="1"/>
      <sheetData sheetId="17405" refreshError="1"/>
      <sheetData sheetId="17406"/>
      <sheetData sheetId="17407" refreshError="1"/>
      <sheetData sheetId="17408" refreshError="1"/>
      <sheetData sheetId="17409" refreshError="1"/>
      <sheetData sheetId="17410" refreshError="1"/>
      <sheetData sheetId="17411"/>
      <sheetData sheetId="17412"/>
      <sheetData sheetId="17413" refreshError="1"/>
      <sheetData sheetId="17414" refreshError="1"/>
      <sheetData sheetId="17415" refreshError="1"/>
      <sheetData sheetId="17416" refreshError="1"/>
      <sheetData sheetId="174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  <sheetName val="2.74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01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aTrieu-L.con"/>
      <sheetName val="EDT - Ro"/>
      <sheetName val=".tuanM"/>
      <sheetName val="Dinh_ha nha"/>
      <sheetName val="[IBASE2.XLS}BHXH"/>
      <sheetName val="Chart3"/>
      <sheetName val="Chart2"/>
      <sheetName val="T8-9)"/>
      <sheetName val="T6"/>
      <sheetName val="120"/>
      <sheetName val="IFAD"/>
      <sheetName val="CVHN"/>
      <sheetName val="TCVM"/>
      <sheetName val="RIDP"/>
      <sheetName val="LDNN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Bia_x0018_"/>
      <sheetName val="QD cua HDQT (ÿÿ"/>
      <sheetName val="ÿÿÿÿi ngoai tongÿÿ2)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"/>
      <sheetName val="Nhap_lie("/>
      <sheetName val=" GT CPhi tung dot"/>
      <sheetName val="ESTI."/>
      <sheetName val="DI-ESTI"/>
      <sheetName val="THTBþ"/>
      <sheetName val="CongNo"/>
      <sheetName val="TD khao sat"/>
      <sheetName val="_x0000__x0000__x0005__x0000__x0000_"/>
      <sheetName val="nghi dinh-_x0004__x0010_"/>
      <sheetName val="Cong hop 2,0ࡸ2,0"/>
      <sheetName val="Km282-Km_x0003_?3"/>
      <sheetName val="Biaþ"/>
      <sheetName val="Luot"/>
      <sheetName val="lapdap TB "/>
      <sheetName val="IBASE2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°:nh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NS"/>
      <sheetName val="T4-99_x0005_"/>
      <sheetName val="Năm"/>
      <sheetName val="Thời gian"/>
      <sheetName val="Tỉnh"/>
      <sheetName val="ma-pt"/>
      <sheetName val="KH-Q1,Q2,01"/>
      <sheetName val="Km282-Km_x0003_3"/>
      <sheetName val="Soqu_x0005_"/>
      <sheetName val="thong ke"/>
      <sheetName val="DMT"/>
      <sheetName val="_x0005_"/>
      <sheetName val="tien uong"/>
      <sheetName val="Y_BA"/>
      <sheetName val="T6-99 _x0012_[IBASE2.XLS]T"/>
      <sheetName val="T4-99_x0005_T5-99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 refreshError="1"/>
      <sheetData sheetId="784" refreshError="1"/>
      <sheetData sheetId="785" refreshError="1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/>
      <sheetData sheetId="1209"/>
      <sheetData sheetId="1210" refreshError="1"/>
      <sheetData sheetId="121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 refreshError="1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 refreshError="1"/>
      <sheetData sheetId="1692" refreshError="1"/>
      <sheetData sheetId="169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ma-pt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XL4Test5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sat"/>
      <sheetName val="ptvt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MAU_A"/>
      <sheetName val="MAU_B"/>
      <sheetName val="MAU_C"/>
      <sheetName val="MAU E -XCD"/>
      <sheetName val="MAU E -TDS1"/>
      <sheetName val="MAU E- NDH"/>
      <sheetName val="Sheet1"/>
      <sheetName val="Sheet2"/>
      <sheetName val="Chart1"/>
      <sheetName val="Chart2"/>
      <sheetName val="Sheet4"/>
      <sheetName val="TINHNEN"/>
      <sheetName val="Nen VN"/>
      <sheetName val="ESTI_"/>
      <sheetName val="DI_ESTI"/>
      <sheetName val="thang 1"/>
      <sheetName val="thang2"/>
      <sheetName val="Thang 3"/>
      <sheetName val="thang5"/>
      <sheetName val="thang4"/>
      <sheetName val="00000001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TA"/>
      <sheetName val="Gia VL"/>
      <sheetName val="Bang luong CB"/>
      <sheetName val="Bang P.tich CT"/>
      <sheetName val="D.toan chi tiet"/>
      <sheetName val="Bang TH Dtoan"/>
      <sheetName val="XXXXXXXX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PTH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aodothietke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Du an nut So"/>
      <sheetName val="Du an nut vong"/>
      <sheetName val="Du an nut Nam cau Tlong"/>
      <sheetName val="Duong kim lien 0 cho dua"/>
      <sheetName val="Du an KTDC Nam trung yen"/>
      <sheetName val="DTCT"/>
      <sheetName val="THDT"/>
      <sheetName val="THVT"/>
      <sheetName val="THGT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ang 8"/>
      <sheetName val="Macro1"/>
      <sheetName val="Macro2"/>
      <sheetName val="Macro3"/>
      <sheetName val="THANG 09"/>
      <sheetName val="THANG 10"/>
      <sheetName val="Duong con' vu hcm (8)"/>
      <sheetName val="Qheet3"/>
      <sheetName val="C47-456"/>
      <sheetName val="C46"/>
      <sheetName val="C47-PII"/>
      <sheetName val="TRUC TIEP"/>
      <sheetName val="GIAN TIEP"/>
      <sheetName val="HOP DONG"/>
      <sheetName val="CON LINH"/>
      <sheetName val="km346+00-km346_x000b_240 (2)"/>
      <sheetName val="km342+297._x0015_8-km342+376.41"/>
      <sheetName val="km341+1077 -km34_x0011_+1177.61"/>
      <sheetName val="Bang 聧ia ca may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RP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20000000"/>
      <sheetName val="[RPT.x"/>
      <sheetName val="[RPT.xlsၝCmay"/>
      <sheetName val="Duïng cong vu hcm (13;) (2)"/>
      <sheetName val="Duong cong vu hcm (8;) (:)"/>
      <sheetName val="Duofg cong vu hcm (7;) (2)"/>
      <sheetName val=""/>
      <sheetName val="gVL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 quy I-2005"/>
      <sheetName val="Quy 2- 2005 "/>
      <sheetName val="Quy III- 2005 "/>
      <sheetName val="Quy 4- 2005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km337+533î60-km3ó4 (2)"/>
      <sheetName val="N_x0008_AN CONG"/>
      <sheetName val="K251 _x0001_C"/>
      <sheetName val="?? MTL"/>
      <sheetName val="?? DI"/>
      <sheetName val="tienluon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Daily"/>
      <sheetName val="Data-input"/>
      <sheetName val="TK12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TL$-INTER"/>
      <sheetName val="Duong cong vu hcm (¶)"/>
      <sheetName val="thang6"/>
      <sheetName val="Sheet5"/>
      <sheetName val="Sheet6"/>
      <sheetName val="刃割 MTL"/>
      <sheetName val="giamay"/>
      <sheetName val="XL²t5"/>
      <sheetName val="Ë261"/>
      <sheetName val="K261Base"/>
      <sheetName val="K2_x0016_1 AC"/>
      <sheetName val="CON(LINH"/>
      <sheetName val="CHEKe VLCHINH"/>
      <sheetName val="K5_x0001_ @9_x0008_"/>
      <sheetName val="soktmay"/>
      <sheetName val="切割 MၔL"/>
      <sheetName val="K2_x0015_1 AC"/>
      <sheetName val="km342+520-km342+690 (2 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km338+00-km33Oé100(2)"/>
      <sheetName val="Bang ?ia ca may"/>
      <sheetName val="[RPT.xls?Cmay"/>
      <sheetName val="km345+400-km345ÿÿ00 (6)"/>
      <sheetName val="Con'ty"/>
      <sheetName val="Thuc thanh"/>
      <sheetName val="GTXLC@INH"/>
      <sheetName val="Ho=Ðdong giao khoan"/>
      <sheetName val="切割 II"/>
      <sheetName val="959 K98"/>
      <sheetName val="Mau so 04 TFDN"/>
      <sheetName val="TSO_CHUNG"/>
      <sheetName val="Duong cog vu hcm (4)"/>
      <sheetName val="K219 Subbase"/>
      <sheetName val="Duong cojg vu hcm (13;) (2)"/>
      <sheetName val="m361 Base"/>
      <sheetName val="DG1kSAT"/>
      <sheetName val="May no"/>
      <sheetName val="Sua chua "/>
      <sheetName val="BC luan chuyen"/>
      <sheetName val="_x0010_pЁ"/>
      <sheetName val="K259†Base "/>
      <sheetName val="_x0010_p?Ё"/>
      <sheetName val="K251 K)8"/>
      <sheetName val="?"/>
      <sheetName val="cot_xa"/>
      <sheetName val="Quet rac"/>
      <sheetName val="Thang"/>
      <sheetName val="T1"/>
      <sheetName val="T2"/>
      <sheetName val="T3"/>
      <sheetName val="T4"/>
      <sheetName val="k-337+533.60-km338 (2)"/>
      <sheetName val="km341+275-km341)350"/>
      <sheetName val="Don gia"/>
      <sheetName val="chi tiet z"/>
      <sheetName val="000000000000"/>
      <sheetName val="100000000000"/>
      <sheetName val="200000000000"/>
      <sheetName val="300000000000"/>
      <sheetName val="400000000000"/>
      <sheetName val="C²iet TK131"/>
      <sheetName val="Bang ke T.toan`"/>
      <sheetName val="K261?Base"/>
      <sheetName val="XL²??t5"/>
      <sheetName val="K?5_x0001_ @9_x0008_"/>
      <sheetName val="km337+136-km33×¶350"/>
      <sheetName val="km337+136-km337ý350"/>
      <sheetName val="nghiviecQ402"/>
      <sheetName val="nhansu_phong"/>
      <sheetName val="dieudong2003"/>
      <sheetName val="lylich03"/>
      <sheetName val="bdns02"/>
      <sheetName val="bdns03"/>
      <sheetName val="PET-NB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canh (2)"/>
      <sheetName val="canh"/>
      <sheetName val="Bang Don gia II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30000000"/>
      <sheetName val="40000000"/>
      <sheetName val="50000000"/>
      <sheetName val="60000000"/>
      <sheetName val="XXXXXXX0"/>
      <sheetName val="TH9"/>
      <sheetName val="TH12"/>
      <sheetName val="lienbao1"/>
      <sheetName val="bangrap"/>
      <sheetName val="Lie Bao2"/>
      <sheetName val="lien bao"/>
      <sheetName val="duong BR"/>
      <sheetName val="nhakhoBR"/>
      <sheetName val="trung 5"/>
      <sheetName val="QLoi"/>
      <sheetName val="PTHT"/>
      <sheetName val="Yenlac"/>
      <sheetName val="telo"/>
      <sheetName val="CTA NCS cond.2012"/>
      <sheetName val="TCT DIEN LUC (EVN)"/>
      <sheetName val="415"/>
      <sheetName val="511.BT"/>
      <sheetName val="631.BT"/>
      <sheetName val="NKSC1"/>
      <sheetName val="CDKT"/>
      <sheetName val="BCDTCP"/>
      <sheetName val="KEM NGHIEN GIA CONG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rptDSTHEOTUNGNVVATUNGKHchitiet"/>
      <sheetName val="rptHangHoaNhapXuatTonTuNgayDenN"/>
      <sheetName val="Outlets"/>
      <sheetName val="PGs"/>
      <sheetName val="Cto"/>
      <sheetName val="B×a QTo¸n"/>
      <sheetName val="TDuyÖt QT "/>
      <sheetName val="B×a QTo¸n "/>
      <sheetName val="TMQT"/>
      <sheetName val="THQTo¸n"/>
      <sheetName val="TH.HangMuc"/>
      <sheetName val="NC«ng "/>
      <sheetName val="VËt t­ "/>
      <sheetName val="ThÝ nghiÖm "/>
      <sheetName val="THVT­ "/>
      <sheetName val="Thèng Kª nghiÖm thu"/>
      <sheetName val="VChuyÓn "/>
      <sheetName val="QT Thu håi "/>
      <sheetName val="Thu håi B3 "/>
      <sheetName val="Thu håi B4  "/>
      <sheetName val="Thu håi Õ"/>
      <sheetName val="BB¶n ®gi¸ VTThu håi "/>
      <sheetName val="CaM¸y "/>
      <sheetName val="BB"/>
      <sheetName val="BB¶n"/>
      <sheetName val="BVe Duoica 2"/>
      <sheetName val="BVe 242 MK"/>
      <sheetName val="BVe LTam-6"/>
      <sheetName val="특외대"/>
      <sheetName val="SILICATE"/>
      <sheetName val="Main"/>
      <sheetName val="Reference"/>
      <sheetName val="general"/>
      <sheetName val="_x0010_p?"/>
      <sheetName val="K259Base "/>
      <sheetName val="_x0010_p??"/>
      <sheetName val="Duong co?g vu hcm (4)"/>
      <sheetName val="Disch"/>
      <sheetName val="Pack"/>
      <sheetName val="Delivery"/>
      <sheetName val="M50"/>
      <sheetName val="M48"/>
      <sheetName val="M45"/>
      <sheetName val="M38"/>
      <sheetName val="D.Order"/>
      <sheetName val="Report.Delivery"/>
      <sheetName val="Monthly"/>
      <sheetName val="DMTK"/>
      <sheetName val="Corporate"/>
      <sheetName val="Quantity"/>
      <sheetName val="_RPT.x"/>
      <sheetName val="Du a. nut Nam cau Tlong"/>
      <sheetName val="km338+00-km338+100,2)"/>
      <sheetName val="km″42+297.58-km342+376.41"/>
      <sheetName val="Sheet04"/>
      <sheetName val="D"/>
      <sheetName val="_x0010_p"/>
      <sheetName val="ÇÐ¸î MTL"/>
      <sheetName val="ÇÐ¸î DI"/>
      <sheetName val="¤Á³Î MTL"/>
      <sheetName val="¤Á³Î DI"/>
      <sheetName val="km341+1077 -km341+1!77.61"/>
      <sheetName val="km3;7+00-km337+34 (3)"/>
      <sheetName val="Duong cong vu hcm`(2)"/>
      <sheetName val="Duong cong vuhcm (9)"/>
      <sheetName val="Duong cong vuhcm (4;) (2)"/>
      <sheetName val="Duong cong ve hcm (6)"/>
      <sheetName val="Duong colg vu hcm (3)"/>
      <sheetName val="Duong cnng vu hcm (7;) (2)"/>
      <sheetName val="Duong cong vu hcm(Lmat;0)!(2)"/>
      <sheetName val="CTduo~g"/>
      <sheetName val="km345+661-km345;000"/>
      <sheetName val="TNHCHINH"/>
      <sheetName val="Macro2뻰Ŏ_x0004_뱤ŏ"/>
      <sheetName val="PNT-QUOT-#3"/>
      <sheetName val="COAT&amp;WRAP-QIOT-#3"/>
      <sheetName val="NEW-PANEL"/>
      <sheetName val="Overhead &amp; Profit B-1"/>
      <sheetName val="B-2  (DPP)"/>
      <sheetName val="RP 14E Table"/>
      <sheetName val="AG"/>
      <sheetName val="Guidelines"/>
      <sheetName val="b1"/>
      <sheetName val="2.. (2)"/>
      <sheetName val="Callout"/>
      <sheetName val="MTO REV.0"/>
      <sheetName val="предприятия"/>
      <sheetName val="ЦФО"/>
      <sheetName val="LIGHTING &amp; GROUNDING"/>
      <sheetName val="[RPT.xls]Duong cong vu hcm (8;)"/>
      <sheetName val="T HOP"/>
      <sheetName val="LONG"/>
      <sheetName val="HAI"/>
      <sheetName val="HIEP"/>
      <sheetName val="TUAN"/>
      <sheetName val="nguyen"/>
      <sheetName val="VE"/>
      <sheetName val="VU"/>
      <sheetName val="LUAN"/>
      <sheetName val="HIEN&gt;"/>
      <sheetName val="HIEN"/>
      <sheetName val="PHU"/>
      <sheetName val="CHAN"/>
      <sheetName val="BANBGIAO"/>
      <sheetName val="DLIEU"/>
      <sheetName val="GOC"/>
      <sheetName val="Son"/>
      <sheetName val="MAIN GATE HOUSE"/>
      <sheetName val="Schedule"/>
      <sheetName val="MMTB"/>
      <sheetName val="DGNC"/>
      <sheetName val="F04-CPNC"/>
      <sheetName val="F05-CFVT"/>
      <sheetName val="VLP"/>
      <sheetName val="PVGC"/>
      <sheetName val="T03-02"/>
      <sheetName val="T02-02"/>
      <sheetName val="Mau"/>
      <sheetName val="切割_MTL"/>
      <sheetName val="切割_DI"/>
      <sheetName val="LM"/>
      <sheetName val="NSL"/>
      <sheetName val="切割_MTL1"/>
      <sheetName val="切割_DI1"/>
      <sheetName val="ESTI_1"/>
      <sheetName val="C²??iet TK131"/>
      <sheetName val="Dir01"/>
      <sheetName val="chamcongDHbo"/>
      <sheetName val="1-TH"/>
      <sheetName val="thang lương"/>
      <sheetName val="vs"/>
      <sheetName val="DTCP NB"/>
      <sheetName val="Duong co"/>
      <sheetName val="XL²"/>
      <sheetName val="K"/>
      <sheetName val="C²"/>
      <sheetName val="Duong cong vu"/>
      <sheetName val="Duong cong vu hcm(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m342+520-km342+690 (2_x0009_"/>
      <sheetName val="WUA"/>
      <sheetName val="_RPT.xlsၝCmay"/>
      <sheetName val="TRUC TI"/>
      <sheetName val="Ў`"/>
      <sheetName val="chitiet"/>
      <sheetName val="Thang??"/>
      <sheetName val="?? M?L"/>
      <sheetName val="?? II"/>
      <sheetName val="ctTBA"/>
      <sheetName val="MCY"/>
      <sheetName val="Eau so 04 TNDN"/>
      <sheetName val="LME"/>
      <sheetName val="GDXLCHINH"/>
      <sheetName val="CT 13!"/>
      <sheetName val="Du an n5t Nam cau Tlong"/>
      <sheetName val="_x0000_"/>
      <sheetName val="K261_x0000_Base"/>
      <sheetName val="K_x0000_5_x0001_ @9_x0008_"/>
      <sheetName val="Duong co_x0000_g vu hcm (4)"/>
      <sheetName val="Thang_x0000__x0000_"/>
      <sheetName val="_x0010_p_x0000_?"/>
      <sheetName val="Duong cong vu_x0000_hcm (9)"/>
      <sheetName val="Duong cong vu_x0000_hcm (4;) (2)"/>
      <sheetName val="Duong cong vu hcm(_x0000_Lmat;0)!(2)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>
            <v>2</v>
          </cell>
          <cell r="B7">
            <v>0.75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>
            <v>3</v>
          </cell>
          <cell r="B8">
            <v>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>
            <v>4</v>
          </cell>
          <cell r="B9">
            <v>1.5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>
            <v>5</v>
          </cell>
          <cell r="B10">
            <v>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>
            <v>6</v>
          </cell>
          <cell r="B11">
            <v>2.5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>
            <v>7</v>
          </cell>
          <cell r="B12">
            <v>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>
            <v>8</v>
          </cell>
          <cell r="B13">
            <v>4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>
            <v>9</v>
          </cell>
          <cell r="B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>
            <v>10</v>
          </cell>
          <cell r="B15">
            <v>6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>
            <v>11</v>
          </cell>
          <cell r="B16">
            <v>8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>
            <v>12</v>
          </cell>
          <cell r="B17">
            <v>10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>
            <v>13</v>
          </cell>
          <cell r="B18">
            <v>12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>
            <v>14</v>
          </cell>
          <cell r="B19">
            <v>14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>
            <v>15</v>
          </cell>
          <cell r="B20">
            <v>16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>
            <v>16</v>
          </cell>
          <cell r="B21">
            <v>18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>
            <v>17</v>
          </cell>
          <cell r="B22">
            <v>20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>
            <v>18</v>
          </cell>
          <cell r="B23">
            <v>22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>
            <v>19</v>
          </cell>
          <cell r="B24">
            <v>24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>
            <v>20</v>
          </cell>
          <cell r="B25">
            <v>26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21</v>
          </cell>
          <cell r="B26">
            <v>28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22</v>
          </cell>
          <cell r="B27">
            <v>30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>
            <v>23</v>
          </cell>
          <cell r="B28">
            <v>32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>
            <v>24</v>
          </cell>
          <cell r="B29">
            <v>34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>
            <v>25</v>
          </cell>
          <cell r="B30">
            <v>36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>
            <v>26</v>
          </cell>
          <cell r="B31">
            <v>38</v>
          </cell>
          <cell r="C31">
            <v>6</v>
          </cell>
          <cell r="D31">
            <v>2.77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>
            <v>27</v>
          </cell>
          <cell r="B32">
            <v>40</v>
          </cell>
          <cell r="C32">
            <v>8</v>
          </cell>
          <cell r="D32">
            <v>2.77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A33">
            <v>28</v>
          </cell>
          <cell r="B33">
            <v>42</v>
          </cell>
          <cell r="C33">
            <v>10</v>
          </cell>
          <cell r="D33">
            <v>3.4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A34">
            <v>29</v>
          </cell>
          <cell r="B34">
            <v>44</v>
          </cell>
          <cell r="C34">
            <v>12</v>
          </cell>
          <cell r="D34">
            <v>3.96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A35">
            <v>30</v>
          </cell>
          <cell r="B35">
            <v>46</v>
          </cell>
          <cell r="C35">
            <v>14</v>
          </cell>
          <cell r="D35">
            <v>3.96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A36">
            <v>31</v>
          </cell>
          <cell r="B36">
            <v>48</v>
          </cell>
          <cell r="C36">
            <v>16</v>
          </cell>
          <cell r="D36">
            <v>4.1900000000000004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A37">
            <v>32</v>
          </cell>
          <cell r="B37">
            <v>52</v>
          </cell>
          <cell r="C37">
            <v>18</v>
          </cell>
          <cell r="D37">
            <v>4.1900000000000004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A38">
            <v>33</v>
          </cell>
          <cell r="B38">
            <v>56</v>
          </cell>
          <cell r="C38">
            <v>20</v>
          </cell>
          <cell r="D38">
            <v>4.78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A39">
            <v>34</v>
          </cell>
          <cell r="B39">
            <v>60</v>
          </cell>
          <cell r="C39">
            <v>22</v>
          </cell>
          <cell r="D39">
            <v>4.78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A40">
            <v>35</v>
          </cell>
          <cell r="B40">
            <v>64</v>
          </cell>
          <cell r="C40">
            <v>24</v>
          </cell>
          <cell r="D40">
            <v>5.54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A41">
            <v>36</v>
          </cell>
          <cell r="B41">
            <v>68</v>
          </cell>
          <cell r="C41">
            <v>30</v>
          </cell>
          <cell r="D41">
            <v>6.35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>
            <v>37</v>
          </cell>
          <cell r="B42">
            <v>72</v>
          </cell>
          <cell r="C42">
            <v>14</v>
          </cell>
          <cell r="D42">
            <v>6.35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A43">
            <v>38</v>
          </cell>
          <cell r="B43">
            <v>76</v>
          </cell>
          <cell r="C43">
            <v>16</v>
          </cell>
          <cell r="D43">
            <v>6.35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>
            <v>39</v>
          </cell>
          <cell r="B44">
            <v>80</v>
          </cell>
          <cell r="C44">
            <v>18</v>
          </cell>
          <cell r="D44">
            <v>6.35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 t="str">
            <v>AVE.</v>
          </cell>
          <cell r="B45">
            <v>0</v>
          </cell>
          <cell r="C45">
            <v>20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 t="str">
            <v>Fc = 0.25  Utility Supply Lines, OSBL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 t="str">
            <v xml:space="preserve">   By William B. Hooper , Monsanto Co.</v>
          </cell>
          <cell r="E48">
            <v>1</v>
          </cell>
          <cell r="I48">
            <v>2.64</v>
          </cell>
          <cell r="J48">
            <v>4.8600000000000003</v>
          </cell>
          <cell r="K48" t="str">
            <v xml:space="preserve">        (PIPE JOINT FACTOR Fp = 100%)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 t="str">
            <v>Fc = 0.50  Long, Straight Piping Run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 t="str">
            <v xml:space="preserve">        (PIPE JOINT FACTOR Fp = 100%)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 t="str">
            <v>Fc = 1.00  Normal Piping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 t="str">
            <v xml:space="preserve">        (PIPE JOINT FACTOR Fp = 10%)</v>
          </cell>
          <cell r="P52">
            <v>12</v>
          </cell>
        </row>
      </sheetData>
      <sheetData sheetId="3">
        <row r="8">
          <cell r="A8">
            <v>3</v>
          </cell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7.0000000000000007E-2</v>
          </cell>
          <cell r="J8">
            <v>0</v>
          </cell>
          <cell r="K8">
            <v>7.0000000000000007E-2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  <cell r="Q8">
            <v>0</v>
          </cell>
          <cell r="R8">
            <v>0</v>
          </cell>
        </row>
        <row r="9">
          <cell r="A9">
            <v>4</v>
          </cell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7.0000000000000007E-2</v>
          </cell>
          <cell r="J9">
            <v>0</v>
          </cell>
          <cell r="K9">
            <v>7.0000000000000007E-2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  <cell r="Q9">
            <v>0</v>
          </cell>
          <cell r="R9">
            <v>0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F10">
            <v>7.0000000000000007E-2</v>
          </cell>
          <cell r="G10">
            <v>0</v>
          </cell>
          <cell r="H10">
            <v>7.0000000000000007E-2</v>
          </cell>
          <cell r="I10">
            <v>7.0000000000000007E-2</v>
          </cell>
          <cell r="J10">
            <v>0</v>
          </cell>
          <cell r="K10">
            <v>7.0000000000000007E-2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  <cell r="Q10">
            <v>0</v>
          </cell>
          <cell r="R10">
            <v>0</v>
          </cell>
        </row>
        <row r="11">
          <cell r="A11">
            <v>6</v>
          </cell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7.0000000000000007E-2</v>
          </cell>
          <cell r="J11">
            <v>0</v>
          </cell>
          <cell r="K11">
            <v>7.0000000000000007E-2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  <cell r="Q11">
            <v>0</v>
          </cell>
          <cell r="R11">
            <v>0</v>
          </cell>
        </row>
        <row r="12">
          <cell r="A12">
            <v>7</v>
          </cell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</v>
          </cell>
          <cell r="K12">
            <v>7.0000000000000007E-2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  <cell r="Q12">
            <v>0</v>
          </cell>
          <cell r="R12">
            <v>0</v>
          </cell>
        </row>
        <row r="13">
          <cell r="A13">
            <v>8</v>
          </cell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7.0000000000000007E-2</v>
          </cell>
          <cell r="J13">
            <v>0</v>
          </cell>
          <cell r="K13">
            <v>7.0000000000000007E-2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  <cell r="Q13">
            <v>0</v>
          </cell>
          <cell r="R13">
            <v>0</v>
          </cell>
        </row>
        <row r="14">
          <cell r="A14">
            <v>9</v>
          </cell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0.12</v>
          </cell>
          <cell r="J14">
            <v>0</v>
          </cell>
          <cell r="K14">
            <v>0.12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  <cell r="Q14">
            <v>0</v>
          </cell>
          <cell r="R14">
            <v>0</v>
          </cell>
        </row>
        <row r="15">
          <cell r="A15">
            <v>10</v>
          </cell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0.12</v>
          </cell>
          <cell r="J15">
            <v>0</v>
          </cell>
          <cell r="K15">
            <v>0.12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  <cell r="Q15">
            <v>0</v>
          </cell>
          <cell r="R15">
            <v>0</v>
          </cell>
        </row>
        <row r="16">
          <cell r="A16">
            <v>11</v>
          </cell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0.12</v>
          </cell>
          <cell r="J16">
            <v>0</v>
          </cell>
          <cell r="K16">
            <v>0.12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  <cell r="Q16">
            <v>0</v>
          </cell>
          <cell r="R16">
            <v>0</v>
          </cell>
        </row>
        <row r="17">
          <cell r="A17">
            <v>12</v>
          </cell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0.15</v>
          </cell>
          <cell r="J17">
            <v>0</v>
          </cell>
          <cell r="K17">
            <v>0.15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  <cell r="Q17">
            <v>0</v>
          </cell>
          <cell r="R17">
            <v>0</v>
          </cell>
        </row>
        <row r="18">
          <cell r="A18">
            <v>13</v>
          </cell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0.15</v>
          </cell>
          <cell r="J18">
            <v>0</v>
          </cell>
          <cell r="K18">
            <v>0.15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  <cell r="Q18">
            <v>0</v>
          </cell>
          <cell r="R18">
            <v>0</v>
          </cell>
        </row>
        <row r="19">
          <cell r="A19">
            <v>14</v>
          </cell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0.15</v>
          </cell>
          <cell r="J19">
            <v>0</v>
          </cell>
          <cell r="K19">
            <v>0.15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  <cell r="Q19">
            <v>0</v>
          </cell>
          <cell r="R19">
            <v>0</v>
          </cell>
        </row>
        <row r="20">
          <cell r="A20">
            <v>15</v>
          </cell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0.15</v>
          </cell>
          <cell r="J20">
            <v>0</v>
          </cell>
          <cell r="K20">
            <v>0.15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  <cell r="Q20">
            <v>0</v>
          </cell>
          <cell r="R20">
            <v>0</v>
          </cell>
        </row>
        <row r="21">
          <cell r="A21">
            <v>16</v>
          </cell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0.15</v>
          </cell>
          <cell r="J21">
            <v>0</v>
          </cell>
          <cell r="K21">
            <v>0.15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</row>
        <row r="22">
          <cell r="A22">
            <v>17</v>
          </cell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0.15</v>
          </cell>
          <cell r="J22">
            <v>0</v>
          </cell>
          <cell r="K22">
            <v>0.15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  <cell r="Q22">
            <v>0</v>
          </cell>
          <cell r="R22">
            <v>0</v>
          </cell>
        </row>
        <row r="23">
          <cell r="A23">
            <v>18</v>
          </cell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0.15</v>
          </cell>
          <cell r="J23">
            <v>0</v>
          </cell>
          <cell r="K23">
            <v>0.15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  <cell r="Q23">
            <v>0</v>
          </cell>
          <cell r="R23">
            <v>0</v>
          </cell>
        </row>
        <row r="24">
          <cell r="A24">
            <v>19</v>
          </cell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0.15</v>
          </cell>
          <cell r="J24">
            <v>0</v>
          </cell>
          <cell r="K24">
            <v>0.15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  <cell r="Q24">
            <v>0</v>
          </cell>
          <cell r="R24">
            <v>0</v>
          </cell>
        </row>
        <row r="25">
          <cell r="A25">
            <v>20</v>
          </cell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0.15</v>
          </cell>
          <cell r="J25">
            <v>0</v>
          </cell>
          <cell r="K25">
            <v>0.15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  <cell r="Q25">
            <v>0</v>
          </cell>
          <cell r="R25">
            <v>0</v>
          </cell>
        </row>
        <row r="26">
          <cell r="A26">
            <v>21</v>
          </cell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  <cell r="R26">
            <v>0</v>
          </cell>
        </row>
        <row r="27">
          <cell r="A27">
            <v>22</v>
          </cell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0.3</v>
          </cell>
          <cell r="J27">
            <v>0</v>
          </cell>
          <cell r="K27">
            <v>0.3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  <cell r="Q27">
            <v>0</v>
          </cell>
          <cell r="R27">
            <v>0</v>
          </cell>
        </row>
        <row r="28">
          <cell r="A28">
            <v>23</v>
          </cell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  <cell r="Q28">
            <v>0</v>
          </cell>
          <cell r="R28">
            <v>0</v>
          </cell>
        </row>
        <row r="29">
          <cell r="A29">
            <v>24</v>
          </cell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0.3</v>
          </cell>
          <cell r="J29">
            <v>0</v>
          </cell>
          <cell r="K29">
            <v>0.3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</v>
          </cell>
          <cell r="Q29">
            <v>0</v>
          </cell>
          <cell r="R29">
            <v>0</v>
          </cell>
        </row>
        <row r="30">
          <cell r="A30">
            <v>25</v>
          </cell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  <cell r="Q30">
            <v>0</v>
          </cell>
          <cell r="R30">
            <v>0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F31">
            <v>0.45</v>
          </cell>
          <cell r="G31">
            <v>0</v>
          </cell>
          <cell r="H31">
            <v>0.45</v>
          </cell>
          <cell r="I31">
            <v>0.45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4</v>
          </cell>
          <cell r="Q31">
            <v>0</v>
          </cell>
          <cell r="R31">
            <v>0</v>
          </cell>
        </row>
        <row r="32">
          <cell r="A32">
            <v>27</v>
          </cell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0.45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</v>
          </cell>
          <cell r="Q32">
            <v>0</v>
          </cell>
          <cell r="R32">
            <v>0</v>
          </cell>
        </row>
        <row r="33">
          <cell r="A33">
            <v>28</v>
          </cell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0.9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</v>
          </cell>
          <cell r="Q33">
            <v>0</v>
          </cell>
          <cell r="R33">
            <v>0</v>
          </cell>
        </row>
        <row r="34">
          <cell r="A34">
            <v>29</v>
          </cell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1.2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</row>
        <row r="35">
          <cell r="A35">
            <v>30</v>
          </cell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1.34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6</v>
          </cell>
          <cell r="Q35">
            <v>0</v>
          </cell>
          <cell r="R35">
            <v>0</v>
          </cell>
        </row>
        <row r="36">
          <cell r="A36">
            <v>31</v>
          </cell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1.65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</v>
          </cell>
          <cell r="Q36">
            <v>0</v>
          </cell>
          <cell r="R36">
            <v>0</v>
          </cell>
        </row>
        <row r="37">
          <cell r="A37">
            <v>32</v>
          </cell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1.8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  <cell r="Q37">
            <v>0</v>
          </cell>
          <cell r="R37">
            <v>0</v>
          </cell>
        </row>
        <row r="38">
          <cell r="A38">
            <v>33</v>
          </cell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2.54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</v>
          </cell>
          <cell r="Q38">
            <v>0</v>
          </cell>
          <cell r="R38">
            <v>0</v>
          </cell>
        </row>
        <row r="39">
          <cell r="A39">
            <v>34</v>
          </cell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2.69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8</v>
          </cell>
          <cell r="Q39">
            <v>0</v>
          </cell>
          <cell r="R39">
            <v>0</v>
          </cell>
        </row>
        <row r="40">
          <cell r="A40">
            <v>35</v>
          </cell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2.4300000000000002</v>
          </cell>
          <cell r="J40">
            <v>1.47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</v>
          </cell>
          <cell r="Q40">
            <v>0</v>
          </cell>
          <cell r="R40">
            <v>0</v>
          </cell>
        </row>
        <row r="41">
          <cell r="A41">
            <v>36</v>
          </cell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3.04</v>
          </cell>
          <cell r="J41">
            <v>3.11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</v>
          </cell>
          <cell r="Q41">
            <v>0</v>
          </cell>
          <cell r="R41">
            <v>0</v>
          </cell>
        </row>
        <row r="42">
          <cell r="A42">
            <v>37</v>
          </cell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1.42</v>
          </cell>
          <cell r="J42">
            <v>1.27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</v>
          </cell>
          <cell r="Q42">
            <v>0</v>
          </cell>
          <cell r="R42">
            <v>0</v>
          </cell>
        </row>
        <row r="43">
          <cell r="A43">
            <v>38</v>
          </cell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1.62</v>
          </cell>
          <cell r="J43">
            <v>1.38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</row>
        <row r="44">
          <cell r="A44">
            <v>39</v>
          </cell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1.82</v>
          </cell>
          <cell r="J44">
            <v>1.48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6</v>
          </cell>
          <cell r="Q44">
            <v>0</v>
          </cell>
          <cell r="R44">
            <v>0</v>
          </cell>
        </row>
        <row r="45">
          <cell r="A45" t="str">
            <v>AVE.</v>
          </cell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2.0299999999999998</v>
          </cell>
          <cell r="J45">
            <v>1.72</v>
          </cell>
          <cell r="K45">
            <v>3.75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</v>
          </cell>
          <cell r="Q45">
            <v>0</v>
          </cell>
          <cell r="R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2.23</v>
          </cell>
          <cell r="G46">
            <v>2.27</v>
          </cell>
          <cell r="H46">
            <v>4.5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2.4300000000000002</v>
          </cell>
          <cell r="J47">
            <v>2.0699999999999998</v>
          </cell>
          <cell r="K47">
            <v>4.5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F48">
            <v>2.64</v>
          </cell>
          <cell r="G48">
            <v>4.8600000000000003</v>
          </cell>
          <cell r="H48">
            <v>7.5</v>
          </cell>
          <cell r="I48">
            <v>2.64</v>
          </cell>
          <cell r="J48">
            <v>4.8600000000000003</v>
          </cell>
          <cell r="K48">
            <v>7.5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F49">
            <v>2.84</v>
          </cell>
          <cell r="G49">
            <v>5.26</v>
          </cell>
          <cell r="H49">
            <v>8.1</v>
          </cell>
          <cell r="I49">
            <v>2.84</v>
          </cell>
          <cell r="J49">
            <v>5.26</v>
          </cell>
          <cell r="K49">
            <v>8.1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3.04</v>
          </cell>
          <cell r="J50">
            <v>5.66</v>
          </cell>
          <cell r="K50">
            <v>8.6999999999999993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3.24</v>
          </cell>
          <cell r="J51">
            <v>6.06</v>
          </cell>
          <cell r="K51">
            <v>9.3000000000000007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3.45</v>
          </cell>
          <cell r="J52">
            <v>6.44</v>
          </cell>
          <cell r="K52">
            <v>9.89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12</v>
          </cell>
          <cell r="Q52">
            <v>0</v>
          </cell>
          <cell r="R52">
            <v>0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F53">
            <v>3.65</v>
          </cell>
          <cell r="G53">
            <v>6.84</v>
          </cell>
          <cell r="H53">
            <v>10.49</v>
          </cell>
          <cell r="I53">
            <v>3.65</v>
          </cell>
          <cell r="J53">
            <v>6.84</v>
          </cell>
          <cell r="K53">
            <v>10.49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F54">
            <v>7.0000000000000007E-2</v>
          </cell>
          <cell r="G54">
            <v>7.0000000000000007E-2</v>
          </cell>
          <cell r="H54">
            <v>2</v>
          </cell>
          <cell r="I54">
            <v>7.0000000000000007E-2</v>
          </cell>
          <cell r="J54">
            <v>0</v>
          </cell>
          <cell r="K54">
            <v>7.0000000000000007E-2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F55">
            <v>7.0000000000000007E-2</v>
          </cell>
          <cell r="G55">
            <v>7.0000000000000007E-2</v>
          </cell>
          <cell r="H55">
            <v>2</v>
          </cell>
          <cell r="I55">
            <v>7.0000000000000007E-2</v>
          </cell>
          <cell r="J55">
            <v>0</v>
          </cell>
          <cell r="K55">
            <v>7.0000000000000007E-2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F56">
            <v>7.0000000000000007E-2</v>
          </cell>
          <cell r="G56">
            <v>7.0000000000000007E-2</v>
          </cell>
          <cell r="H56">
            <v>2</v>
          </cell>
          <cell r="I56">
            <v>7.0000000000000007E-2</v>
          </cell>
          <cell r="J56">
            <v>0</v>
          </cell>
          <cell r="K56">
            <v>7.0000000000000007E-2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F57">
            <v>7.0000000000000007E-2</v>
          </cell>
          <cell r="G57">
            <v>7.0000000000000007E-2</v>
          </cell>
          <cell r="H57">
            <v>2</v>
          </cell>
          <cell r="I57">
            <v>7.0000000000000007E-2</v>
          </cell>
          <cell r="J57">
            <v>0</v>
          </cell>
          <cell r="K57">
            <v>7.0000000000000007E-2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F58">
            <v>7.0000000000000007E-2</v>
          </cell>
          <cell r="G58">
            <v>7.0000000000000007E-2</v>
          </cell>
          <cell r="H58">
            <v>2</v>
          </cell>
          <cell r="I58">
            <v>7.0000000000000007E-2</v>
          </cell>
          <cell r="J58">
            <v>0</v>
          </cell>
          <cell r="K58">
            <v>7.0000000000000007E-2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F59">
            <v>7.0000000000000007E-2</v>
          </cell>
          <cell r="G59">
            <v>7.0000000000000007E-2</v>
          </cell>
          <cell r="H59">
            <v>2</v>
          </cell>
          <cell r="I59">
            <v>7.0000000000000007E-2</v>
          </cell>
          <cell r="J59">
            <v>0</v>
          </cell>
          <cell r="K59">
            <v>7.0000000000000007E-2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F60">
            <v>7.0000000000000007E-2</v>
          </cell>
          <cell r="G60">
            <v>0</v>
          </cell>
          <cell r="H60">
            <v>7.0000000000000007E-2</v>
          </cell>
          <cell r="I60">
            <v>7.0000000000000007E-2</v>
          </cell>
          <cell r="J60">
            <v>0</v>
          </cell>
          <cell r="K60">
            <v>7.0000000000000007E-2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F61">
            <v>7.0000000000000007E-2</v>
          </cell>
          <cell r="G61">
            <v>0</v>
          </cell>
          <cell r="H61">
            <v>7.0000000000000007E-2</v>
          </cell>
          <cell r="I61">
            <v>7.0000000000000007E-2</v>
          </cell>
          <cell r="J61">
            <v>0</v>
          </cell>
          <cell r="K61">
            <v>7.0000000000000007E-2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F62">
            <v>7.0000000000000007E-2</v>
          </cell>
          <cell r="G62">
            <v>0</v>
          </cell>
          <cell r="H62">
            <v>7.0000000000000007E-2</v>
          </cell>
          <cell r="I62">
            <v>7.0000000000000007E-2</v>
          </cell>
          <cell r="J62">
            <v>0</v>
          </cell>
          <cell r="K62">
            <v>7.0000000000000007E-2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F63">
            <v>7.0000000000000007E-2</v>
          </cell>
          <cell r="G63">
            <v>0</v>
          </cell>
          <cell r="H63">
            <v>7.0000000000000007E-2</v>
          </cell>
          <cell r="I63">
            <v>7.0000000000000007E-2</v>
          </cell>
          <cell r="J63">
            <v>0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F64">
            <v>7.0000000000000007E-2</v>
          </cell>
          <cell r="G64">
            <v>0</v>
          </cell>
          <cell r="H64">
            <v>7.0000000000000007E-2</v>
          </cell>
          <cell r="I64">
            <v>7.0000000000000007E-2</v>
          </cell>
          <cell r="J64">
            <v>0</v>
          </cell>
          <cell r="K64">
            <v>7.0000000000000007E-2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F65">
            <v>7.0000000000000007E-2</v>
          </cell>
          <cell r="G65">
            <v>0</v>
          </cell>
          <cell r="H65">
            <v>7.0000000000000007E-2</v>
          </cell>
          <cell r="I65">
            <v>7.0000000000000007E-2</v>
          </cell>
          <cell r="J65">
            <v>0</v>
          </cell>
          <cell r="K65">
            <v>7.0000000000000007E-2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F66">
            <v>7.0000000000000007E-2</v>
          </cell>
          <cell r="G66">
            <v>0</v>
          </cell>
          <cell r="H66">
            <v>7.0000000000000007E-2</v>
          </cell>
          <cell r="I66">
            <v>7.0000000000000007E-2</v>
          </cell>
          <cell r="J66">
            <v>0</v>
          </cell>
          <cell r="K66">
            <v>7.0000000000000007E-2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F67">
            <v>7.0000000000000007E-2</v>
          </cell>
          <cell r="G67">
            <v>0</v>
          </cell>
          <cell r="H67">
            <v>7.0000000000000007E-2</v>
          </cell>
          <cell r="I67">
            <v>7.0000000000000007E-2</v>
          </cell>
          <cell r="J67">
            <v>0</v>
          </cell>
          <cell r="K67">
            <v>7.0000000000000007E-2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F68">
            <v>7.0000000000000007E-2</v>
          </cell>
          <cell r="G68">
            <v>0</v>
          </cell>
          <cell r="H68">
            <v>7.0000000000000007E-2</v>
          </cell>
          <cell r="I68">
            <v>7.0000000000000007E-2</v>
          </cell>
          <cell r="J68">
            <v>0</v>
          </cell>
          <cell r="K68">
            <v>7.0000000000000007E-2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F69">
            <v>0.12</v>
          </cell>
          <cell r="G69">
            <v>0</v>
          </cell>
          <cell r="H69">
            <v>0.12</v>
          </cell>
          <cell r="I69">
            <v>0.12</v>
          </cell>
          <cell r="J69">
            <v>0</v>
          </cell>
          <cell r="K69">
            <v>0.12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F70">
            <v>0.12</v>
          </cell>
          <cell r="G70">
            <v>0</v>
          </cell>
          <cell r="H70">
            <v>0.12</v>
          </cell>
          <cell r="I70">
            <v>0.12</v>
          </cell>
          <cell r="J70">
            <v>0</v>
          </cell>
          <cell r="K70">
            <v>0.12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F71">
            <v>0.12</v>
          </cell>
          <cell r="G71">
            <v>0</v>
          </cell>
          <cell r="H71">
            <v>0.12</v>
          </cell>
          <cell r="I71">
            <v>0.12</v>
          </cell>
          <cell r="J71">
            <v>0</v>
          </cell>
          <cell r="K71">
            <v>0.12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F72">
            <v>0.15</v>
          </cell>
          <cell r="G72">
            <v>0.15</v>
          </cell>
          <cell r="H72">
            <v>2</v>
          </cell>
          <cell r="I72">
            <v>0.15</v>
          </cell>
          <cell r="J72">
            <v>0</v>
          </cell>
          <cell r="K72">
            <v>0.15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F73">
            <v>0.15</v>
          </cell>
          <cell r="G73">
            <v>0.15</v>
          </cell>
          <cell r="H73">
            <v>2</v>
          </cell>
          <cell r="I73">
            <v>0.15</v>
          </cell>
          <cell r="J73">
            <v>0</v>
          </cell>
          <cell r="K73">
            <v>0.15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  <cell r="Q73">
            <v>0</v>
          </cell>
          <cell r="R73">
            <v>0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F74">
            <v>0.15</v>
          </cell>
          <cell r="G74">
            <v>0.15</v>
          </cell>
          <cell r="H74">
            <v>2</v>
          </cell>
          <cell r="I74">
            <v>0.15</v>
          </cell>
          <cell r="J74">
            <v>0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F75">
            <v>0.15</v>
          </cell>
          <cell r="G75">
            <v>0</v>
          </cell>
          <cell r="H75">
            <v>0.15</v>
          </cell>
          <cell r="I75">
            <v>0.15</v>
          </cell>
          <cell r="J75">
            <v>0</v>
          </cell>
          <cell r="K75">
            <v>0.15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F76">
            <v>0.15</v>
          </cell>
          <cell r="G76">
            <v>0</v>
          </cell>
          <cell r="H76">
            <v>0.15</v>
          </cell>
          <cell r="I76">
            <v>0.15</v>
          </cell>
          <cell r="J76">
            <v>0</v>
          </cell>
          <cell r="K76">
            <v>0.15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F77">
            <v>0.15</v>
          </cell>
          <cell r="G77">
            <v>0</v>
          </cell>
          <cell r="H77">
            <v>0.15</v>
          </cell>
          <cell r="I77">
            <v>0.15</v>
          </cell>
          <cell r="J77">
            <v>0</v>
          </cell>
          <cell r="K77">
            <v>0.15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F78">
            <v>0.15</v>
          </cell>
          <cell r="G78">
            <v>0</v>
          </cell>
          <cell r="H78">
            <v>0.15</v>
          </cell>
          <cell r="I78">
            <v>0.15</v>
          </cell>
          <cell r="J78">
            <v>0</v>
          </cell>
          <cell r="K78">
            <v>0.15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F79">
            <v>0.15</v>
          </cell>
          <cell r="G79">
            <v>0</v>
          </cell>
          <cell r="H79">
            <v>0.15</v>
          </cell>
          <cell r="I79">
            <v>0.15</v>
          </cell>
          <cell r="J79">
            <v>0</v>
          </cell>
          <cell r="K79">
            <v>0.15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F80">
            <v>0.15</v>
          </cell>
          <cell r="G80">
            <v>0</v>
          </cell>
          <cell r="H80">
            <v>0.15</v>
          </cell>
          <cell r="I80">
            <v>0.15</v>
          </cell>
          <cell r="J80">
            <v>0</v>
          </cell>
          <cell r="K80">
            <v>0.15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F81">
            <v>0.15</v>
          </cell>
          <cell r="G81">
            <v>0</v>
          </cell>
          <cell r="H81">
            <v>0.15</v>
          </cell>
          <cell r="I81">
            <v>0.15</v>
          </cell>
          <cell r="J81">
            <v>0</v>
          </cell>
          <cell r="K81">
            <v>0.15</v>
          </cell>
          <cell r="L81">
            <v>0</v>
          </cell>
          <cell r="M81">
            <v>0</v>
          </cell>
          <cell r="N81">
            <v>0</v>
          </cell>
          <cell r="O81">
            <v>2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F82">
            <v>0.3</v>
          </cell>
          <cell r="G82">
            <v>0</v>
          </cell>
          <cell r="H82">
            <v>0.3</v>
          </cell>
          <cell r="I82">
            <v>0.3</v>
          </cell>
          <cell r="J82">
            <v>0</v>
          </cell>
          <cell r="K82">
            <v>0.3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F83">
            <v>0.3</v>
          </cell>
          <cell r="G83">
            <v>0.3</v>
          </cell>
          <cell r="H83">
            <v>3</v>
          </cell>
          <cell r="I83">
            <v>0.3</v>
          </cell>
          <cell r="J83">
            <v>0</v>
          </cell>
          <cell r="K83">
            <v>0.3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F84">
            <v>0.45</v>
          </cell>
          <cell r="G84">
            <v>0</v>
          </cell>
          <cell r="H84">
            <v>0.45</v>
          </cell>
          <cell r="I84">
            <v>0.45</v>
          </cell>
          <cell r="J84">
            <v>0</v>
          </cell>
          <cell r="K84">
            <v>0.45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F85">
            <v>0.45</v>
          </cell>
          <cell r="G85">
            <v>0.45</v>
          </cell>
          <cell r="H85">
            <v>4</v>
          </cell>
          <cell r="I85">
            <v>0.45</v>
          </cell>
          <cell r="J85">
            <v>0</v>
          </cell>
          <cell r="K85">
            <v>0.45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F86">
            <v>0.6</v>
          </cell>
          <cell r="G86">
            <v>0</v>
          </cell>
          <cell r="H86">
            <v>0.6</v>
          </cell>
          <cell r="I86">
            <v>0.6</v>
          </cell>
          <cell r="J86">
            <v>0</v>
          </cell>
          <cell r="K86">
            <v>0.6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F87">
            <v>0.6</v>
          </cell>
          <cell r="G87">
            <v>0</v>
          </cell>
          <cell r="H87">
            <v>0.6</v>
          </cell>
          <cell r="I87">
            <v>0.6</v>
          </cell>
          <cell r="J87">
            <v>0</v>
          </cell>
          <cell r="K87">
            <v>0.6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F88">
            <v>1.2</v>
          </cell>
          <cell r="G88">
            <v>0</v>
          </cell>
          <cell r="H88">
            <v>1.2</v>
          </cell>
          <cell r="I88">
            <v>1.2</v>
          </cell>
          <cell r="J88">
            <v>0</v>
          </cell>
          <cell r="K88">
            <v>1.2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F89">
            <v>1.5</v>
          </cell>
          <cell r="G89">
            <v>0</v>
          </cell>
          <cell r="H89">
            <v>1.5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0</v>
          </cell>
          <cell r="G90">
            <v>0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F91">
            <v>1.95</v>
          </cell>
          <cell r="G91">
            <v>0</v>
          </cell>
          <cell r="H91">
            <v>1.95</v>
          </cell>
          <cell r="I91">
            <v>1.95</v>
          </cell>
          <cell r="J91">
            <v>0</v>
          </cell>
          <cell r="K91">
            <v>1.95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F92">
            <v>2.25</v>
          </cell>
          <cell r="G92">
            <v>0</v>
          </cell>
          <cell r="H92">
            <v>2.25</v>
          </cell>
          <cell r="I92">
            <v>2.25</v>
          </cell>
          <cell r="J92">
            <v>0</v>
          </cell>
          <cell r="K92">
            <v>2.25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F93">
            <v>2.0299999999999998</v>
          </cell>
          <cell r="G93">
            <v>1.1200000000000001</v>
          </cell>
          <cell r="H93">
            <v>3.15</v>
          </cell>
          <cell r="I93">
            <v>2.0299999999999998</v>
          </cell>
          <cell r="J93">
            <v>1.1200000000000001</v>
          </cell>
          <cell r="K93">
            <v>3.15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F94">
            <v>2.23</v>
          </cell>
          <cell r="G94">
            <v>1.37</v>
          </cell>
          <cell r="H94">
            <v>3.6</v>
          </cell>
          <cell r="I94">
            <v>2.23</v>
          </cell>
          <cell r="J94">
            <v>1.37</v>
          </cell>
          <cell r="K94">
            <v>3.6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F95">
            <v>2.4300000000000002</v>
          </cell>
          <cell r="G95">
            <v>2.0699999999999998</v>
          </cell>
          <cell r="H95">
            <v>4.5</v>
          </cell>
          <cell r="I95">
            <v>2.4300000000000002</v>
          </cell>
          <cell r="J95">
            <v>2.0699999999999998</v>
          </cell>
          <cell r="K95">
            <v>4.5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F96">
            <v>3.04</v>
          </cell>
          <cell r="G96">
            <v>5.66</v>
          </cell>
          <cell r="H96">
            <v>8.6999999999999993</v>
          </cell>
          <cell r="I96">
            <v>3.04</v>
          </cell>
          <cell r="J96">
            <v>5.66</v>
          </cell>
          <cell r="K96">
            <v>8.6999999999999993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F97">
            <v>0.81</v>
          </cell>
          <cell r="G97">
            <v>0.99</v>
          </cell>
          <cell r="H97">
            <v>1.8</v>
          </cell>
          <cell r="I97">
            <v>0.81</v>
          </cell>
          <cell r="J97">
            <v>0.99</v>
          </cell>
          <cell r="K97">
            <v>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F98">
            <v>1.01</v>
          </cell>
          <cell r="G98">
            <v>1.0900000000000001</v>
          </cell>
          <cell r="H98">
            <v>2.1</v>
          </cell>
          <cell r="I98">
            <v>1.01</v>
          </cell>
          <cell r="J98">
            <v>1.0900000000000001</v>
          </cell>
          <cell r="K98">
            <v>2.1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F99">
            <v>1.22</v>
          </cell>
          <cell r="G99">
            <v>1.32</v>
          </cell>
          <cell r="H99">
            <v>2.54</v>
          </cell>
          <cell r="I99">
            <v>1.22</v>
          </cell>
          <cell r="J99">
            <v>1.32</v>
          </cell>
          <cell r="K99">
            <v>2.54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F100">
            <v>1.42</v>
          </cell>
          <cell r="G100">
            <v>2.48</v>
          </cell>
          <cell r="H100">
            <v>3.9</v>
          </cell>
          <cell r="I100">
            <v>1.42</v>
          </cell>
          <cell r="J100">
            <v>2.48</v>
          </cell>
          <cell r="K100">
            <v>3.9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F101">
            <v>1.62</v>
          </cell>
          <cell r="G101">
            <v>2.73</v>
          </cell>
          <cell r="H101">
            <v>4.3499999999999996</v>
          </cell>
          <cell r="I101">
            <v>1.62</v>
          </cell>
          <cell r="J101">
            <v>2.73</v>
          </cell>
          <cell r="K101">
            <v>4.3499999999999996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F102">
            <v>1.82</v>
          </cell>
          <cell r="G102">
            <v>3.12</v>
          </cell>
          <cell r="H102">
            <v>4.9400000000000004</v>
          </cell>
          <cell r="I102">
            <v>1.82</v>
          </cell>
          <cell r="J102">
            <v>3.12</v>
          </cell>
          <cell r="K102">
            <v>4.9400000000000004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F103">
            <v>2.0299999999999998</v>
          </cell>
          <cell r="G103">
            <v>5.47</v>
          </cell>
          <cell r="H103">
            <v>7.5</v>
          </cell>
          <cell r="I103">
            <v>2.0299999999999998</v>
          </cell>
          <cell r="J103">
            <v>5.47</v>
          </cell>
          <cell r="K103">
            <v>7.5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F104">
            <v>2.23</v>
          </cell>
          <cell r="G104">
            <v>6.47</v>
          </cell>
          <cell r="H104">
            <v>8.6999999999999993</v>
          </cell>
          <cell r="I104">
            <v>2.23</v>
          </cell>
          <cell r="J104">
            <v>6.47</v>
          </cell>
          <cell r="K104">
            <v>8.6999999999999993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F105">
            <v>2.4300000000000002</v>
          </cell>
          <cell r="G105">
            <v>6.57</v>
          </cell>
          <cell r="H105">
            <v>9</v>
          </cell>
          <cell r="I105">
            <v>2.4300000000000002</v>
          </cell>
          <cell r="J105">
            <v>6.57</v>
          </cell>
          <cell r="K105">
            <v>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F106">
            <v>2.64</v>
          </cell>
          <cell r="G106">
            <v>13.86</v>
          </cell>
          <cell r="H106">
            <v>16.5</v>
          </cell>
          <cell r="I106">
            <v>2.64</v>
          </cell>
          <cell r="J106">
            <v>13.86</v>
          </cell>
          <cell r="K106">
            <v>16.5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F107">
            <v>2.84</v>
          </cell>
          <cell r="G107">
            <v>15.16</v>
          </cell>
          <cell r="H107">
            <v>18</v>
          </cell>
          <cell r="I107">
            <v>2.84</v>
          </cell>
          <cell r="J107">
            <v>15.16</v>
          </cell>
          <cell r="K107">
            <v>18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F108">
            <v>3.04</v>
          </cell>
          <cell r="G108">
            <v>16.45</v>
          </cell>
          <cell r="H108">
            <v>19.489999999999998</v>
          </cell>
          <cell r="I108">
            <v>3.04</v>
          </cell>
          <cell r="J108">
            <v>16.45</v>
          </cell>
          <cell r="K108">
            <v>19.489999999999998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F109">
            <v>3.24</v>
          </cell>
          <cell r="G109">
            <v>17.75</v>
          </cell>
          <cell r="H109">
            <v>20.990000000000002</v>
          </cell>
          <cell r="I109">
            <v>3.24</v>
          </cell>
          <cell r="J109">
            <v>17.75</v>
          </cell>
          <cell r="K109">
            <v>20.990000000000002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F110">
            <v>3.45</v>
          </cell>
          <cell r="G110">
            <v>18.54</v>
          </cell>
          <cell r="H110">
            <v>21.99</v>
          </cell>
          <cell r="I110">
            <v>3.45</v>
          </cell>
          <cell r="J110">
            <v>18.54</v>
          </cell>
          <cell r="K110">
            <v>21.99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F111">
            <v>3.65</v>
          </cell>
          <cell r="G111">
            <v>18.84</v>
          </cell>
          <cell r="H111">
            <v>22.49</v>
          </cell>
          <cell r="I111">
            <v>3.65</v>
          </cell>
          <cell r="J111">
            <v>18.84</v>
          </cell>
          <cell r="K111">
            <v>22.49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F112">
            <v>0.81</v>
          </cell>
          <cell r="G112">
            <v>1.1399999999999999</v>
          </cell>
          <cell r="H112">
            <v>1.95</v>
          </cell>
          <cell r="I112">
            <v>0.81</v>
          </cell>
          <cell r="J112">
            <v>1.1399999999999999</v>
          </cell>
          <cell r="K112">
            <v>1.95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F113">
            <v>1.01</v>
          </cell>
          <cell r="G113">
            <v>1.99</v>
          </cell>
          <cell r="H113">
            <v>3</v>
          </cell>
          <cell r="I113">
            <v>1.01</v>
          </cell>
          <cell r="J113">
            <v>1.99</v>
          </cell>
          <cell r="K113">
            <v>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</v>
          </cell>
          <cell r="Q113">
            <v>0</v>
          </cell>
          <cell r="R113">
            <v>0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F114">
            <v>1.22</v>
          </cell>
          <cell r="G114">
            <v>2.68</v>
          </cell>
          <cell r="H114">
            <v>3.9000000000000004</v>
          </cell>
          <cell r="I114">
            <v>1.22</v>
          </cell>
          <cell r="J114">
            <v>2.68</v>
          </cell>
          <cell r="K114">
            <v>3.9000000000000004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F115">
            <v>1.42</v>
          </cell>
          <cell r="G115">
            <v>3.97</v>
          </cell>
          <cell r="H115">
            <v>5.3900000000000006</v>
          </cell>
          <cell r="I115">
            <v>1.42</v>
          </cell>
          <cell r="J115">
            <v>3.97</v>
          </cell>
          <cell r="K115">
            <v>5.3900000000000006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F116">
            <v>1.62</v>
          </cell>
          <cell r="G116">
            <v>4.68</v>
          </cell>
          <cell r="H116">
            <v>6.3</v>
          </cell>
          <cell r="I116">
            <v>1.62</v>
          </cell>
          <cell r="J116">
            <v>4.68</v>
          </cell>
          <cell r="K116">
            <v>6.3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F117">
            <v>1.82</v>
          </cell>
          <cell r="G117">
            <v>6.88</v>
          </cell>
          <cell r="H117">
            <v>8.6999999999999993</v>
          </cell>
          <cell r="I117">
            <v>1.82</v>
          </cell>
          <cell r="J117">
            <v>6.88</v>
          </cell>
          <cell r="K117">
            <v>8.6999999999999993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F118">
            <v>2.0299999999999998</v>
          </cell>
          <cell r="G118">
            <v>10.42</v>
          </cell>
          <cell r="H118">
            <v>12.45</v>
          </cell>
          <cell r="I118">
            <v>2.0299999999999998</v>
          </cell>
          <cell r="J118">
            <v>10.42</v>
          </cell>
          <cell r="K118">
            <v>12.45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F119">
            <v>2.23</v>
          </cell>
          <cell r="G119">
            <v>11.72</v>
          </cell>
          <cell r="H119">
            <v>13.950000000000001</v>
          </cell>
          <cell r="I119">
            <v>2.23</v>
          </cell>
          <cell r="J119">
            <v>11.72</v>
          </cell>
          <cell r="K119">
            <v>13.950000000000001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F120">
            <v>2.4300000000000002</v>
          </cell>
          <cell r="G120">
            <v>15.57</v>
          </cell>
          <cell r="H120">
            <v>18</v>
          </cell>
          <cell r="I120">
            <v>2.4300000000000002</v>
          </cell>
          <cell r="J120">
            <v>15.57</v>
          </cell>
          <cell r="K120">
            <v>18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F121">
            <v>2.84</v>
          </cell>
          <cell r="G121">
            <v>22.65</v>
          </cell>
          <cell r="H121">
            <v>25.49</v>
          </cell>
          <cell r="I121">
            <v>2.84</v>
          </cell>
          <cell r="J121">
            <v>22.65</v>
          </cell>
          <cell r="K121">
            <v>25.49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F122">
            <v>3.04</v>
          </cell>
          <cell r="G122">
            <v>23.96</v>
          </cell>
          <cell r="H122">
            <v>27</v>
          </cell>
          <cell r="I122">
            <v>3.04</v>
          </cell>
          <cell r="J122">
            <v>23.96</v>
          </cell>
          <cell r="K122">
            <v>27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F123">
            <v>3.24</v>
          </cell>
          <cell r="G123">
            <v>26.76</v>
          </cell>
          <cell r="H123">
            <v>30</v>
          </cell>
          <cell r="I123">
            <v>3.24</v>
          </cell>
          <cell r="J123">
            <v>26.76</v>
          </cell>
          <cell r="K123">
            <v>30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F124">
            <v>3.45</v>
          </cell>
          <cell r="G124">
            <v>28.05</v>
          </cell>
          <cell r="H124">
            <v>31.5</v>
          </cell>
          <cell r="I124">
            <v>3.45</v>
          </cell>
          <cell r="J124">
            <v>28.05</v>
          </cell>
          <cell r="K124">
            <v>31.5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F125">
            <v>3.65</v>
          </cell>
          <cell r="G125">
            <v>29.35</v>
          </cell>
          <cell r="H125">
            <v>33</v>
          </cell>
          <cell r="I125">
            <v>3.65</v>
          </cell>
          <cell r="J125">
            <v>29.35</v>
          </cell>
          <cell r="K125">
            <v>33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F126">
            <v>7.0000000000000007E-2</v>
          </cell>
          <cell r="G126">
            <v>7.0000000000000007E-2</v>
          </cell>
          <cell r="H126">
            <v>2</v>
          </cell>
          <cell r="I126">
            <v>7.0000000000000007E-2</v>
          </cell>
          <cell r="J126">
            <v>0</v>
          </cell>
          <cell r="K126">
            <v>7.0000000000000007E-2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F127">
            <v>7.0000000000000007E-2</v>
          </cell>
          <cell r="G127">
            <v>7.0000000000000007E-2</v>
          </cell>
          <cell r="H127">
            <v>2</v>
          </cell>
          <cell r="I127">
            <v>7.0000000000000007E-2</v>
          </cell>
          <cell r="J127">
            <v>0</v>
          </cell>
          <cell r="K127">
            <v>7.0000000000000007E-2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F128">
            <v>7.0000000000000007E-2</v>
          </cell>
          <cell r="G128">
            <v>7.0000000000000007E-2</v>
          </cell>
          <cell r="H128">
            <v>2</v>
          </cell>
          <cell r="I128">
            <v>7.0000000000000007E-2</v>
          </cell>
          <cell r="J128">
            <v>0</v>
          </cell>
          <cell r="K128">
            <v>7.0000000000000007E-2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F129">
            <v>7.0000000000000007E-2</v>
          </cell>
          <cell r="G129">
            <v>7.0000000000000007E-2</v>
          </cell>
          <cell r="H129">
            <v>2</v>
          </cell>
          <cell r="I129">
            <v>7.0000000000000007E-2</v>
          </cell>
          <cell r="J129">
            <v>0</v>
          </cell>
          <cell r="K129">
            <v>7.0000000000000007E-2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7.0000000000000007E-2</v>
          </cell>
          <cell r="J130">
            <v>0</v>
          </cell>
          <cell r="K130">
            <v>7.0000000000000007E-2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F131">
            <v>7.0000000000000007E-2</v>
          </cell>
          <cell r="G131">
            <v>7.0000000000000007E-2</v>
          </cell>
          <cell r="H131">
            <v>2</v>
          </cell>
          <cell r="I131">
            <v>7.0000000000000007E-2</v>
          </cell>
          <cell r="J131">
            <v>0</v>
          </cell>
          <cell r="K131">
            <v>7.0000000000000007E-2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F132">
            <v>7.0000000000000007E-2</v>
          </cell>
          <cell r="G132">
            <v>0</v>
          </cell>
          <cell r="H132">
            <v>7.0000000000000007E-2</v>
          </cell>
          <cell r="I132">
            <v>7.0000000000000007E-2</v>
          </cell>
          <cell r="J132">
            <v>0</v>
          </cell>
          <cell r="K132">
            <v>7.0000000000000007E-2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F133">
            <v>7.0000000000000007E-2</v>
          </cell>
          <cell r="G133">
            <v>0</v>
          </cell>
          <cell r="H133">
            <v>7.0000000000000007E-2</v>
          </cell>
          <cell r="I133">
            <v>7.0000000000000007E-2</v>
          </cell>
          <cell r="J133">
            <v>0</v>
          </cell>
          <cell r="K133">
            <v>7.0000000000000007E-2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F134">
            <v>7.0000000000000007E-2</v>
          </cell>
          <cell r="G134">
            <v>0</v>
          </cell>
          <cell r="H134">
            <v>7.0000000000000007E-2</v>
          </cell>
          <cell r="I134">
            <v>7.0000000000000007E-2</v>
          </cell>
          <cell r="J134">
            <v>0</v>
          </cell>
          <cell r="K134">
            <v>7.0000000000000007E-2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F135">
            <v>7.0000000000000007E-2</v>
          </cell>
          <cell r="G135">
            <v>0</v>
          </cell>
          <cell r="H135">
            <v>7.0000000000000007E-2</v>
          </cell>
          <cell r="I135">
            <v>7.0000000000000007E-2</v>
          </cell>
          <cell r="J135">
            <v>0</v>
          </cell>
          <cell r="K135">
            <v>7.0000000000000007E-2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F136">
            <v>7.0000000000000007E-2</v>
          </cell>
          <cell r="G136">
            <v>0</v>
          </cell>
          <cell r="H136">
            <v>7.0000000000000007E-2</v>
          </cell>
          <cell r="I136">
            <v>7.0000000000000007E-2</v>
          </cell>
          <cell r="J136">
            <v>0</v>
          </cell>
          <cell r="K136">
            <v>7.0000000000000007E-2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F137">
            <v>7.0000000000000007E-2</v>
          </cell>
          <cell r="G137">
            <v>0</v>
          </cell>
          <cell r="H137">
            <v>7.0000000000000007E-2</v>
          </cell>
          <cell r="I137">
            <v>7.0000000000000007E-2</v>
          </cell>
          <cell r="J137">
            <v>0</v>
          </cell>
          <cell r="K137">
            <v>7.0000000000000007E-2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F138">
            <v>7.0000000000000007E-2</v>
          </cell>
          <cell r="G138">
            <v>0</v>
          </cell>
          <cell r="H138">
            <v>7.0000000000000007E-2</v>
          </cell>
          <cell r="I138">
            <v>7.0000000000000007E-2</v>
          </cell>
          <cell r="J138">
            <v>0</v>
          </cell>
          <cell r="K138">
            <v>7.0000000000000007E-2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F139">
            <v>7.0000000000000007E-2</v>
          </cell>
          <cell r="G139">
            <v>0</v>
          </cell>
          <cell r="H139">
            <v>7.0000000000000007E-2</v>
          </cell>
          <cell r="I139">
            <v>7.0000000000000007E-2</v>
          </cell>
          <cell r="J139">
            <v>0</v>
          </cell>
          <cell r="K139">
            <v>7.0000000000000007E-2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F140">
            <v>7.0000000000000007E-2</v>
          </cell>
          <cell r="G140">
            <v>0</v>
          </cell>
          <cell r="H140">
            <v>7.0000000000000007E-2</v>
          </cell>
          <cell r="I140">
            <v>7.0000000000000007E-2</v>
          </cell>
          <cell r="J140">
            <v>0</v>
          </cell>
          <cell r="K140">
            <v>7.0000000000000007E-2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F141">
            <v>0.12</v>
          </cell>
          <cell r="G141">
            <v>0</v>
          </cell>
          <cell r="H141">
            <v>0.12</v>
          </cell>
          <cell r="I141">
            <v>0.12</v>
          </cell>
          <cell r="J141">
            <v>0</v>
          </cell>
          <cell r="K141">
            <v>0.12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F142">
            <v>0.12</v>
          </cell>
          <cell r="G142">
            <v>0</v>
          </cell>
          <cell r="H142">
            <v>0.12</v>
          </cell>
          <cell r="I142">
            <v>0.12</v>
          </cell>
          <cell r="J142">
            <v>0</v>
          </cell>
          <cell r="K142">
            <v>0.12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F143">
            <v>0.12</v>
          </cell>
          <cell r="G143">
            <v>0</v>
          </cell>
          <cell r="H143">
            <v>0.12</v>
          </cell>
          <cell r="I143">
            <v>0.12</v>
          </cell>
          <cell r="J143">
            <v>0</v>
          </cell>
          <cell r="K143">
            <v>0.12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F144">
            <v>0.15</v>
          </cell>
          <cell r="G144">
            <v>0.15</v>
          </cell>
          <cell r="H144">
            <v>2</v>
          </cell>
          <cell r="I144">
            <v>0.15</v>
          </cell>
          <cell r="J144">
            <v>0</v>
          </cell>
          <cell r="K144">
            <v>0.15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F145">
            <v>0.15</v>
          </cell>
          <cell r="G145">
            <v>0.15</v>
          </cell>
          <cell r="H145">
            <v>2</v>
          </cell>
          <cell r="I145">
            <v>0.15</v>
          </cell>
          <cell r="J145">
            <v>0</v>
          </cell>
          <cell r="K145">
            <v>0.15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F146">
            <v>0.15</v>
          </cell>
          <cell r="G146">
            <v>0.15</v>
          </cell>
          <cell r="H146">
            <v>2</v>
          </cell>
          <cell r="I146">
            <v>0.15</v>
          </cell>
          <cell r="J146">
            <v>0</v>
          </cell>
          <cell r="K146">
            <v>0.15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F147">
            <v>0.15</v>
          </cell>
          <cell r="G147">
            <v>0</v>
          </cell>
          <cell r="H147">
            <v>0.15</v>
          </cell>
          <cell r="I147">
            <v>0.15</v>
          </cell>
          <cell r="J147">
            <v>0</v>
          </cell>
          <cell r="K147">
            <v>0.15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F148">
            <v>0.15</v>
          </cell>
          <cell r="G148">
            <v>0</v>
          </cell>
          <cell r="H148">
            <v>0.15</v>
          </cell>
          <cell r="I148">
            <v>0.15</v>
          </cell>
          <cell r="J148">
            <v>0</v>
          </cell>
          <cell r="K148">
            <v>0.15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F149">
            <v>0.15</v>
          </cell>
          <cell r="G149">
            <v>0</v>
          </cell>
          <cell r="H149">
            <v>0.15</v>
          </cell>
          <cell r="I149">
            <v>0.15</v>
          </cell>
          <cell r="J149">
            <v>0</v>
          </cell>
          <cell r="K149">
            <v>0.15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F150">
            <v>0.3</v>
          </cell>
          <cell r="G150">
            <v>0</v>
          </cell>
          <cell r="H150">
            <v>0.3</v>
          </cell>
          <cell r="I150">
            <v>0.3</v>
          </cell>
          <cell r="J150">
            <v>0</v>
          </cell>
          <cell r="K150">
            <v>0.3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  <cell r="Q150">
            <v>0</v>
          </cell>
          <cell r="R150">
            <v>0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F151">
            <v>0.3</v>
          </cell>
          <cell r="G151">
            <v>0</v>
          </cell>
          <cell r="H151">
            <v>0.3</v>
          </cell>
          <cell r="I151">
            <v>0.3</v>
          </cell>
          <cell r="J151">
            <v>0</v>
          </cell>
          <cell r="K151">
            <v>0.3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F152">
            <v>0.3</v>
          </cell>
          <cell r="G152">
            <v>0</v>
          </cell>
          <cell r="H152">
            <v>0.3</v>
          </cell>
          <cell r="I152">
            <v>0.3</v>
          </cell>
          <cell r="J152">
            <v>0</v>
          </cell>
          <cell r="K152">
            <v>0.3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F153">
            <v>0.25</v>
          </cell>
          <cell r="G153">
            <v>0.2</v>
          </cell>
          <cell r="H153">
            <v>0.45</v>
          </cell>
          <cell r="I153">
            <v>0.25</v>
          </cell>
          <cell r="J153">
            <v>0.2</v>
          </cell>
          <cell r="K153">
            <v>0.45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F154">
            <v>0.3</v>
          </cell>
          <cell r="G154">
            <v>0.3</v>
          </cell>
          <cell r="H154">
            <v>0.6</v>
          </cell>
          <cell r="I154">
            <v>0.3</v>
          </cell>
          <cell r="J154">
            <v>0.3</v>
          </cell>
          <cell r="K154">
            <v>0.6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F155">
            <v>0.35</v>
          </cell>
          <cell r="G155">
            <v>0.4</v>
          </cell>
          <cell r="H155">
            <v>0.75</v>
          </cell>
          <cell r="I155">
            <v>0.35</v>
          </cell>
          <cell r="J155">
            <v>0.4</v>
          </cell>
          <cell r="K155">
            <v>0.75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F156">
            <v>0.41</v>
          </cell>
          <cell r="G156">
            <v>0.49</v>
          </cell>
          <cell r="H156">
            <v>0.89999999999999991</v>
          </cell>
          <cell r="I156">
            <v>0.41</v>
          </cell>
          <cell r="J156">
            <v>0.49</v>
          </cell>
          <cell r="K156">
            <v>0.89999999999999991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F157">
            <v>0.51</v>
          </cell>
          <cell r="G157">
            <v>0.54</v>
          </cell>
          <cell r="H157">
            <v>1.05</v>
          </cell>
          <cell r="I157">
            <v>0.51</v>
          </cell>
          <cell r="J157">
            <v>0.54</v>
          </cell>
          <cell r="K157">
            <v>1.05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F158">
            <v>0.61</v>
          </cell>
          <cell r="G158">
            <v>1.04</v>
          </cell>
          <cell r="H158">
            <v>1.65</v>
          </cell>
          <cell r="I158">
            <v>0.61</v>
          </cell>
          <cell r="J158">
            <v>1.04</v>
          </cell>
          <cell r="K158">
            <v>1.65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F159">
            <v>0.81</v>
          </cell>
          <cell r="G159">
            <v>1.73</v>
          </cell>
          <cell r="H159">
            <v>2.54</v>
          </cell>
          <cell r="I159">
            <v>0.81</v>
          </cell>
          <cell r="J159">
            <v>1.73</v>
          </cell>
          <cell r="K159">
            <v>2.54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F160">
            <v>1.01</v>
          </cell>
          <cell r="G160">
            <v>3.04</v>
          </cell>
          <cell r="H160">
            <v>4.05</v>
          </cell>
          <cell r="I160">
            <v>1.01</v>
          </cell>
          <cell r="J160">
            <v>3.04</v>
          </cell>
          <cell r="K160">
            <v>4.05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F161">
            <v>1.22</v>
          </cell>
          <cell r="G161">
            <v>4.0199999999999996</v>
          </cell>
          <cell r="H161">
            <v>5.2399999999999993</v>
          </cell>
          <cell r="I161">
            <v>1.22</v>
          </cell>
          <cell r="J161">
            <v>4.0199999999999996</v>
          </cell>
          <cell r="K161">
            <v>5.2399999999999993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F162">
            <v>1.42</v>
          </cell>
          <cell r="G162">
            <v>5.33</v>
          </cell>
          <cell r="H162">
            <v>6.75</v>
          </cell>
          <cell r="I162">
            <v>1.42</v>
          </cell>
          <cell r="J162">
            <v>5.33</v>
          </cell>
          <cell r="K162">
            <v>6.75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F163">
            <v>1.62</v>
          </cell>
          <cell r="G163">
            <v>8.42</v>
          </cell>
          <cell r="H163">
            <v>10.039999999999999</v>
          </cell>
          <cell r="I163">
            <v>1.62</v>
          </cell>
          <cell r="J163">
            <v>8.42</v>
          </cell>
          <cell r="K163">
            <v>10.039999999999999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F164">
            <v>1.82</v>
          </cell>
          <cell r="G164">
            <v>11.53</v>
          </cell>
          <cell r="H164">
            <v>13.35</v>
          </cell>
          <cell r="I164">
            <v>1.82</v>
          </cell>
          <cell r="J164">
            <v>11.53</v>
          </cell>
          <cell r="K164">
            <v>13.35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F165">
            <v>2.0299999999999998</v>
          </cell>
          <cell r="G165">
            <v>14.47</v>
          </cell>
          <cell r="H165">
            <v>16.5</v>
          </cell>
          <cell r="I165">
            <v>2.0299999999999998</v>
          </cell>
          <cell r="J165">
            <v>14.47</v>
          </cell>
          <cell r="K165">
            <v>16.5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F166">
            <v>2.4300000000000002</v>
          </cell>
          <cell r="G166">
            <v>24.57</v>
          </cell>
          <cell r="H166">
            <v>27</v>
          </cell>
          <cell r="I166">
            <v>2.4300000000000002</v>
          </cell>
          <cell r="J166">
            <v>24.57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F167">
            <v>3.24</v>
          </cell>
          <cell r="G167">
            <v>31.26</v>
          </cell>
          <cell r="H167">
            <v>34.5</v>
          </cell>
          <cell r="I167">
            <v>3.24</v>
          </cell>
          <cell r="J167">
            <v>31.26</v>
          </cell>
          <cell r="K167">
            <v>34.5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F168">
            <v>3.45</v>
          </cell>
          <cell r="G168">
            <v>34.049999999999997</v>
          </cell>
          <cell r="H168">
            <v>37.5</v>
          </cell>
          <cell r="I168">
            <v>3.45</v>
          </cell>
          <cell r="J168">
            <v>34.049999999999997</v>
          </cell>
          <cell r="K168">
            <v>37.5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F169">
            <v>3.65</v>
          </cell>
          <cell r="G169">
            <v>41.34</v>
          </cell>
          <cell r="H169">
            <v>44.99</v>
          </cell>
          <cell r="I169">
            <v>3.65</v>
          </cell>
          <cell r="J169">
            <v>41.34</v>
          </cell>
          <cell r="K169">
            <v>44.99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F170">
            <v>7.0000000000000007E-2</v>
          </cell>
          <cell r="G170">
            <v>7.0000000000000007E-2</v>
          </cell>
          <cell r="H170">
            <v>2</v>
          </cell>
          <cell r="I170">
            <v>7.0000000000000007E-2</v>
          </cell>
          <cell r="J170">
            <v>0</v>
          </cell>
          <cell r="K170">
            <v>7.0000000000000007E-2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F171">
            <v>7.0000000000000007E-2</v>
          </cell>
          <cell r="G171">
            <v>7.0000000000000007E-2</v>
          </cell>
          <cell r="H171">
            <v>2</v>
          </cell>
          <cell r="I171">
            <v>7.0000000000000007E-2</v>
          </cell>
          <cell r="J171">
            <v>0</v>
          </cell>
          <cell r="K171">
            <v>7.0000000000000007E-2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F172">
            <v>7.0000000000000007E-2</v>
          </cell>
          <cell r="G172">
            <v>7.0000000000000007E-2</v>
          </cell>
          <cell r="H172">
            <v>2</v>
          </cell>
          <cell r="I172">
            <v>7.0000000000000007E-2</v>
          </cell>
          <cell r="J172">
            <v>0</v>
          </cell>
          <cell r="K172">
            <v>7.0000000000000007E-2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F173">
            <v>7.0000000000000007E-2</v>
          </cell>
          <cell r="G173">
            <v>7.0000000000000007E-2</v>
          </cell>
          <cell r="H173">
            <v>2</v>
          </cell>
          <cell r="I173">
            <v>7.0000000000000007E-2</v>
          </cell>
          <cell r="J173">
            <v>0</v>
          </cell>
          <cell r="K173">
            <v>7.0000000000000007E-2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F174">
            <v>7.0000000000000007E-2</v>
          </cell>
          <cell r="G174">
            <v>7.0000000000000007E-2</v>
          </cell>
          <cell r="H174">
            <v>2</v>
          </cell>
          <cell r="I174">
            <v>7.0000000000000007E-2</v>
          </cell>
          <cell r="J174">
            <v>0</v>
          </cell>
          <cell r="K174">
            <v>7.0000000000000007E-2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0</v>
          </cell>
          <cell r="G175">
            <v>0</v>
          </cell>
          <cell r="H175">
            <v>2</v>
          </cell>
          <cell r="I175">
            <v>7.0000000000000007E-2</v>
          </cell>
          <cell r="J175">
            <v>0</v>
          </cell>
          <cell r="K175">
            <v>7.0000000000000007E-2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F176">
            <v>7.0000000000000007E-2</v>
          </cell>
          <cell r="G176">
            <v>7.0000000000000007E-2</v>
          </cell>
          <cell r="H176">
            <v>2</v>
          </cell>
          <cell r="I176">
            <v>7.0000000000000007E-2</v>
          </cell>
          <cell r="J176">
            <v>0</v>
          </cell>
          <cell r="K176">
            <v>7.0000000000000007E-2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F177">
            <v>7.0000000000000007E-2</v>
          </cell>
          <cell r="G177">
            <v>7.0000000000000007E-2</v>
          </cell>
          <cell r="H177">
            <v>2</v>
          </cell>
          <cell r="I177">
            <v>7.0000000000000007E-2</v>
          </cell>
          <cell r="J177">
            <v>0</v>
          </cell>
          <cell r="K177">
            <v>7.0000000000000007E-2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F178">
            <v>7.0000000000000007E-2</v>
          </cell>
          <cell r="G178">
            <v>7.0000000000000007E-2</v>
          </cell>
          <cell r="H178">
            <v>2</v>
          </cell>
          <cell r="I178">
            <v>7.0000000000000007E-2</v>
          </cell>
          <cell r="J178">
            <v>0</v>
          </cell>
          <cell r="K178">
            <v>7.0000000000000007E-2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F179">
            <v>7.0000000000000007E-2</v>
          </cell>
          <cell r="G179">
            <v>0</v>
          </cell>
          <cell r="H179">
            <v>7.0000000000000007E-2</v>
          </cell>
          <cell r="I179">
            <v>7.0000000000000007E-2</v>
          </cell>
          <cell r="J179">
            <v>0</v>
          </cell>
          <cell r="K179">
            <v>7.0000000000000007E-2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F180">
            <v>7.0000000000000007E-2</v>
          </cell>
          <cell r="G180">
            <v>0</v>
          </cell>
          <cell r="H180">
            <v>7.0000000000000007E-2</v>
          </cell>
          <cell r="I180">
            <v>7.0000000000000007E-2</v>
          </cell>
          <cell r="J180">
            <v>0</v>
          </cell>
          <cell r="K180">
            <v>7.0000000000000007E-2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F181">
            <v>7.0000000000000007E-2</v>
          </cell>
          <cell r="G181">
            <v>0</v>
          </cell>
          <cell r="H181">
            <v>7.0000000000000007E-2</v>
          </cell>
          <cell r="I181">
            <v>7.0000000000000007E-2</v>
          </cell>
          <cell r="J181">
            <v>0</v>
          </cell>
          <cell r="K181">
            <v>7.0000000000000007E-2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F182">
            <v>7.0000000000000007E-2</v>
          </cell>
          <cell r="G182">
            <v>0</v>
          </cell>
          <cell r="H182">
            <v>7.0000000000000007E-2</v>
          </cell>
          <cell r="I182">
            <v>7.0000000000000007E-2</v>
          </cell>
          <cell r="J182">
            <v>0</v>
          </cell>
          <cell r="K182">
            <v>7.0000000000000007E-2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F183">
            <v>7.0000000000000007E-2</v>
          </cell>
          <cell r="G183">
            <v>0</v>
          </cell>
          <cell r="H183">
            <v>7.0000000000000007E-2</v>
          </cell>
          <cell r="I183">
            <v>7.0000000000000007E-2</v>
          </cell>
          <cell r="J183">
            <v>0</v>
          </cell>
          <cell r="K183">
            <v>7.0000000000000007E-2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F184">
            <v>7.0000000000000007E-2</v>
          </cell>
          <cell r="G184">
            <v>0</v>
          </cell>
          <cell r="H184">
            <v>7.0000000000000007E-2</v>
          </cell>
          <cell r="I184">
            <v>7.0000000000000007E-2</v>
          </cell>
          <cell r="J184">
            <v>0</v>
          </cell>
          <cell r="K184">
            <v>7.0000000000000007E-2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F185">
            <v>0.12</v>
          </cell>
          <cell r="G185">
            <v>0</v>
          </cell>
          <cell r="H185">
            <v>0.12</v>
          </cell>
          <cell r="I185">
            <v>0.12</v>
          </cell>
          <cell r="J185">
            <v>0</v>
          </cell>
          <cell r="K185">
            <v>0.12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F186">
            <v>0.12</v>
          </cell>
          <cell r="G186">
            <v>0</v>
          </cell>
          <cell r="H186">
            <v>0.12</v>
          </cell>
          <cell r="I186">
            <v>0.12</v>
          </cell>
          <cell r="J186">
            <v>0</v>
          </cell>
          <cell r="K186">
            <v>0.12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F187">
            <v>0.12</v>
          </cell>
          <cell r="G187">
            <v>0</v>
          </cell>
          <cell r="H187">
            <v>0.12</v>
          </cell>
          <cell r="I187">
            <v>0.12</v>
          </cell>
          <cell r="J187">
            <v>0</v>
          </cell>
          <cell r="K187">
            <v>0.12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F188">
            <v>0.15</v>
          </cell>
          <cell r="G188">
            <v>0.15</v>
          </cell>
          <cell r="H188">
            <v>2</v>
          </cell>
          <cell r="I188">
            <v>0.15</v>
          </cell>
          <cell r="J188">
            <v>0</v>
          </cell>
          <cell r="K188">
            <v>0.15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F189">
            <v>0.15</v>
          </cell>
          <cell r="G189">
            <v>0.15</v>
          </cell>
          <cell r="H189">
            <v>2</v>
          </cell>
          <cell r="I189">
            <v>0.15</v>
          </cell>
          <cell r="J189">
            <v>0</v>
          </cell>
          <cell r="K189">
            <v>0.15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F190">
            <v>0.15</v>
          </cell>
          <cell r="G190">
            <v>0.15</v>
          </cell>
          <cell r="H190">
            <v>2</v>
          </cell>
          <cell r="I190">
            <v>0.15</v>
          </cell>
          <cell r="J190">
            <v>8.42</v>
          </cell>
          <cell r="K190">
            <v>0.15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F191">
            <v>0.15</v>
          </cell>
          <cell r="G191">
            <v>0</v>
          </cell>
          <cell r="H191">
            <v>0.15</v>
          </cell>
          <cell r="I191">
            <v>0.15</v>
          </cell>
          <cell r="J191">
            <v>0</v>
          </cell>
          <cell r="K191">
            <v>0.15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F192">
            <v>0.15</v>
          </cell>
          <cell r="G192">
            <v>0</v>
          </cell>
          <cell r="H192">
            <v>0.15</v>
          </cell>
          <cell r="I192">
            <v>0.15</v>
          </cell>
          <cell r="J192">
            <v>0</v>
          </cell>
          <cell r="K192">
            <v>0.15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F193">
            <v>0.15</v>
          </cell>
          <cell r="G193">
            <v>0</v>
          </cell>
          <cell r="H193">
            <v>0.15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F194">
            <v>0.3</v>
          </cell>
          <cell r="G194">
            <v>0</v>
          </cell>
          <cell r="H194">
            <v>0.3</v>
          </cell>
          <cell r="I194">
            <v>0.3</v>
          </cell>
          <cell r="J194">
            <v>0</v>
          </cell>
          <cell r="K194">
            <v>0.3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F195">
            <v>0.3</v>
          </cell>
          <cell r="G195">
            <v>0</v>
          </cell>
          <cell r="H195">
            <v>0.3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0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F196">
            <v>0.3</v>
          </cell>
          <cell r="G196">
            <v>0</v>
          </cell>
          <cell r="H196">
            <v>0.3</v>
          </cell>
          <cell r="I196">
            <v>0.3</v>
          </cell>
          <cell r="J196">
            <v>0</v>
          </cell>
          <cell r="K196">
            <v>0.3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F197">
            <v>0.25</v>
          </cell>
          <cell r="G197">
            <v>0.2</v>
          </cell>
          <cell r="H197">
            <v>0.45</v>
          </cell>
          <cell r="I197">
            <v>0.25</v>
          </cell>
          <cell r="J197">
            <v>0.2</v>
          </cell>
          <cell r="K197">
            <v>0.45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F198">
            <v>0.3</v>
          </cell>
          <cell r="G198">
            <v>0.3</v>
          </cell>
          <cell r="H198">
            <v>0.6</v>
          </cell>
          <cell r="I198">
            <v>0.3</v>
          </cell>
          <cell r="J198">
            <v>0.3</v>
          </cell>
          <cell r="K198">
            <v>0.6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F199">
            <v>0.35</v>
          </cell>
          <cell r="G199">
            <v>0.4</v>
          </cell>
          <cell r="H199">
            <v>0.75</v>
          </cell>
          <cell r="I199">
            <v>0.35</v>
          </cell>
          <cell r="J199">
            <v>0.4</v>
          </cell>
          <cell r="K199">
            <v>0.75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F200">
            <v>0.41</v>
          </cell>
          <cell r="G200">
            <v>0.49</v>
          </cell>
          <cell r="H200">
            <v>0.89999999999999991</v>
          </cell>
          <cell r="I200">
            <v>0.41</v>
          </cell>
          <cell r="J200">
            <v>0.49</v>
          </cell>
          <cell r="K200">
            <v>0.89999999999999991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F201">
            <v>0.51</v>
          </cell>
          <cell r="G201">
            <v>0.54</v>
          </cell>
          <cell r="H201">
            <v>1.05</v>
          </cell>
          <cell r="I201">
            <v>0.51</v>
          </cell>
          <cell r="J201">
            <v>0.54</v>
          </cell>
          <cell r="K201">
            <v>1.05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F202">
            <v>0.61</v>
          </cell>
          <cell r="G202">
            <v>1.04</v>
          </cell>
          <cell r="H202">
            <v>1.65</v>
          </cell>
          <cell r="I202">
            <v>0.61</v>
          </cell>
          <cell r="J202">
            <v>1.04</v>
          </cell>
          <cell r="K202">
            <v>1.65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F203">
            <v>0.81</v>
          </cell>
          <cell r="G203">
            <v>1.73</v>
          </cell>
          <cell r="H203">
            <v>2.54</v>
          </cell>
          <cell r="I203">
            <v>0.81</v>
          </cell>
          <cell r="J203">
            <v>1.73</v>
          </cell>
          <cell r="K203">
            <v>2.54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F204">
            <v>1.01</v>
          </cell>
          <cell r="G204">
            <v>3.04</v>
          </cell>
          <cell r="H204">
            <v>4.05</v>
          </cell>
          <cell r="I204">
            <v>1.01</v>
          </cell>
          <cell r="J204">
            <v>3.04</v>
          </cell>
          <cell r="K204">
            <v>4.05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F205">
            <v>1.22</v>
          </cell>
          <cell r="G205">
            <v>3.28</v>
          </cell>
          <cell r="H205">
            <v>4.5</v>
          </cell>
          <cell r="I205">
            <v>1.22</v>
          </cell>
          <cell r="J205">
            <v>3.28</v>
          </cell>
          <cell r="K205">
            <v>4.5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F206">
            <v>0.81</v>
          </cell>
          <cell r="G206">
            <v>2.64</v>
          </cell>
          <cell r="H206">
            <v>3.45</v>
          </cell>
          <cell r="I206">
            <v>0.81</v>
          </cell>
          <cell r="J206">
            <v>2.64</v>
          </cell>
          <cell r="K206">
            <v>3.45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F207">
            <v>1.01</v>
          </cell>
          <cell r="G207">
            <v>5.74</v>
          </cell>
          <cell r="H207">
            <v>6.75</v>
          </cell>
          <cell r="I207">
            <v>1.01</v>
          </cell>
          <cell r="J207">
            <v>5.74</v>
          </cell>
          <cell r="K207">
            <v>6.75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F208">
            <v>1.22</v>
          </cell>
          <cell r="G208">
            <v>8.3800000000000008</v>
          </cell>
          <cell r="H208">
            <v>9.6000000000000014</v>
          </cell>
          <cell r="I208">
            <v>1.22</v>
          </cell>
          <cell r="J208">
            <v>8.3800000000000008</v>
          </cell>
          <cell r="K208">
            <v>9.6000000000000014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F209">
            <v>1.42</v>
          </cell>
          <cell r="G209">
            <v>9.9700000000000006</v>
          </cell>
          <cell r="H209">
            <v>11.39</v>
          </cell>
          <cell r="I209">
            <v>1.42</v>
          </cell>
          <cell r="J209">
            <v>9.9700000000000006</v>
          </cell>
          <cell r="K209">
            <v>11.39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F210">
            <v>1.62</v>
          </cell>
          <cell r="G210">
            <v>14.88</v>
          </cell>
          <cell r="H210">
            <v>16.5</v>
          </cell>
          <cell r="I210">
            <v>1.62</v>
          </cell>
          <cell r="J210">
            <v>14.88</v>
          </cell>
          <cell r="K210">
            <v>16.5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F211">
            <v>1.82</v>
          </cell>
          <cell r="G211">
            <v>20.67</v>
          </cell>
          <cell r="H211">
            <v>22.490000000000002</v>
          </cell>
          <cell r="I211">
            <v>1.82</v>
          </cell>
          <cell r="J211">
            <v>20.67</v>
          </cell>
          <cell r="K211">
            <v>22.490000000000002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F212">
            <v>2.0299999999999998</v>
          </cell>
          <cell r="G212">
            <v>23.47</v>
          </cell>
          <cell r="H212">
            <v>25.5</v>
          </cell>
          <cell r="I212">
            <v>2.0299999999999998</v>
          </cell>
          <cell r="J212">
            <v>23.47</v>
          </cell>
          <cell r="K212">
            <v>25.5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F213">
            <v>2.23</v>
          </cell>
          <cell r="G213">
            <v>29.27</v>
          </cell>
          <cell r="H213">
            <v>31.5</v>
          </cell>
          <cell r="I213">
            <v>2.23</v>
          </cell>
          <cell r="J213">
            <v>29.27</v>
          </cell>
          <cell r="K213">
            <v>31.5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F214">
            <v>2.4300000000000002</v>
          </cell>
          <cell r="G214">
            <v>35.07</v>
          </cell>
          <cell r="H214">
            <v>37.5</v>
          </cell>
          <cell r="I214">
            <v>2.4300000000000002</v>
          </cell>
          <cell r="J214">
            <v>35.07</v>
          </cell>
          <cell r="K214">
            <v>37.5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F215">
            <v>7.0000000000000007E-2</v>
          </cell>
          <cell r="G215">
            <v>7.0000000000000007E-2</v>
          </cell>
          <cell r="H215">
            <v>2</v>
          </cell>
          <cell r="I215">
            <v>7.0000000000000007E-2</v>
          </cell>
          <cell r="J215">
            <v>0</v>
          </cell>
          <cell r="K215">
            <v>7.0000000000000007E-2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F216">
            <v>7.0000000000000007E-2</v>
          </cell>
          <cell r="G216">
            <v>7.0000000000000007E-2</v>
          </cell>
          <cell r="H216">
            <v>2</v>
          </cell>
          <cell r="I216">
            <v>7.0000000000000007E-2</v>
          </cell>
          <cell r="J216">
            <v>0</v>
          </cell>
          <cell r="K216">
            <v>7.0000000000000007E-2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F217">
            <v>7.0000000000000007E-2</v>
          </cell>
          <cell r="G217">
            <v>7.0000000000000007E-2</v>
          </cell>
          <cell r="H217">
            <v>2</v>
          </cell>
          <cell r="I217">
            <v>7.0000000000000007E-2</v>
          </cell>
          <cell r="J217">
            <v>0</v>
          </cell>
          <cell r="K217">
            <v>7.0000000000000007E-2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F218">
            <v>7.0000000000000007E-2</v>
          </cell>
          <cell r="G218">
            <v>7.0000000000000007E-2</v>
          </cell>
          <cell r="H218">
            <v>2</v>
          </cell>
          <cell r="I218">
            <v>7.0000000000000007E-2</v>
          </cell>
          <cell r="J218">
            <v>0</v>
          </cell>
          <cell r="K218">
            <v>7.0000000000000007E-2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F219">
            <v>7.0000000000000007E-2</v>
          </cell>
          <cell r="G219">
            <v>7.0000000000000007E-2</v>
          </cell>
          <cell r="H219">
            <v>2</v>
          </cell>
          <cell r="I219">
            <v>7.0000000000000007E-2</v>
          </cell>
          <cell r="J219">
            <v>0</v>
          </cell>
          <cell r="K219">
            <v>7.0000000000000007E-2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F220">
            <v>7.0000000000000007E-2</v>
          </cell>
          <cell r="G220">
            <v>7.0000000000000007E-2</v>
          </cell>
          <cell r="H220">
            <v>2</v>
          </cell>
          <cell r="I220">
            <v>7.0000000000000007E-2</v>
          </cell>
          <cell r="J220">
            <v>0</v>
          </cell>
          <cell r="K220">
            <v>7.0000000000000007E-2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F221">
            <v>7.0000000000000007E-2</v>
          </cell>
          <cell r="G221">
            <v>0</v>
          </cell>
          <cell r="H221">
            <v>7.0000000000000007E-2</v>
          </cell>
          <cell r="I221">
            <v>7.0000000000000007E-2</v>
          </cell>
          <cell r="J221">
            <v>0</v>
          </cell>
          <cell r="K221">
            <v>7.0000000000000007E-2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F222">
            <v>7.0000000000000007E-2</v>
          </cell>
          <cell r="G222">
            <v>0</v>
          </cell>
          <cell r="H222">
            <v>7.0000000000000007E-2</v>
          </cell>
          <cell r="I222">
            <v>7.0000000000000007E-2</v>
          </cell>
          <cell r="J222">
            <v>0</v>
          </cell>
          <cell r="K222">
            <v>7.0000000000000007E-2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0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F224">
            <v>7.0000000000000007E-2</v>
          </cell>
          <cell r="G224">
            <v>0</v>
          </cell>
          <cell r="H224">
            <v>7.0000000000000007E-2</v>
          </cell>
          <cell r="I224">
            <v>7.0000000000000007E-2</v>
          </cell>
          <cell r="J224">
            <v>0</v>
          </cell>
          <cell r="K224">
            <v>7.0000000000000007E-2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F225">
            <v>7.0000000000000007E-2</v>
          </cell>
          <cell r="G225">
            <v>0</v>
          </cell>
          <cell r="H225">
            <v>7.0000000000000007E-2</v>
          </cell>
          <cell r="I225">
            <v>7.0000000000000007E-2</v>
          </cell>
          <cell r="J225">
            <v>0</v>
          </cell>
          <cell r="K225">
            <v>7.0000000000000007E-2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F226">
            <v>7.0000000000000007E-2</v>
          </cell>
          <cell r="G226">
            <v>0</v>
          </cell>
          <cell r="H226">
            <v>7.0000000000000007E-2</v>
          </cell>
          <cell r="I226">
            <v>7.0000000000000007E-2</v>
          </cell>
          <cell r="J226">
            <v>0</v>
          </cell>
          <cell r="K226">
            <v>7.0000000000000007E-2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F227">
            <v>7.0000000000000007E-2</v>
          </cell>
          <cell r="G227">
            <v>0</v>
          </cell>
          <cell r="H227">
            <v>7.0000000000000007E-2</v>
          </cell>
          <cell r="I227">
            <v>7.0000000000000007E-2</v>
          </cell>
          <cell r="J227">
            <v>0</v>
          </cell>
          <cell r="K227">
            <v>7.0000000000000007E-2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F228">
            <v>7.0000000000000007E-2</v>
          </cell>
          <cell r="G228">
            <v>0</v>
          </cell>
          <cell r="H228">
            <v>7.0000000000000007E-2</v>
          </cell>
          <cell r="I228">
            <v>7.0000000000000007E-2</v>
          </cell>
          <cell r="J228">
            <v>0</v>
          </cell>
          <cell r="K228">
            <v>7.0000000000000007E-2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F229">
            <v>7.0000000000000007E-2</v>
          </cell>
          <cell r="G229">
            <v>0</v>
          </cell>
          <cell r="H229">
            <v>7.0000000000000007E-2</v>
          </cell>
          <cell r="I229">
            <v>7.0000000000000007E-2</v>
          </cell>
          <cell r="J229">
            <v>0</v>
          </cell>
          <cell r="K229">
            <v>7.0000000000000007E-2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F230">
            <v>0.15</v>
          </cell>
          <cell r="G230">
            <v>0</v>
          </cell>
          <cell r="H230">
            <v>0.15</v>
          </cell>
          <cell r="I230">
            <v>0.15</v>
          </cell>
          <cell r="J230">
            <v>0</v>
          </cell>
          <cell r="K230">
            <v>0.15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F231">
            <v>0.15</v>
          </cell>
          <cell r="G231">
            <v>0</v>
          </cell>
          <cell r="H231">
            <v>0.15</v>
          </cell>
          <cell r="I231">
            <v>0.15</v>
          </cell>
          <cell r="J231">
            <v>0</v>
          </cell>
          <cell r="K231">
            <v>0.15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F232">
            <v>0.15</v>
          </cell>
          <cell r="G232">
            <v>0</v>
          </cell>
          <cell r="H232">
            <v>0.15</v>
          </cell>
          <cell r="I232">
            <v>0.15</v>
          </cell>
          <cell r="J232">
            <v>0</v>
          </cell>
          <cell r="K232">
            <v>0.15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F233">
            <v>0.13</v>
          </cell>
          <cell r="G233">
            <v>0.17</v>
          </cell>
          <cell r="H233">
            <v>0.30000000000000004</v>
          </cell>
          <cell r="I233">
            <v>0.13</v>
          </cell>
          <cell r="J233">
            <v>0.17</v>
          </cell>
          <cell r="K233">
            <v>0.30000000000000004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F234">
            <v>0.13</v>
          </cell>
          <cell r="G234">
            <v>0.17</v>
          </cell>
          <cell r="H234">
            <v>0.30000000000000004</v>
          </cell>
          <cell r="I234">
            <v>0.13</v>
          </cell>
          <cell r="J234">
            <v>0.17</v>
          </cell>
          <cell r="K234">
            <v>0.30000000000000004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F235">
            <v>0.13</v>
          </cell>
          <cell r="G235">
            <v>0.17</v>
          </cell>
          <cell r="H235">
            <v>0.30000000000000004</v>
          </cell>
          <cell r="I235">
            <v>0.13</v>
          </cell>
          <cell r="J235">
            <v>0.17</v>
          </cell>
          <cell r="K235">
            <v>0.30000000000000004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F236">
            <v>0.15</v>
          </cell>
          <cell r="G236">
            <v>0.15</v>
          </cell>
          <cell r="H236">
            <v>0.3</v>
          </cell>
          <cell r="I236">
            <v>0.15</v>
          </cell>
          <cell r="J236">
            <v>0.15</v>
          </cell>
          <cell r="K236">
            <v>0.3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F237">
            <v>0.15</v>
          </cell>
          <cell r="G237">
            <v>0.15</v>
          </cell>
          <cell r="H237">
            <v>0.3</v>
          </cell>
          <cell r="I237">
            <v>0.15</v>
          </cell>
          <cell r="J237">
            <v>0.15</v>
          </cell>
          <cell r="K237">
            <v>0.3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  <cell r="R237">
            <v>0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F238">
            <v>0.15</v>
          </cell>
          <cell r="G238">
            <v>0.15</v>
          </cell>
          <cell r="H238">
            <v>0.3</v>
          </cell>
          <cell r="I238">
            <v>0.15</v>
          </cell>
          <cell r="J238">
            <v>0.15</v>
          </cell>
          <cell r="K238">
            <v>0.3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F239">
            <v>0.2</v>
          </cell>
          <cell r="G239">
            <v>0.25</v>
          </cell>
          <cell r="H239">
            <v>0.45</v>
          </cell>
          <cell r="I239">
            <v>0.2</v>
          </cell>
          <cell r="J239">
            <v>0.25</v>
          </cell>
          <cell r="K239">
            <v>0.45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F240">
            <v>0.2</v>
          </cell>
          <cell r="G240">
            <v>0.25</v>
          </cell>
          <cell r="H240">
            <v>0.45</v>
          </cell>
          <cell r="I240">
            <v>0.2</v>
          </cell>
          <cell r="J240">
            <v>0.25</v>
          </cell>
          <cell r="K240">
            <v>0.45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F241">
            <v>0.2</v>
          </cell>
          <cell r="G241">
            <v>0.25</v>
          </cell>
          <cell r="H241">
            <v>0.45</v>
          </cell>
          <cell r="I241">
            <v>0.2</v>
          </cell>
          <cell r="J241">
            <v>0.25</v>
          </cell>
          <cell r="K241">
            <v>0.45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F242">
            <v>0.25</v>
          </cell>
          <cell r="G242">
            <v>0.5</v>
          </cell>
          <cell r="H242">
            <v>0.75</v>
          </cell>
          <cell r="I242">
            <v>0.25</v>
          </cell>
          <cell r="J242">
            <v>0.5</v>
          </cell>
          <cell r="K242">
            <v>0.75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F243">
            <v>0.3</v>
          </cell>
          <cell r="G243">
            <v>0.6</v>
          </cell>
          <cell r="H243">
            <v>0.89999999999999991</v>
          </cell>
          <cell r="I243">
            <v>0.3</v>
          </cell>
          <cell r="J243">
            <v>0.6</v>
          </cell>
          <cell r="K243">
            <v>0.89999999999999991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F244">
            <v>0.35</v>
          </cell>
          <cell r="G244">
            <v>0.85</v>
          </cell>
          <cell r="H244">
            <v>1.2</v>
          </cell>
          <cell r="I244">
            <v>0.35</v>
          </cell>
          <cell r="J244">
            <v>0.85</v>
          </cell>
          <cell r="K244">
            <v>1.2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</v>
          </cell>
        </row>
        <row r="245">
          <cell r="A245">
            <v>0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F245">
            <v>0.41</v>
          </cell>
          <cell r="G245">
            <v>0.93</v>
          </cell>
          <cell r="H245">
            <v>1.34</v>
          </cell>
          <cell r="I245">
            <v>0.41</v>
          </cell>
          <cell r="J245">
            <v>0.93</v>
          </cell>
          <cell r="K245">
            <v>1.34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F246">
            <v>0.51</v>
          </cell>
          <cell r="G246">
            <v>1.59</v>
          </cell>
          <cell r="H246">
            <v>2.1</v>
          </cell>
          <cell r="I246">
            <v>0.51</v>
          </cell>
          <cell r="J246">
            <v>1.59</v>
          </cell>
          <cell r="K246">
            <v>2.1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F247">
            <v>0.61</v>
          </cell>
          <cell r="G247">
            <v>2.69</v>
          </cell>
          <cell r="H247">
            <v>3.3</v>
          </cell>
          <cell r="I247">
            <v>0.61</v>
          </cell>
          <cell r="J247">
            <v>2.69</v>
          </cell>
          <cell r="K247">
            <v>3.3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F248">
            <v>0.81</v>
          </cell>
          <cell r="G248">
            <v>4.58</v>
          </cell>
          <cell r="H248">
            <v>5.3900000000000006</v>
          </cell>
          <cell r="I248">
            <v>0.81</v>
          </cell>
          <cell r="J248">
            <v>4.58</v>
          </cell>
          <cell r="K248">
            <v>5.3900000000000006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F249">
            <v>1.01</v>
          </cell>
          <cell r="G249">
            <v>7.99</v>
          </cell>
          <cell r="H249">
            <v>9</v>
          </cell>
          <cell r="I249">
            <v>1.01</v>
          </cell>
          <cell r="J249">
            <v>7.99</v>
          </cell>
          <cell r="K249">
            <v>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F250">
            <v>1.22</v>
          </cell>
          <cell r="G250">
            <v>11.68</v>
          </cell>
          <cell r="H250">
            <v>12.9</v>
          </cell>
          <cell r="I250">
            <v>1.22</v>
          </cell>
          <cell r="J250">
            <v>11.68</v>
          </cell>
          <cell r="K250">
            <v>12.9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F251">
            <v>1.42</v>
          </cell>
          <cell r="G251">
            <v>12.68</v>
          </cell>
          <cell r="H251">
            <v>14.1</v>
          </cell>
          <cell r="I251">
            <v>1.42</v>
          </cell>
          <cell r="J251">
            <v>12.68</v>
          </cell>
          <cell r="K251">
            <v>14.1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F252">
            <v>1.62</v>
          </cell>
          <cell r="G252">
            <v>19.37</v>
          </cell>
          <cell r="H252">
            <v>20.990000000000002</v>
          </cell>
          <cell r="I252">
            <v>1.62</v>
          </cell>
          <cell r="J252">
            <v>19.37</v>
          </cell>
          <cell r="K252">
            <v>20.990000000000002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F253">
            <v>1.82</v>
          </cell>
          <cell r="G253">
            <v>26.68</v>
          </cell>
          <cell r="H253">
            <v>28.5</v>
          </cell>
          <cell r="I253">
            <v>1.82</v>
          </cell>
          <cell r="J253">
            <v>26.68</v>
          </cell>
          <cell r="K253">
            <v>28.5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F254">
            <v>2.0299999999999998</v>
          </cell>
          <cell r="G254">
            <v>36.96</v>
          </cell>
          <cell r="H254">
            <v>38.99</v>
          </cell>
          <cell r="I254">
            <v>2.0299999999999998</v>
          </cell>
          <cell r="J254">
            <v>36.96</v>
          </cell>
          <cell r="K254">
            <v>38.99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F255">
            <v>2.23</v>
          </cell>
          <cell r="G255">
            <v>45.77</v>
          </cell>
          <cell r="H255">
            <v>48</v>
          </cell>
          <cell r="I255">
            <v>2.23</v>
          </cell>
          <cell r="J255">
            <v>45.77</v>
          </cell>
          <cell r="K255">
            <v>48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F256">
            <v>2.4300000000000002</v>
          </cell>
          <cell r="G256">
            <v>53.07</v>
          </cell>
          <cell r="H256">
            <v>55.5</v>
          </cell>
          <cell r="I256">
            <v>2.4300000000000002</v>
          </cell>
          <cell r="J256">
            <v>53.07</v>
          </cell>
          <cell r="K256">
            <v>55.5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8</v>
          </cell>
        </row>
        <row r="257">
          <cell r="A257">
            <v>0</v>
          </cell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F257">
            <v>7.0000000000000007E-2</v>
          </cell>
          <cell r="G257">
            <v>7.0000000000000007E-2</v>
          </cell>
          <cell r="H257">
            <v>2</v>
          </cell>
          <cell r="I257">
            <v>7.0000000000000007E-2</v>
          </cell>
          <cell r="J257">
            <v>0</v>
          </cell>
          <cell r="K257">
            <v>7.0000000000000007E-2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F258">
            <v>7.0000000000000007E-2</v>
          </cell>
          <cell r="G258">
            <v>7.0000000000000007E-2</v>
          </cell>
          <cell r="H258">
            <v>2</v>
          </cell>
          <cell r="I258">
            <v>7.0000000000000007E-2</v>
          </cell>
          <cell r="J258">
            <v>0</v>
          </cell>
          <cell r="K258">
            <v>7.0000000000000007E-2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F259">
            <v>7.0000000000000007E-2</v>
          </cell>
          <cell r="G259">
            <v>7.0000000000000007E-2</v>
          </cell>
          <cell r="H259">
            <v>2</v>
          </cell>
          <cell r="I259">
            <v>7.0000000000000007E-2</v>
          </cell>
          <cell r="J259">
            <v>0</v>
          </cell>
          <cell r="K259">
            <v>7.0000000000000007E-2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F260">
            <v>7.0000000000000007E-2</v>
          </cell>
          <cell r="G260">
            <v>7.0000000000000007E-2</v>
          </cell>
          <cell r="H260">
            <v>2</v>
          </cell>
          <cell r="I260">
            <v>7.0000000000000007E-2</v>
          </cell>
          <cell r="J260">
            <v>0</v>
          </cell>
          <cell r="K260">
            <v>7.0000000000000007E-2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</row>
        <row r="261">
          <cell r="A261">
            <v>0</v>
          </cell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F261">
            <v>7.0000000000000007E-2</v>
          </cell>
          <cell r="G261">
            <v>7.0000000000000007E-2</v>
          </cell>
          <cell r="H261">
            <v>2</v>
          </cell>
          <cell r="I261">
            <v>7.0000000000000007E-2</v>
          </cell>
          <cell r="J261">
            <v>0</v>
          </cell>
          <cell r="K261">
            <v>7.0000000000000007E-2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  <cell r="Q261">
            <v>0</v>
          </cell>
          <cell r="R261">
            <v>0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F262">
            <v>7.0000000000000007E-2</v>
          </cell>
          <cell r="G262">
            <v>7.0000000000000007E-2</v>
          </cell>
          <cell r="H262">
            <v>2</v>
          </cell>
          <cell r="I262">
            <v>7.0000000000000007E-2</v>
          </cell>
          <cell r="J262">
            <v>0</v>
          </cell>
          <cell r="K262">
            <v>7.0000000000000007E-2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F263">
            <v>7.0000000000000007E-2</v>
          </cell>
          <cell r="G263">
            <v>0</v>
          </cell>
          <cell r="H263">
            <v>7.0000000000000007E-2</v>
          </cell>
          <cell r="I263">
            <v>7.0000000000000007E-2</v>
          </cell>
          <cell r="J263">
            <v>0</v>
          </cell>
          <cell r="K263">
            <v>7.0000000000000007E-2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F264">
            <v>7.0000000000000007E-2</v>
          </cell>
          <cell r="G264">
            <v>0</v>
          </cell>
          <cell r="H264">
            <v>7.0000000000000007E-2</v>
          </cell>
          <cell r="I264">
            <v>7.0000000000000007E-2</v>
          </cell>
          <cell r="J264">
            <v>0</v>
          </cell>
          <cell r="K264">
            <v>7.0000000000000007E-2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F265">
            <v>7.0000000000000007E-2</v>
          </cell>
          <cell r="G265">
            <v>0</v>
          </cell>
          <cell r="H265">
            <v>7.0000000000000007E-2</v>
          </cell>
          <cell r="I265">
            <v>7.0000000000000007E-2</v>
          </cell>
          <cell r="J265">
            <v>0</v>
          </cell>
          <cell r="K265">
            <v>7.0000000000000007E-2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F266">
            <v>7.0000000000000007E-2</v>
          </cell>
          <cell r="G266">
            <v>0</v>
          </cell>
          <cell r="H266">
            <v>7.0000000000000007E-2</v>
          </cell>
          <cell r="I266">
            <v>7.0000000000000007E-2</v>
          </cell>
          <cell r="J266">
            <v>0</v>
          </cell>
          <cell r="K266">
            <v>7.0000000000000007E-2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F267">
            <v>7.0000000000000007E-2</v>
          </cell>
          <cell r="G267">
            <v>0</v>
          </cell>
          <cell r="H267">
            <v>7.0000000000000007E-2</v>
          </cell>
          <cell r="I267">
            <v>7.0000000000000007E-2</v>
          </cell>
          <cell r="J267">
            <v>0</v>
          </cell>
          <cell r="K267">
            <v>7.0000000000000007E-2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F268">
            <v>7.0000000000000007E-2</v>
          </cell>
          <cell r="G268">
            <v>0</v>
          </cell>
          <cell r="H268">
            <v>7.0000000000000007E-2</v>
          </cell>
          <cell r="I268">
            <v>7.0000000000000007E-2</v>
          </cell>
          <cell r="J268">
            <v>0</v>
          </cell>
          <cell r="K268">
            <v>7.0000000000000007E-2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F269">
            <v>7.0000000000000007E-2</v>
          </cell>
          <cell r="G269">
            <v>0</v>
          </cell>
          <cell r="H269">
            <v>0</v>
          </cell>
          <cell r="I269">
            <v>7.0000000000000007E-2</v>
          </cell>
          <cell r="J269">
            <v>0</v>
          </cell>
          <cell r="K269">
            <v>7.0000000000000007E-2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2</v>
          </cell>
          <cell r="R269">
            <v>0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F270">
            <v>7.0000000000000007E-2</v>
          </cell>
          <cell r="G270">
            <v>0</v>
          </cell>
          <cell r="H270">
            <v>7.0000000000000007E-2</v>
          </cell>
          <cell r="I270">
            <v>7.0000000000000007E-2</v>
          </cell>
          <cell r="J270">
            <v>0</v>
          </cell>
          <cell r="K270">
            <v>7.0000000000000007E-2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F271">
            <v>7.0000000000000007E-2</v>
          </cell>
          <cell r="G271">
            <v>0</v>
          </cell>
          <cell r="H271">
            <v>7.0000000000000007E-2</v>
          </cell>
          <cell r="I271">
            <v>7.0000000000000007E-2</v>
          </cell>
          <cell r="J271">
            <v>0</v>
          </cell>
          <cell r="K271">
            <v>7.0000000000000007E-2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  <cell r="Q271">
            <v>0</v>
          </cell>
          <cell r="R271">
            <v>0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F272">
            <v>0.15</v>
          </cell>
          <cell r="G272">
            <v>0</v>
          </cell>
          <cell r="H272">
            <v>0.15</v>
          </cell>
          <cell r="I272">
            <v>0.15</v>
          </cell>
          <cell r="J272">
            <v>0</v>
          </cell>
          <cell r="K272">
            <v>0.15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F273">
            <v>0.15</v>
          </cell>
          <cell r="G273">
            <v>0</v>
          </cell>
          <cell r="H273">
            <v>0.15</v>
          </cell>
          <cell r="I273">
            <v>0.15</v>
          </cell>
          <cell r="J273">
            <v>0</v>
          </cell>
          <cell r="K273">
            <v>0.15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F274">
            <v>0.15</v>
          </cell>
          <cell r="G274">
            <v>0</v>
          </cell>
          <cell r="H274">
            <v>0.15</v>
          </cell>
          <cell r="I274">
            <v>0.15</v>
          </cell>
          <cell r="J274">
            <v>0</v>
          </cell>
          <cell r="K274">
            <v>0.15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F275">
            <v>0.13</v>
          </cell>
          <cell r="G275">
            <v>0.17</v>
          </cell>
          <cell r="H275">
            <v>0.30000000000000004</v>
          </cell>
          <cell r="I275">
            <v>0.13</v>
          </cell>
          <cell r="J275">
            <v>0.17</v>
          </cell>
          <cell r="K275">
            <v>0.30000000000000004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F276">
            <v>0.13</v>
          </cell>
          <cell r="G276">
            <v>0.17</v>
          </cell>
          <cell r="H276">
            <v>0.30000000000000004</v>
          </cell>
          <cell r="I276">
            <v>0.13</v>
          </cell>
          <cell r="J276">
            <v>0.17</v>
          </cell>
          <cell r="K276">
            <v>0.30000000000000004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F277">
            <v>0.13</v>
          </cell>
          <cell r="G277">
            <v>0.17</v>
          </cell>
          <cell r="H277">
            <v>0.30000000000000004</v>
          </cell>
          <cell r="I277">
            <v>0.13</v>
          </cell>
          <cell r="J277">
            <v>0.17</v>
          </cell>
          <cell r="K277">
            <v>0.30000000000000004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F278">
            <v>0.15</v>
          </cell>
          <cell r="G278">
            <v>0.15</v>
          </cell>
          <cell r="H278">
            <v>0.3</v>
          </cell>
          <cell r="I278">
            <v>0.15</v>
          </cell>
          <cell r="J278">
            <v>0.15</v>
          </cell>
          <cell r="K278">
            <v>0.3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F279">
            <v>0.15</v>
          </cell>
          <cell r="G279">
            <v>0.15</v>
          </cell>
          <cell r="H279">
            <v>0.3</v>
          </cell>
          <cell r="I279">
            <v>0.15</v>
          </cell>
          <cell r="J279">
            <v>0.15</v>
          </cell>
          <cell r="K279">
            <v>0.3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F280">
            <v>0.15</v>
          </cell>
          <cell r="G280">
            <v>0.15</v>
          </cell>
          <cell r="H280">
            <v>0.3</v>
          </cell>
          <cell r="I280">
            <v>0.15</v>
          </cell>
          <cell r="J280">
            <v>0.15</v>
          </cell>
          <cell r="K280">
            <v>0.3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F281">
            <v>0.2</v>
          </cell>
          <cell r="G281">
            <v>0.25</v>
          </cell>
          <cell r="H281">
            <v>0.45</v>
          </cell>
          <cell r="I281">
            <v>0.2</v>
          </cell>
          <cell r="J281">
            <v>0.25</v>
          </cell>
          <cell r="K281">
            <v>0.45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F282">
            <v>0.2</v>
          </cell>
          <cell r="G282">
            <v>0.25</v>
          </cell>
          <cell r="H282">
            <v>0.45</v>
          </cell>
          <cell r="I282">
            <v>0.2</v>
          </cell>
          <cell r="J282">
            <v>0.25</v>
          </cell>
          <cell r="K282">
            <v>0.45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F283">
            <v>0.2</v>
          </cell>
          <cell r="G283">
            <v>0.25</v>
          </cell>
          <cell r="H283">
            <v>0.45</v>
          </cell>
          <cell r="I283">
            <v>0.2</v>
          </cell>
          <cell r="J283">
            <v>0.25</v>
          </cell>
          <cell r="K283">
            <v>0.45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F284">
            <v>0.25</v>
          </cell>
          <cell r="G284">
            <v>0.5</v>
          </cell>
          <cell r="H284">
            <v>0.75</v>
          </cell>
          <cell r="I284">
            <v>0.25</v>
          </cell>
          <cell r="J284">
            <v>0.5</v>
          </cell>
          <cell r="K284">
            <v>0.75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F285">
            <v>0.3</v>
          </cell>
          <cell r="G285">
            <v>0.6</v>
          </cell>
          <cell r="H285">
            <v>0.89999999999999991</v>
          </cell>
          <cell r="I285">
            <v>0.3</v>
          </cell>
          <cell r="J285">
            <v>0.6</v>
          </cell>
          <cell r="K285">
            <v>0.89999999999999991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F286">
            <v>0.35</v>
          </cell>
          <cell r="G286">
            <v>0.85</v>
          </cell>
          <cell r="H286">
            <v>1.2</v>
          </cell>
          <cell r="I286">
            <v>0.35</v>
          </cell>
          <cell r="J286">
            <v>0.85</v>
          </cell>
          <cell r="K286">
            <v>1.2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</v>
          </cell>
        </row>
        <row r="287">
          <cell r="A287" t="str">
            <v>80S</v>
          </cell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F287">
            <v>0.41</v>
          </cell>
          <cell r="G287">
            <v>0.93</v>
          </cell>
          <cell r="H287">
            <v>1.34</v>
          </cell>
          <cell r="I287">
            <v>0.41</v>
          </cell>
          <cell r="J287">
            <v>0.93</v>
          </cell>
          <cell r="K287">
            <v>1.34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F288">
            <v>0.51</v>
          </cell>
          <cell r="G288">
            <v>1.59</v>
          </cell>
          <cell r="H288">
            <v>2.1</v>
          </cell>
          <cell r="I288">
            <v>0.51</v>
          </cell>
          <cell r="J288">
            <v>1.59</v>
          </cell>
          <cell r="K288">
            <v>2.1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F289">
            <v>0.61</v>
          </cell>
          <cell r="G289">
            <v>2.69</v>
          </cell>
          <cell r="H289">
            <v>3.3</v>
          </cell>
          <cell r="I289">
            <v>0.61</v>
          </cell>
          <cell r="J289">
            <v>2.69</v>
          </cell>
          <cell r="K289">
            <v>3.3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F290">
            <v>0.81</v>
          </cell>
          <cell r="G290">
            <v>4.58</v>
          </cell>
          <cell r="H290">
            <v>5.3900000000000006</v>
          </cell>
          <cell r="I290">
            <v>0.81</v>
          </cell>
          <cell r="J290">
            <v>4.58</v>
          </cell>
          <cell r="K290">
            <v>5.3900000000000006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F291">
            <v>1.01</v>
          </cell>
          <cell r="G291">
            <v>5.74</v>
          </cell>
          <cell r="H291">
            <v>6.75</v>
          </cell>
          <cell r="I291">
            <v>1.01</v>
          </cell>
          <cell r="J291">
            <v>5.74</v>
          </cell>
          <cell r="K291">
            <v>6.75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F292">
            <v>1.22</v>
          </cell>
          <cell r="G292">
            <v>6.73</v>
          </cell>
          <cell r="H292">
            <v>7.95</v>
          </cell>
          <cell r="I292">
            <v>1.22</v>
          </cell>
          <cell r="J292">
            <v>6.73</v>
          </cell>
          <cell r="K292">
            <v>7.95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F293">
            <v>0.81</v>
          </cell>
          <cell r="G293">
            <v>6.09</v>
          </cell>
          <cell r="H293">
            <v>6.9</v>
          </cell>
          <cell r="I293">
            <v>0.81</v>
          </cell>
          <cell r="J293">
            <v>6.09</v>
          </cell>
          <cell r="K293">
            <v>6.9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F294">
            <v>1.01</v>
          </cell>
          <cell r="G294">
            <v>11.44</v>
          </cell>
          <cell r="H294">
            <v>12.45</v>
          </cell>
          <cell r="I294">
            <v>1.01</v>
          </cell>
          <cell r="J294">
            <v>11.44</v>
          </cell>
          <cell r="K294">
            <v>12.45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F295">
            <v>1.22</v>
          </cell>
          <cell r="G295">
            <v>15.28</v>
          </cell>
          <cell r="H295">
            <v>16.5</v>
          </cell>
          <cell r="I295">
            <v>1.22</v>
          </cell>
          <cell r="J295">
            <v>15.28</v>
          </cell>
          <cell r="K295">
            <v>16.5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F296">
            <v>1.42</v>
          </cell>
          <cell r="G296">
            <v>21.07</v>
          </cell>
          <cell r="H296">
            <v>22.490000000000002</v>
          </cell>
          <cell r="I296">
            <v>1.42</v>
          </cell>
          <cell r="J296">
            <v>21.07</v>
          </cell>
          <cell r="K296">
            <v>22.490000000000002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F297">
            <v>1.62</v>
          </cell>
          <cell r="G297">
            <v>28.38</v>
          </cell>
          <cell r="H297">
            <v>30</v>
          </cell>
          <cell r="I297">
            <v>1.62</v>
          </cell>
          <cell r="J297">
            <v>28.38</v>
          </cell>
          <cell r="K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F298">
            <v>1.82</v>
          </cell>
          <cell r="G298">
            <v>37.17</v>
          </cell>
          <cell r="H298">
            <v>38.99</v>
          </cell>
          <cell r="I298">
            <v>1.82</v>
          </cell>
          <cell r="J298">
            <v>37.17</v>
          </cell>
          <cell r="K298">
            <v>38.99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F299">
            <v>2.0299999999999998</v>
          </cell>
          <cell r="G299">
            <v>45.97</v>
          </cell>
          <cell r="H299">
            <v>48</v>
          </cell>
          <cell r="I299">
            <v>2.0299999999999998</v>
          </cell>
          <cell r="J299">
            <v>45.97</v>
          </cell>
          <cell r="K299">
            <v>48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F300">
            <v>2.23</v>
          </cell>
          <cell r="G300">
            <v>65.27</v>
          </cell>
          <cell r="H300">
            <v>67.5</v>
          </cell>
          <cell r="I300">
            <v>2.23</v>
          </cell>
          <cell r="J300">
            <v>65.27</v>
          </cell>
          <cell r="K300">
            <v>67.5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F301">
            <v>2.4300000000000002</v>
          </cell>
          <cell r="G301">
            <v>75.56</v>
          </cell>
          <cell r="H301">
            <v>77.990000000000009</v>
          </cell>
          <cell r="I301">
            <v>2.4300000000000002</v>
          </cell>
          <cell r="J301">
            <v>75.56</v>
          </cell>
          <cell r="K301">
            <v>77.990000000000009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F302">
            <v>0.41</v>
          </cell>
          <cell r="G302">
            <v>1.84</v>
          </cell>
          <cell r="H302">
            <v>2.25</v>
          </cell>
          <cell r="I302">
            <v>0.41</v>
          </cell>
          <cell r="J302">
            <v>1.84</v>
          </cell>
          <cell r="K302">
            <v>2.25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F303">
            <v>0.51</v>
          </cell>
          <cell r="G303">
            <v>2.94</v>
          </cell>
          <cell r="H303">
            <v>3.45</v>
          </cell>
          <cell r="I303">
            <v>0.51</v>
          </cell>
          <cell r="J303">
            <v>2.94</v>
          </cell>
          <cell r="K303">
            <v>3.45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F304">
            <v>0.61</v>
          </cell>
          <cell r="G304">
            <v>4.1900000000000004</v>
          </cell>
          <cell r="H304">
            <v>4.8000000000000007</v>
          </cell>
          <cell r="I304">
            <v>0.61</v>
          </cell>
          <cell r="J304">
            <v>4.1900000000000004</v>
          </cell>
          <cell r="K304">
            <v>4.8000000000000007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F305">
            <v>0.81</v>
          </cell>
          <cell r="G305">
            <v>9.23</v>
          </cell>
          <cell r="H305">
            <v>10.040000000000001</v>
          </cell>
          <cell r="I305">
            <v>0.81</v>
          </cell>
          <cell r="J305">
            <v>9.23</v>
          </cell>
          <cell r="K305">
            <v>10.040000000000001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F306">
            <v>1.01</v>
          </cell>
          <cell r="G306">
            <v>12.49</v>
          </cell>
          <cell r="H306">
            <v>13.5</v>
          </cell>
          <cell r="I306">
            <v>1.01</v>
          </cell>
          <cell r="J306">
            <v>12.49</v>
          </cell>
          <cell r="K306">
            <v>13.5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F307">
            <v>1.22</v>
          </cell>
          <cell r="G307">
            <v>21.27</v>
          </cell>
          <cell r="H307">
            <v>22.49</v>
          </cell>
          <cell r="I307">
            <v>1.22</v>
          </cell>
          <cell r="J307">
            <v>21.27</v>
          </cell>
          <cell r="K307">
            <v>22.49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F308">
            <v>1.42</v>
          </cell>
          <cell r="G308">
            <v>25.58</v>
          </cell>
          <cell r="H308">
            <v>27</v>
          </cell>
          <cell r="I308">
            <v>1.42</v>
          </cell>
          <cell r="J308">
            <v>25.58</v>
          </cell>
          <cell r="K308">
            <v>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F309">
            <v>1.62</v>
          </cell>
          <cell r="G309">
            <v>35.880000000000003</v>
          </cell>
          <cell r="H309">
            <v>37.5</v>
          </cell>
          <cell r="I309">
            <v>1.62</v>
          </cell>
          <cell r="J309">
            <v>35.880000000000003</v>
          </cell>
          <cell r="K309">
            <v>37.5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F310">
            <v>1.82</v>
          </cell>
          <cell r="G310">
            <v>47.68</v>
          </cell>
          <cell r="H310">
            <v>49.5</v>
          </cell>
          <cell r="I310">
            <v>1.82</v>
          </cell>
          <cell r="J310">
            <v>47.68</v>
          </cell>
          <cell r="K310">
            <v>49.5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F311">
            <v>2.0299999999999998</v>
          </cell>
          <cell r="G311">
            <v>62.47</v>
          </cell>
          <cell r="H311">
            <v>64.5</v>
          </cell>
          <cell r="I311">
            <v>2.0299999999999998</v>
          </cell>
          <cell r="J311">
            <v>62.47</v>
          </cell>
          <cell r="K311">
            <v>64.5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F312">
            <v>2.23</v>
          </cell>
          <cell r="G312">
            <v>84.76</v>
          </cell>
          <cell r="H312">
            <v>86.990000000000009</v>
          </cell>
          <cell r="I312">
            <v>2.23</v>
          </cell>
          <cell r="J312">
            <v>84.76</v>
          </cell>
          <cell r="K312">
            <v>86.990000000000009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F313">
            <v>2.4300000000000002</v>
          </cell>
          <cell r="G313">
            <v>98.07</v>
          </cell>
          <cell r="H313">
            <v>100.5</v>
          </cell>
          <cell r="I313">
            <v>2.4300000000000002</v>
          </cell>
          <cell r="J313">
            <v>98.07</v>
          </cell>
          <cell r="K313">
            <v>100.5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</v>
          </cell>
          <cell r="Q313">
            <v>0</v>
          </cell>
          <cell r="R313">
            <v>0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F314">
            <v>0.81</v>
          </cell>
          <cell r="G314">
            <v>10.130000000000001</v>
          </cell>
          <cell r="H314">
            <v>10.940000000000001</v>
          </cell>
          <cell r="I314">
            <v>0.81</v>
          </cell>
          <cell r="J314">
            <v>10.130000000000001</v>
          </cell>
          <cell r="K314">
            <v>10.940000000000001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F315">
            <v>1.01</v>
          </cell>
          <cell r="G315">
            <v>18.48</v>
          </cell>
          <cell r="H315">
            <v>19.490000000000002</v>
          </cell>
          <cell r="I315">
            <v>1.01</v>
          </cell>
          <cell r="J315">
            <v>18.48</v>
          </cell>
          <cell r="K315">
            <v>19.490000000000002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F316">
            <v>1.22</v>
          </cell>
          <cell r="G316">
            <v>25.78</v>
          </cell>
          <cell r="H316">
            <v>27</v>
          </cell>
          <cell r="I316">
            <v>1.22</v>
          </cell>
          <cell r="J316">
            <v>25.78</v>
          </cell>
          <cell r="K316">
            <v>27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F317">
            <v>1.42</v>
          </cell>
          <cell r="G317">
            <v>31.58</v>
          </cell>
          <cell r="H317">
            <v>33</v>
          </cell>
          <cell r="I317">
            <v>1.42</v>
          </cell>
          <cell r="J317">
            <v>31.58</v>
          </cell>
          <cell r="K317">
            <v>33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F318">
            <v>1.62</v>
          </cell>
          <cell r="G318">
            <v>44.87</v>
          </cell>
          <cell r="H318">
            <v>46.489999999999995</v>
          </cell>
          <cell r="I318">
            <v>1.62</v>
          </cell>
          <cell r="J318">
            <v>44.87</v>
          </cell>
          <cell r="K318">
            <v>46.489999999999995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F319">
            <v>1.82</v>
          </cell>
          <cell r="G319">
            <v>59.68</v>
          </cell>
          <cell r="H319">
            <v>61.5</v>
          </cell>
          <cell r="I319">
            <v>1.82</v>
          </cell>
          <cell r="J319">
            <v>59.68</v>
          </cell>
          <cell r="K319">
            <v>61.5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F320">
            <v>2.0299999999999998</v>
          </cell>
          <cell r="G320">
            <v>78.959999999999994</v>
          </cell>
          <cell r="H320">
            <v>80.989999999999995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F321">
            <v>2.23</v>
          </cell>
          <cell r="G321">
            <v>108.77</v>
          </cell>
          <cell r="H321">
            <v>111</v>
          </cell>
          <cell r="I321">
            <v>2.23</v>
          </cell>
          <cell r="J321">
            <v>108.77</v>
          </cell>
          <cell r="K321">
            <v>111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F322">
            <v>2.4300000000000002</v>
          </cell>
          <cell r="G322">
            <v>126.57</v>
          </cell>
          <cell r="H322">
            <v>129</v>
          </cell>
          <cell r="I322">
            <v>2.4300000000000002</v>
          </cell>
          <cell r="J322">
            <v>126.57</v>
          </cell>
          <cell r="K322">
            <v>129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F323">
            <v>7.0000000000000007E-2</v>
          </cell>
          <cell r="G323">
            <v>0.08</v>
          </cell>
          <cell r="H323">
            <v>0.15000000000000002</v>
          </cell>
          <cell r="I323">
            <v>7.0000000000000007E-2</v>
          </cell>
          <cell r="J323">
            <v>0.08</v>
          </cell>
          <cell r="K323">
            <v>0.15000000000000002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F324">
            <v>7.0000000000000007E-2</v>
          </cell>
          <cell r="G324">
            <v>0.08</v>
          </cell>
          <cell r="H324">
            <v>0.15000000000000002</v>
          </cell>
          <cell r="I324">
            <v>7.0000000000000007E-2</v>
          </cell>
          <cell r="J324">
            <v>0.08</v>
          </cell>
          <cell r="K324">
            <v>0.15000000000000002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F325">
            <v>7.0000000000000007E-2</v>
          </cell>
          <cell r="G325">
            <v>0.08</v>
          </cell>
          <cell r="H325">
            <v>0.15000000000000002</v>
          </cell>
          <cell r="I325">
            <v>7.0000000000000007E-2</v>
          </cell>
          <cell r="J325">
            <v>0.08</v>
          </cell>
          <cell r="K325">
            <v>0.15000000000000002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F326">
            <v>0.08</v>
          </cell>
          <cell r="G326">
            <v>7.0000000000000007E-2</v>
          </cell>
          <cell r="H326">
            <v>0.15000000000000002</v>
          </cell>
          <cell r="I326">
            <v>0.08</v>
          </cell>
          <cell r="J326">
            <v>7.0000000000000007E-2</v>
          </cell>
          <cell r="K326">
            <v>0.15000000000000002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F327">
            <v>0.08</v>
          </cell>
          <cell r="G327">
            <v>7.0000000000000007E-2</v>
          </cell>
          <cell r="H327">
            <v>0.15000000000000002</v>
          </cell>
          <cell r="I327">
            <v>0.08</v>
          </cell>
          <cell r="J327">
            <v>7.0000000000000007E-2</v>
          </cell>
          <cell r="K327">
            <v>0.15000000000000002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F328">
            <v>0.08</v>
          </cell>
          <cell r="G328">
            <v>7.0000000000000007E-2</v>
          </cell>
          <cell r="H328">
            <v>0.15000000000000002</v>
          </cell>
          <cell r="I328">
            <v>0.08</v>
          </cell>
          <cell r="J328">
            <v>7.0000000000000007E-2</v>
          </cell>
          <cell r="K328">
            <v>0.15000000000000002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F329">
            <v>0.1</v>
          </cell>
          <cell r="G329">
            <v>0.35</v>
          </cell>
          <cell r="H329">
            <v>0.44999999999999996</v>
          </cell>
          <cell r="I329">
            <v>0.1</v>
          </cell>
          <cell r="J329">
            <v>0.35</v>
          </cell>
          <cell r="K329">
            <v>0.44999999999999996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F330">
            <v>0.1</v>
          </cell>
          <cell r="G330">
            <v>0.35</v>
          </cell>
          <cell r="H330">
            <v>0.44999999999999996</v>
          </cell>
          <cell r="I330">
            <v>0.1</v>
          </cell>
          <cell r="J330">
            <v>0.35</v>
          </cell>
          <cell r="K330">
            <v>0.44999999999999996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F331">
            <v>0.1</v>
          </cell>
          <cell r="G331">
            <v>0.35</v>
          </cell>
          <cell r="H331">
            <v>0.44999999999999996</v>
          </cell>
          <cell r="I331">
            <v>0.1</v>
          </cell>
          <cell r="J331">
            <v>0.35</v>
          </cell>
          <cell r="K331">
            <v>0.44999999999999996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F332">
            <v>0.13</v>
          </cell>
          <cell r="G332">
            <v>0.32</v>
          </cell>
          <cell r="H332">
            <v>0.45</v>
          </cell>
          <cell r="I332">
            <v>0.13</v>
          </cell>
          <cell r="J332">
            <v>0.32</v>
          </cell>
          <cell r="K332">
            <v>0.45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F333">
            <v>0.13</v>
          </cell>
          <cell r="G333">
            <v>0.32</v>
          </cell>
          <cell r="H333">
            <v>0.45</v>
          </cell>
          <cell r="I333">
            <v>0.13</v>
          </cell>
          <cell r="J333">
            <v>0.32</v>
          </cell>
          <cell r="K333">
            <v>0.45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F334">
            <v>0.13</v>
          </cell>
          <cell r="G334">
            <v>0.32</v>
          </cell>
          <cell r="H334">
            <v>0.45</v>
          </cell>
          <cell r="I334">
            <v>0.13</v>
          </cell>
          <cell r="J334">
            <v>0.32</v>
          </cell>
          <cell r="K334">
            <v>0.45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F335">
            <v>0.15</v>
          </cell>
          <cell r="G335">
            <v>0.45</v>
          </cell>
          <cell r="H335">
            <v>0.6</v>
          </cell>
          <cell r="I335">
            <v>0.15</v>
          </cell>
          <cell r="J335">
            <v>0.45</v>
          </cell>
          <cell r="K335">
            <v>0.6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F336">
            <v>0.15</v>
          </cell>
          <cell r="G336">
            <v>0.45</v>
          </cell>
          <cell r="H336">
            <v>0.6</v>
          </cell>
          <cell r="I336">
            <v>0.15</v>
          </cell>
          <cell r="J336">
            <v>0.45</v>
          </cell>
          <cell r="K336">
            <v>0.6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F337">
            <v>0.15</v>
          </cell>
          <cell r="G337">
            <v>0.45</v>
          </cell>
          <cell r="H337">
            <v>0.6</v>
          </cell>
          <cell r="I337">
            <v>0.15</v>
          </cell>
          <cell r="J337">
            <v>0.45</v>
          </cell>
          <cell r="K337">
            <v>0.6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F338">
            <v>0.2</v>
          </cell>
          <cell r="G338">
            <v>0.7</v>
          </cell>
          <cell r="H338">
            <v>0.89999999999999991</v>
          </cell>
          <cell r="I338">
            <v>0.2</v>
          </cell>
          <cell r="J338">
            <v>0.7</v>
          </cell>
          <cell r="K338">
            <v>0.89999999999999991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F339">
            <v>0.2</v>
          </cell>
          <cell r="G339">
            <v>0.7</v>
          </cell>
          <cell r="H339">
            <v>0.89999999999999991</v>
          </cell>
          <cell r="I339">
            <v>0.2</v>
          </cell>
          <cell r="J339">
            <v>0.7</v>
          </cell>
          <cell r="K339">
            <v>0.89999999999999991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F340">
            <v>0.2</v>
          </cell>
          <cell r="G340">
            <v>0.7</v>
          </cell>
          <cell r="H340">
            <v>0.89999999999999991</v>
          </cell>
          <cell r="I340">
            <v>0.2</v>
          </cell>
          <cell r="J340">
            <v>0.7</v>
          </cell>
          <cell r="K340">
            <v>0.89999999999999991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F341">
            <v>0.25</v>
          </cell>
          <cell r="G341">
            <v>0.8</v>
          </cell>
          <cell r="H341">
            <v>1.05</v>
          </cell>
          <cell r="I341">
            <v>0.25</v>
          </cell>
          <cell r="J341">
            <v>0.8</v>
          </cell>
          <cell r="K341">
            <v>1.05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F342">
            <v>0.3</v>
          </cell>
          <cell r="G342">
            <v>1.5</v>
          </cell>
          <cell r="H342">
            <v>1.8</v>
          </cell>
          <cell r="I342">
            <v>0.3</v>
          </cell>
          <cell r="J342">
            <v>1.5</v>
          </cell>
          <cell r="K342">
            <v>1.8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F343">
            <v>0.41</v>
          </cell>
          <cell r="G343">
            <v>2.59</v>
          </cell>
          <cell r="H343">
            <v>3</v>
          </cell>
          <cell r="I343">
            <v>0.41</v>
          </cell>
          <cell r="J343">
            <v>2.59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4.29</v>
          </cell>
          <cell r="H344">
            <v>4.8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M344">
            <v>0</v>
          </cell>
          <cell r="N344">
            <v>0</v>
          </cell>
          <cell r="O344">
            <v>160</v>
          </cell>
          <cell r="P344">
            <v>4</v>
          </cell>
          <cell r="Q344">
            <v>0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F345">
            <v>0.61</v>
          </cell>
          <cell r="G345">
            <v>7.04</v>
          </cell>
          <cell r="H345">
            <v>7.65</v>
          </cell>
          <cell r="I345">
            <v>0.61</v>
          </cell>
          <cell r="J345">
            <v>7.04</v>
          </cell>
          <cell r="K345">
            <v>7.65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F346">
            <v>0.81</v>
          </cell>
          <cell r="G346">
            <v>11.19</v>
          </cell>
          <cell r="H346">
            <v>12</v>
          </cell>
          <cell r="I346">
            <v>0.81</v>
          </cell>
          <cell r="J346">
            <v>11.19</v>
          </cell>
          <cell r="K346">
            <v>12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F347">
            <v>1.01</v>
          </cell>
          <cell r="G347">
            <v>21.48</v>
          </cell>
          <cell r="H347">
            <v>22.490000000000002</v>
          </cell>
          <cell r="I347">
            <v>1.01</v>
          </cell>
          <cell r="J347">
            <v>21.48</v>
          </cell>
          <cell r="K347">
            <v>22.490000000000002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F348">
            <v>1.22</v>
          </cell>
          <cell r="G348">
            <v>31.78</v>
          </cell>
          <cell r="H348">
            <v>33</v>
          </cell>
          <cell r="I348">
            <v>1.22</v>
          </cell>
          <cell r="J348">
            <v>31.78</v>
          </cell>
          <cell r="K348">
            <v>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F349">
            <v>1.42</v>
          </cell>
          <cell r="G349">
            <v>39.07</v>
          </cell>
          <cell r="H349">
            <v>40.49</v>
          </cell>
          <cell r="I349">
            <v>1.42</v>
          </cell>
          <cell r="J349">
            <v>39.07</v>
          </cell>
          <cell r="K349">
            <v>40.49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6</v>
          </cell>
        </row>
        <row r="350">
          <cell r="A350">
            <v>160</v>
          </cell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F350">
            <v>1.62</v>
          </cell>
          <cell r="G350">
            <v>53.88</v>
          </cell>
          <cell r="H350">
            <v>55.5</v>
          </cell>
          <cell r="I350">
            <v>1.62</v>
          </cell>
          <cell r="J350">
            <v>53.88</v>
          </cell>
          <cell r="K350">
            <v>55.5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F351">
            <v>1.82</v>
          </cell>
          <cell r="G351">
            <v>71.680000000000007</v>
          </cell>
          <cell r="H351">
            <v>73.5</v>
          </cell>
          <cell r="I351">
            <v>1.82</v>
          </cell>
          <cell r="J351">
            <v>71.680000000000007</v>
          </cell>
          <cell r="K351">
            <v>73.5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F352">
            <v>2.0299999999999998</v>
          </cell>
          <cell r="G352">
            <v>93.97</v>
          </cell>
          <cell r="H352">
            <v>96</v>
          </cell>
          <cell r="I352">
            <v>2.0299999999999998</v>
          </cell>
          <cell r="J352">
            <v>93.97</v>
          </cell>
          <cell r="K352">
            <v>96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F353">
            <v>2.23</v>
          </cell>
          <cell r="G353">
            <v>132.77000000000001</v>
          </cell>
          <cell r="H353">
            <v>135</v>
          </cell>
          <cell r="I353">
            <v>2.23</v>
          </cell>
          <cell r="J353">
            <v>132.77000000000001</v>
          </cell>
          <cell r="K353">
            <v>135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F354">
            <v>2.4300000000000002</v>
          </cell>
          <cell r="G354">
            <v>162.56</v>
          </cell>
          <cell r="H354">
            <v>164.99</v>
          </cell>
          <cell r="I354">
            <v>2.4300000000000002</v>
          </cell>
          <cell r="J354">
            <v>162.56</v>
          </cell>
          <cell r="K354">
            <v>164.99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F355">
            <v>7.0000000000000007E-2</v>
          </cell>
          <cell r="G355">
            <v>7.0000000000000007E-2</v>
          </cell>
          <cell r="H355">
            <v>2</v>
          </cell>
          <cell r="I355">
            <v>7.0000000000000007E-2</v>
          </cell>
          <cell r="J355">
            <v>0</v>
          </cell>
          <cell r="K355">
            <v>7.0000000000000007E-2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F356">
            <v>7.0000000000000007E-2</v>
          </cell>
          <cell r="G356">
            <v>7.0000000000000007E-2</v>
          </cell>
          <cell r="H356">
            <v>2</v>
          </cell>
          <cell r="I356">
            <v>7.0000000000000007E-2</v>
          </cell>
          <cell r="J356">
            <v>0</v>
          </cell>
          <cell r="K356">
            <v>7.0000000000000007E-2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F357">
            <v>7.0000000000000007E-2</v>
          </cell>
          <cell r="G357">
            <v>7.0000000000000007E-2</v>
          </cell>
          <cell r="H357">
            <v>2</v>
          </cell>
          <cell r="I357">
            <v>7.0000000000000007E-2</v>
          </cell>
          <cell r="J357">
            <v>0</v>
          </cell>
          <cell r="K357">
            <v>7.0000000000000007E-2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F358">
            <v>7.0000000000000007E-2</v>
          </cell>
          <cell r="G358">
            <v>7.0000000000000007E-2</v>
          </cell>
          <cell r="H358">
            <v>2</v>
          </cell>
          <cell r="I358">
            <v>7.0000000000000007E-2</v>
          </cell>
          <cell r="J358">
            <v>0</v>
          </cell>
          <cell r="K358">
            <v>7.0000000000000007E-2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F359">
            <v>7.0000000000000007E-2</v>
          </cell>
          <cell r="G359">
            <v>7.0000000000000007E-2</v>
          </cell>
          <cell r="H359">
            <v>2</v>
          </cell>
          <cell r="I359">
            <v>7.0000000000000007E-2</v>
          </cell>
          <cell r="J359">
            <v>0</v>
          </cell>
          <cell r="K359">
            <v>7.0000000000000007E-2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F360">
            <v>7.0000000000000007E-2</v>
          </cell>
          <cell r="G360">
            <v>7.0000000000000007E-2</v>
          </cell>
          <cell r="H360">
            <v>2</v>
          </cell>
          <cell r="I360">
            <v>7.0000000000000007E-2</v>
          </cell>
          <cell r="J360">
            <v>0</v>
          </cell>
          <cell r="K360">
            <v>7.0000000000000007E-2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F361">
            <v>7.0000000000000007E-2</v>
          </cell>
          <cell r="G361">
            <v>0</v>
          </cell>
          <cell r="H361">
            <v>7.0000000000000007E-2</v>
          </cell>
          <cell r="I361">
            <v>7.0000000000000007E-2</v>
          </cell>
          <cell r="J361">
            <v>0</v>
          </cell>
          <cell r="K361">
            <v>7.0000000000000007E-2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F362">
            <v>7.0000000000000007E-2</v>
          </cell>
          <cell r="G362">
            <v>0</v>
          </cell>
          <cell r="H362">
            <v>7.0000000000000007E-2</v>
          </cell>
          <cell r="I362">
            <v>7.0000000000000007E-2</v>
          </cell>
          <cell r="J362">
            <v>0</v>
          </cell>
          <cell r="K362">
            <v>7.0000000000000007E-2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F363">
            <v>7.0000000000000007E-2</v>
          </cell>
          <cell r="G363">
            <v>0</v>
          </cell>
          <cell r="H363">
            <v>7.0000000000000007E-2</v>
          </cell>
          <cell r="I363">
            <v>7.0000000000000007E-2</v>
          </cell>
          <cell r="J363">
            <v>0</v>
          </cell>
          <cell r="K363">
            <v>7.0000000000000007E-2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F364">
            <v>7.0000000000000007E-2</v>
          </cell>
          <cell r="G364">
            <v>0</v>
          </cell>
          <cell r="H364">
            <v>7.0000000000000007E-2</v>
          </cell>
          <cell r="I364">
            <v>7.0000000000000007E-2</v>
          </cell>
          <cell r="J364">
            <v>0</v>
          </cell>
          <cell r="K364">
            <v>7.0000000000000007E-2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F365">
            <v>7.0000000000000007E-2</v>
          </cell>
          <cell r="G365">
            <v>0</v>
          </cell>
          <cell r="H365">
            <v>7.0000000000000007E-2</v>
          </cell>
          <cell r="I365">
            <v>7.0000000000000007E-2</v>
          </cell>
          <cell r="J365">
            <v>0</v>
          </cell>
          <cell r="K365">
            <v>7.0000000000000007E-2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F366">
            <v>7.0000000000000007E-2</v>
          </cell>
          <cell r="G366">
            <v>0</v>
          </cell>
          <cell r="H366">
            <v>7.0000000000000007E-2</v>
          </cell>
          <cell r="I366">
            <v>7.0000000000000007E-2</v>
          </cell>
          <cell r="J366">
            <v>0</v>
          </cell>
          <cell r="K366">
            <v>7.0000000000000007E-2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F367">
            <v>7.0000000000000007E-2</v>
          </cell>
          <cell r="G367">
            <v>0</v>
          </cell>
          <cell r="H367">
            <v>7.0000000000000007E-2</v>
          </cell>
          <cell r="I367">
            <v>7.0000000000000007E-2</v>
          </cell>
          <cell r="J367">
            <v>0</v>
          </cell>
          <cell r="K367">
            <v>7.0000000000000007E-2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F368">
            <v>7.0000000000000007E-2</v>
          </cell>
          <cell r="G368">
            <v>0</v>
          </cell>
          <cell r="H368">
            <v>7.0000000000000007E-2</v>
          </cell>
          <cell r="I368">
            <v>7.0000000000000007E-2</v>
          </cell>
          <cell r="J368">
            <v>0</v>
          </cell>
          <cell r="K368">
            <v>7.0000000000000007E-2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F369">
            <v>7.0000000000000007E-2</v>
          </cell>
          <cell r="G369">
            <v>0</v>
          </cell>
          <cell r="H369">
            <v>7.0000000000000007E-2</v>
          </cell>
          <cell r="I369">
            <v>7.0000000000000007E-2</v>
          </cell>
          <cell r="J369">
            <v>0</v>
          </cell>
          <cell r="K369">
            <v>7.0000000000000007E-2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F370">
            <v>0.12</v>
          </cell>
          <cell r="G370">
            <v>0</v>
          </cell>
          <cell r="H370">
            <v>0.12</v>
          </cell>
          <cell r="I370">
            <v>0.12</v>
          </cell>
          <cell r="J370">
            <v>0</v>
          </cell>
          <cell r="K370">
            <v>0.12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0.12</v>
          </cell>
          <cell r="G371">
            <v>0</v>
          </cell>
          <cell r="H371">
            <v>0.12</v>
          </cell>
          <cell r="I371">
            <v>0.12</v>
          </cell>
          <cell r="J371">
            <v>0</v>
          </cell>
          <cell r="K371">
            <v>0.12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0.12</v>
          </cell>
          <cell r="G372">
            <v>0</v>
          </cell>
          <cell r="H372">
            <v>0.12</v>
          </cell>
          <cell r="I372">
            <v>0.12</v>
          </cell>
          <cell r="J372">
            <v>0</v>
          </cell>
          <cell r="K372">
            <v>0.12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F373">
            <v>0.15</v>
          </cell>
          <cell r="G373">
            <v>0.15</v>
          </cell>
          <cell r="H373">
            <v>2</v>
          </cell>
          <cell r="I373">
            <v>0.15</v>
          </cell>
          <cell r="J373">
            <v>0</v>
          </cell>
          <cell r="K373">
            <v>0.15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F374">
            <v>0.15</v>
          </cell>
          <cell r="G374">
            <v>0.15</v>
          </cell>
          <cell r="H374">
            <v>2</v>
          </cell>
          <cell r="I374">
            <v>0.15</v>
          </cell>
          <cell r="J374">
            <v>0</v>
          </cell>
          <cell r="K374">
            <v>0.15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F375">
            <v>0.15</v>
          </cell>
          <cell r="G375">
            <v>0.15</v>
          </cell>
          <cell r="H375">
            <v>2</v>
          </cell>
          <cell r="I375">
            <v>0.15</v>
          </cell>
          <cell r="J375">
            <v>0</v>
          </cell>
          <cell r="K375">
            <v>0.15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F376">
            <v>0.15</v>
          </cell>
          <cell r="G376">
            <v>0</v>
          </cell>
          <cell r="H376">
            <v>0.15</v>
          </cell>
          <cell r="I376">
            <v>0.15</v>
          </cell>
          <cell r="J376">
            <v>0</v>
          </cell>
          <cell r="K376">
            <v>0.15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F377">
            <v>0.15</v>
          </cell>
          <cell r="G377">
            <v>0</v>
          </cell>
          <cell r="H377">
            <v>0.15</v>
          </cell>
          <cell r="I377">
            <v>0.15</v>
          </cell>
          <cell r="J377">
            <v>0</v>
          </cell>
          <cell r="K377">
            <v>0.15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F378">
            <v>0.15</v>
          </cell>
          <cell r="G378">
            <v>0</v>
          </cell>
          <cell r="H378">
            <v>0.15</v>
          </cell>
          <cell r="I378">
            <v>0.15</v>
          </cell>
          <cell r="J378">
            <v>0</v>
          </cell>
          <cell r="K378">
            <v>0.15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F379">
            <v>0.3</v>
          </cell>
          <cell r="G379">
            <v>0</v>
          </cell>
          <cell r="H379">
            <v>0.3</v>
          </cell>
          <cell r="I379">
            <v>0.3</v>
          </cell>
          <cell r="J379">
            <v>0</v>
          </cell>
          <cell r="K379">
            <v>0.3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F380">
            <v>0.3</v>
          </cell>
          <cell r="G380">
            <v>0</v>
          </cell>
          <cell r="H380">
            <v>0.3</v>
          </cell>
          <cell r="I380">
            <v>0.3</v>
          </cell>
          <cell r="J380">
            <v>0</v>
          </cell>
          <cell r="K380">
            <v>0.3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F381">
            <v>0.3</v>
          </cell>
          <cell r="G381">
            <v>0</v>
          </cell>
          <cell r="H381">
            <v>0.3</v>
          </cell>
          <cell r="I381">
            <v>0.3</v>
          </cell>
          <cell r="J381">
            <v>0</v>
          </cell>
          <cell r="K381">
            <v>0.3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0.25</v>
          </cell>
          <cell r="G382">
            <v>0.2</v>
          </cell>
          <cell r="H382">
            <v>0.45</v>
          </cell>
          <cell r="I382">
            <v>0.25</v>
          </cell>
          <cell r="J382">
            <v>0.2</v>
          </cell>
          <cell r="K382">
            <v>0.45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0.3</v>
          </cell>
          <cell r="G383">
            <v>0.3</v>
          </cell>
          <cell r="H383">
            <v>0.6</v>
          </cell>
          <cell r="I383">
            <v>0.3</v>
          </cell>
          <cell r="J383">
            <v>0.3</v>
          </cell>
          <cell r="K383">
            <v>0.6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F384">
            <v>0.35</v>
          </cell>
          <cell r="G384">
            <v>0.4</v>
          </cell>
          <cell r="H384">
            <v>0.75</v>
          </cell>
          <cell r="I384">
            <v>0.35</v>
          </cell>
          <cell r="J384">
            <v>0.4</v>
          </cell>
          <cell r="K384">
            <v>0.75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F385">
            <v>0.41</v>
          </cell>
          <cell r="G385">
            <v>0.49</v>
          </cell>
          <cell r="H385">
            <v>0.89999999999999991</v>
          </cell>
          <cell r="I385">
            <v>0.41</v>
          </cell>
          <cell r="J385">
            <v>0.49</v>
          </cell>
          <cell r="K385">
            <v>0.89999999999999991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F386">
            <v>0.51</v>
          </cell>
          <cell r="G386">
            <v>0.54</v>
          </cell>
          <cell r="H386">
            <v>1.05</v>
          </cell>
          <cell r="I386">
            <v>0.51</v>
          </cell>
          <cell r="J386">
            <v>0.54</v>
          </cell>
          <cell r="K386">
            <v>1.05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F387">
            <v>0.61</v>
          </cell>
          <cell r="G387">
            <v>1.04</v>
          </cell>
          <cell r="H387">
            <v>1.65</v>
          </cell>
          <cell r="I387">
            <v>0.61</v>
          </cell>
          <cell r="J387">
            <v>1.04</v>
          </cell>
          <cell r="K387">
            <v>1.65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F388">
            <v>0.81</v>
          </cell>
          <cell r="G388">
            <v>1.73</v>
          </cell>
          <cell r="H388">
            <v>2.54</v>
          </cell>
          <cell r="I388">
            <v>0.81</v>
          </cell>
          <cell r="J388">
            <v>1.73</v>
          </cell>
          <cell r="K388">
            <v>2.54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F389">
            <v>1.01</v>
          </cell>
          <cell r="G389">
            <v>3.04</v>
          </cell>
          <cell r="H389">
            <v>4.05</v>
          </cell>
          <cell r="I389">
            <v>1.01</v>
          </cell>
          <cell r="J389">
            <v>3.04</v>
          </cell>
          <cell r="K389">
            <v>4.05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F390">
            <v>1.22</v>
          </cell>
          <cell r="G390">
            <v>3.28</v>
          </cell>
          <cell r="H390">
            <v>4.5</v>
          </cell>
          <cell r="I390">
            <v>1.22</v>
          </cell>
          <cell r="J390">
            <v>3.28</v>
          </cell>
          <cell r="K390">
            <v>4.5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F391">
            <v>1.42</v>
          </cell>
          <cell r="G391">
            <v>3.97</v>
          </cell>
          <cell r="H391">
            <v>5.3900000000000006</v>
          </cell>
          <cell r="I391">
            <v>1.42</v>
          </cell>
          <cell r="J391">
            <v>3.97</v>
          </cell>
          <cell r="K391">
            <v>5.3900000000000006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F392">
            <v>1.62</v>
          </cell>
          <cell r="G392">
            <v>4.68</v>
          </cell>
          <cell r="H392">
            <v>6.3</v>
          </cell>
          <cell r="I392">
            <v>1.62</v>
          </cell>
          <cell r="J392">
            <v>4.68</v>
          </cell>
          <cell r="K392">
            <v>6.3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F393">
            <v>1.82</v>
          </cell>
          <cell r="G393">
            <v>5.38</v>
          </cell>
          <cell r="H393">
            <v>7.2</v>
          </cell>
          <cell r="I393">
            <v>1.82</v>
          </cell>
          <cell r="J393">
            <v>5.38</v>
          </cell>
          <cell r="K393">
            <v>7.2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F394">
            <v>2.0299999999999998</v>
          </cell>
          <cell r="G394">
            <v>5.47</v>
          </cell>
          <cell r="H394">
            <v>7.5</v>
          </cell>
          <cell r="I394">
            <v>2.0299999999999998</v>
          </cell>
          <cell r="J394">
            <v>5.47</v>
          </cell>
          <cell r="K394">
            <v>7.5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F395">
            <v>2.23</v>
          </cell>
          <cell r="G395">
            <v>6.47</v>
          </cell>
          <cell r="H395">
            <v>8.6999999999999993</v>
          </cell>
          <cell r="I395">
            <v>2.23</v>
          </cell>
          <cell r="J395">
            <v>6.47</v>
          </cell>
          <cell r="K395">
            <v>8.6999999999999993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F396">
            <v>2.4300000000000002</v>
          </cell>
          <cell r="G396">
            <v>6.57</v>
          </cell>
          <cell r="H396">
            <v>9</v>
          </cell>
          <cell r="I396">
            <v>2.4300000000000002</v>
          </cell>
          <cell r="J396">
            <v>6.57</v>
          </cell>
          <cell r="K396">
            <v>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F397">
            <v>2.64</v>
          </cell>
          <cell r="G397">
            <v>7.7</v>
          </cell>
          <cell r="H397">
            <v>10.34</v>
          </cell>
          <cell r="I397">
            <v>2.64</v>
          </cell>
          <cell r="J397">
            <v>7.7</v>
          </cell>
          <cell r="K397">
            <v>10.34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F398">
            <v>2.84</v>
          </cell>
          <cell r="G398">
            <v>8.25</v>
          </cell>
          <cell r="H398">
            <v>11.09</v>
          </cell>
          <cell r="I398">
            <v>2.84</v>
          </cell>
          <cell r="J398">
            <v>8.25</v>
          </cell>
          <cell r="K398">
            <v>11.09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F399">
            <v>3.04</v>
          </cell>
          <cell r="G399">
            <v>8.9600000000000009</v>
          </cell>
          <cell r="H399">
            <v>12</v>
          </cell>
          <cell r="I399">
            <v>3.04</v>
          </cell>
          <cell r="J399">
            <v>8.9600000000000009</v>
          </cell>
          <cell r="K399">
            <v>12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F400">
            <v>3.24</v>
          </cell>
          <cell r="G400">
            <v>9.51</v>
          </cell>
          <cell r="H400">
            <v>12.75</v>
          </cell>
          <cell r="I400">
            <v>3.24</v>
          </cell>
          <cell r="J400">
            <v>9.51</v>
          </cell>
          <cell r="K400">
            <v>12.75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F401">
            <v>3.45</v>
          </cell>
          <cell r="G401">
            <v>10.050000000000001</v>
          </cell>
          <cell r="H401">
            <v>13.5</v>
          </cell>
          <cell r="I401">
            <v>3.45</v>
          </cell>
          <cell r="J401">
            <v>10.050000000000001</v>
          </cell>
          <cell r="K401">
            <v>13.5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F402">
            <v>3.65</v>
          </cell>
          <cell r="G402">
            <v>10.6</v>
          </cell>
          <cell r="H402">
            <v>14.25</v>
          </cell>
          <cell r="I402">
            <v>3.65</v>
          </cell>
          <cell r="J402">
            <v>10.6</v>
          </cell>
          <cell r="K402">
            <v>14.25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F403">
            <v>3.85</v>
          </cell>
          <cell r="G403">
            <v>11.23</v>
          </cell>
          <cell r="H403">
            <v>15.08</v>
          </cell>
          <cell r="I403">
            <v>3.85</v>
          </cell>
          <cell r="J403">
            <v>11.23</v>
          </cell>
          <cell r="K403">
            <v>15.08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F404">
            <v>4.0599999999999996</v>
          </cell>
          <cell r="G404">
            <v>11.66</v>
          </cell>
          <cell r="H404">
            <v>15.719999999999999</v>
          </cell>
          <cell r="I404">
            <v>4.0599999999999996</v>
          </cell>
          <cell r="J404">
            <v>11.66</v>
          </cell>
          <cell r="K404">
            <v>15.719999999999999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F405">
            <v>4.26</v>
          </cell>
          <cell r="G405">
            <v>12.24</v>
          </cell>
          <cell r="H405">
            <v>16.5</v>
          </cell>
          <cell r="I405">
            <v>4.26</v>
          </cell>
          <cell r="J405">
            <v>12.24</v>
          </cell>
          <cell r="K405">
            <v>16.5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F406">
            <v>4.47</v>
          </cell>
          <cell r="G406">
            <v>17.54</v>
          </cell>
          <cell r="H406">
            <v>22.009999999999998</v>
          </cell>
          <cell r="I406">
            <v>4.47</v>
          </cell>
          <cell r="J406">
            <v>17.54</v>
          </cell>
          <cell r="K406">
            <v>22.009999999999998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F407">
            <v>4.67</v>
          </cell>
          <cell r="G407">
            <v>18.329999999999998</v>
          </cell>
          <cell r="H407">
            <v>23</v>
          </cell>
          <cell r="I407">
            <v>4.67</v>
          </cell>
          <cell r="J407">
            <v>18.329999999999998</v>
          </cell>
          <cell r="K407">
            <v>23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4.87</v>
          </cell>
          <cell r="G408">
            <v>19.13</v>
          </cell>
          <cell r="H408">
            <v>24</v>
          </cell>
          <cell r="I408">
            <v>4.87</v>
          </cell>
          <cell r="J408">
            <v>19.13</v>
          </cell>
          <cell r="K408">
            <v>24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7.0000000000000007E-2</v>
          </cell>
          <cell r="G409">
            <v>7.0000000000000007E-2</v>
          </cell>
          <cell r="H409">
            <v>2</v>
          </cell>
          <cell r="I409">
            <v>7.0000000000000007E-2</v>
          </cell>
          <cell r="J409">
            <v>0</v>
          </cell>
          <cell r="K409">
            <v>7.0000000000000007E-2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F410">
            <v>7.0000000000000007E-2</v>
          </cell>
          <cell r="G410">
            <v>7.0000000000000007E-2</v>
          </cell>
          <cell r="H410">
            <v>2</v>
          </cell>
          <cell r="I410">
            <v>7.0000000000000007E-2</v>
          </cell>
          <cell r="J410">
            <v>0</v>
          </cell>
          <cell r="K410">
            <v>7.0000000000000007E-2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F411">
            <v>7.0000000000000007E-2</v>
          </cell>
          <cell r="G411">
            <v>7.0000000000000007E-2</v>
          </cell>
          <cell r="H411">
            <v>2</v>
          </cell>
          <cell r="I411">
            <v>7.0000000000000007E-2</v>
          </cell>
          <cell r="J411">
            <v>0</v>
          </cell>
          <cell r="K411">
            <v>7.0000000000000007E-2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0</v>
          </cell>
          <cell r="G412">
            <v>7.0000000000000007E-2</v>
          </cell>
          <cell r="H412">
            <v>2</v>
          </cell>
          <cell r="I412">
            <v>7.0000000000000007E-2</v>
          </cell>
          <cell r="J412">
            <v>0</v>
          </cell>
          <cell r="K412">
            <v>7.0000000000000007E-2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F413">
            <v>7.0000000000000007E-2</v>
          </cell>
          <cell r="G413">
            <v>7.0000000000000007E-2</v>
          </cell>
          <cell r="H413">
            <v>2</v>
          </cell>
          <cell r="I413">
            <v>7.0000000000000007E-2</v>
          </cell>
          <cell r="J413">
            <v>0</v>
          </cell>
          <cell r="K413">
            <v>7.0000000000000007E-2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F414">
            <v>7.0000000000000007E-2</v>
          </cell>
          <cell r="G414">
            <v>7.0000000000000007E-2</v>
          </cell>
          <cell r="H414">
            <v>2</v>
          </cell>
          <cell r="I414">
            <v>7.0000000000000007E-2</v>
          </cell>
          <cell r="J414">
            <v>0</v>
          </cell>
          <cell r="K414">
            <v>7.0000000000000007E-2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0</v>
          </cell>
          <cell r="G415">
            <v>0</v>
          </cell>
          <cell r="H415">
            <v>0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0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F416">
            <v>7.0000000000000007E-2</v>
          </cell>
          <cell r="G416">
            <v>0</v>
          </cell>
          <cell r="H416">
            <v>7.0000000000000007E-2</v>
          </cell>
          <cell r="I416">
            <v>7.0000000000000007E-2</v>
          </cell>
          <cell r="J416">
            <v>0</v>
          </cell>
          <cell r="K416">
            <v>7.0000000000000007E-2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F417">
            <v>7.0000000000000007E-2</v>
          </cell>
          <cell r="G417">
            <v>0</v>
          </cell>
          <cell r="H417">
            <v>7.0000000000000007E-2</v>
          </cell>
          <cell r="I417">
            <v>7.0000000000000007E-2</v>
          </cell>
          <cell r="J417">
            <v>0</v>
          </cell>
          <cell r="K417">
            <v>7.0000000000000007E-2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0</v>
          </cell>
          <cell r="G418">
            <v>0</v>
          </cell>
          <cell r="H418">
            <v>0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0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0</v>
          </cell>
          <cell r="G419">
            <v>0</v>
          </cell>
          <cell r="H419">
            <v>7.0000000000000007E-2</v>
          </cell>
          <cell r="I419">
            <v>7.0000000000000007E-2</v>
          </cell>
          <cell r="J419">
            <v>0</v>
          </cell>
          <cell r="K419">
            <v>7.0000000000000007E-2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  <cell r="Q419">
            <v>0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F420">
            <v>7.0000000000000007E-2</v>
          </cell>
          <cell r="G420">
            <v>0</v>
          </cell>
          <cell r="H420">
            <v>7.0000000000000007E-2</v>
          </cell>
          <cell r="I420">
            <v>7.0000000000000007E-2</v>
          </cell>
          <cell r="J420">
            <v>0</v>
          </cell>
          <cell r="K420">
            <v>7.0000000000000007E-2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F421">
            <v>7.0000000000000007E-2</v>
          </cell>
          <cell r="G421">
            <v>0</v>
          </cell>
          <cell r="H421">
            <v>7.0000000000000007E-2</v>
          </cell>
          <cell r="I421">
            <v>7.0000000000000007E-2</v>
          </cell>
          <cell r="J421">
            <v>0</v>
          </cell>
          <cell r="K421">
            <v>7.0000000000000007E-2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F422">
            <v>7.0000000000000007E-2</v>
          </cell>
          <cell r="G422">
            <v>0</v>
          </cell>
          <cell r="H422">
            <v>7.0000000000000007E-2</v>
          </cell>
          <cell r="I422">
            <v>7.0000000000000007E-2</v>
          </cell>
          <cell r="J422">
            <v>0</v>
          </cell>
          <cell r="K422">
            <v>7.0000000000000007E-2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F423">
            <v>7.0000000000000007E-2</v>
          </cell>
          <cell r="G423">
            <v>0</v>
          </cell>
          <cell r="H423">
            <v>7.0000000000000007E-2</v>
          </cell>
          <cell r="I423">
            <v>7.0000000000000007E-2</v>
          </cell>
          <cell r="J423">
            <v>0</v>
          </cell>
          <cell r="K423">
            <v>7.0000000000000007E-2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F424">
            <v>0.15</v>
          </cell>
          <cell r="G424">
            <v>0</v>
          </cell>
          <cell r="H424">
            <v>0.15</v>
          </cell>
          <cell r="I424">
            <v>0.15</v>
          </cell>
          <cell r="J424">
            <v>0</v>
          </cell>
          <cell r="K424">
            <v>0.15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F425">
            <v>0.15</v>
          </cell>
          <cell r="G425">
            <v>0</v>
          </cell>
          <cell r="H425">
            <v>0.15</v>
          </cell>
          <cell r="I425">
            <v>0.15</v>
          </cell>
          <cell r="J425">
            <v>0</v>
          </cell>
          <cell r="K425">
            <v>0.15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F426">
            <v>0.15</v>
          </cell>
          <cell r="G426">
            <v>0</v>
          </cell>
          <cell r="H426">
            <v>0.15</v>
          </cell>
          <cell r="I426">
            <v>0.15</v>
          </cell>
          <cell r="J426">
            <v>0</v>
          </cell>
          <cell r="K426">
            <v>0.15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F427">
            <v>0.13</v>
          </cell>
          <cell r="G427">
            <v>0.17</v>
          </cell>
          <cell r="H427">
            <v>0.30000000000000004</v>
          </cell>
          <cell r="I427">
            <v>0.13</v>
          </cell>
          <cell r="J427">
            <v>0.17</v>
          </cell>
          <cell r="K427">
            <v>0.30000000000000004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F428">
            <v>0.13</v>
          </cell>
          <cell r="G428">
            <v>0.17</v>
          </cell>
          <cell r="H428">
            <v>0.30000000000000004</v>
          </cell>
          <cell r="I428">
            <v>0.13</v>
          </cell>
          <cell r="J428">
            <v>0.17</v>
          </cell>
          <cell r="K428">
            <v>0.30000000000000004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0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0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F430">
            <v>0.15</v>
          </cell>
          <cell r="G430">
            <v>0.15</v>
          </cell>
          <cell r="H430">
            <v>0.3</v>
          </cell>
          <cell r="I430">
            <v>0.15</v>
          </cell>
          <cell r="J430">
            <v>0.15</v>
          </cell>
          <cell r="K430">
            <v>0.3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F431">
            <v>0.15</v>
          </cell>
          <cell r="G431">
            <v>0.15</v>
          </cell>
          <cell r="H431">
            <v>0.3</v>
          </cell>
          <cell r="I431">
            <v>0.15</v>
          </cell>
          <cell r="J431">
            <v>0.15</v>
          </cell>
          <cell r="K431">
            <v>0.3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F432">
            <v>0.15</v>
          </cell>
          <cell r="G432">
            <v>0.15</v>
          </cell>
          <cell r="H432">
            <v>0.3</v>
          </cell>
          <cell r="I432">
            <v>0.15</v>
          </cell>
          <cell r="J432">
            <v>0.15</v>
          </cell>
          <cell r="K432">
            <v>0.3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F433">
            <v>0.2</v>
          </cell>
          <cell r="G433">
            <v>0.25</v>
          </cell>
          <cell r="H433">
            <v>0.45</v>
          </cell>
          <cell r="I433">
            <v>0.2</v>
          </cell>
          <cell r="J433">
            <v>0.25</v>
          </cell>
          <cell r="K433">
            <v>0.45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F434">
            <v>0.2</v>
          </cell>
          <cell r="G434">
            <v>0.25</v>
          </cell>
          <cell r="H434">
            <v>0.45</v>
          </cell>
          <cell r="I434">
            <v>0.2</v>
          </cell>
          <cell r="J434">
            <v>0.25</v>
          </cell>
          <cell r="K434">
            <v>0.45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F435">
            <v>0.2</v>
          </cell>
          <cell r="G435">
            <v>0.25</v>
          </cell>
          <cell r="H435">
            <v>0.45</v>
          </cell>
          <cell r="I435">
            <v>0.2</v>
          </cell>
          <cell r="J435">
            <v>0.25</v>
          </cell>
          <cell r="K435">
            <v>0.45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F436">
            <v>0.25</v>
          </cell>
          <cell r="G436">
            <v>0.5</v>
          </cell>
          <cell r="H436">
            <v>0.75</v>
          </cell>
          <cell r="I436">
            <v>0.25</v>
          </cell>
          <cell r="J436">
            <v>0.5</v>
          </cell>
          <cell r="K436">
            <v>0.75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F437">
            <v>0.3</v>
          </cell>
          <cell r="G437">
            <v>0.6</v>
          </cell>
          <cell r="H437">
            <v>0.89999999999999991</v>
          </cell>
          <cell r="I437">
            <v>0.3</v>
          </cell>
          <cell r="J437">
            <v>0.6</v>
          </cell>
          <cell r="K437">
            <v>0.89999999999999991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F438">
            <v>0.35</v>
          </cell>
          <cell r="G438">
            <v>0.85</v>
          </cell>
          <cell r="H438">
            <v>1.2</v>
          </cell>
          <cell r="I438">
            <v>0.35</v>
          </cell>
          <cell r="J438">
            <v>0.85</v>
          </cell>
          <cell r="K438">
            <v>1.2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0.41</v>
          </cell>
          <cell r="G439">
            <v>0.93</v>
          </cell>
          <cell r="H439">
            <v>1.34</v>
          </cell>
          <cell r="I439">
            <v>0.41</v>
          </cell>
          <cell r="J439">
            <v>0.93</v>
          </cell>
          <cell r="K439">
            <v>1.34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0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0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F441">
            <v>0.61</v>
          </cell>
          <cell r="G441">
            <v>2.69</v>
          </cell>
          <cell r="H441">
            <v>3.3</v>
          </cell>
          <cell r="I441">
            <v>0.61</v>
          </cell>
          <cell r="J441">
            <v>2.69</v>
          </cell>
          <cell r="K441">
            <v>3.3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F442">
            <v>0.81</v>
          </cell>
          <cell r="G442">
            <v>4.58</v>
          </cell>
          <cell r="H442">
            <v>5.3900000000000006</v>
          </cell>
          <cell r="I442">
            <v>0.81</v>
          </cell>
          <cell r="J442">
            <v>4.58</v>
          </cell>
          <cell r="K442">
            <v>5.3900000000000006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F443">
            <v>1.01</v>
          </cell>
          <cell r="G443">
            <v>5.74</v>
          </cell>
          <cell r="H443">
            <v>6.75</v>
          </cell>
          <cell r="I443">
            <v>1.01</v>
          </cell>
          <cell r="J443">
            <v>5.74</v>
          </cell>
          <cell r="K443">
            <v>6.75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F444">
            <v>1.22</v>
          </cell>
          <cell r="G444">
            <v>6.73</v>
          </cell>
          <cell r="H444">
            <v>7.95</v>
          </cell>
          <cell r="I444">
            <v>1.22</v>
          </cell>
          <cell r="J444">
            <v>6.73</v>
          </cell>
          <cell r="K444">
            <v>7.95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F445">
            <v>1.42</v>
          </cell>
          <cell r="G445">
            <v>7.28</v>
          </cell>
          <cell r="H445">
            <v>8.6999999999999993</v>
          </cell>
          <cell r="I445">
            <v>1.42</v>
          </cell>
          <cell r="J445">
            <v>7.28</v>
          </cell>
          <cell r="K445">
            <v>8.6999999999999993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F446">
            <v>1.62</v>
          </cell>
          <cell r="G446">
            <v>8.42</v>
          </cell>
          <cell r="H446">
            <v>10.039999999999999</v>
          </cell>
          <cell r="I446">
            <v>1.62</v>
          </cell>
          <cell r="J446">
            <v>8.42</v>
          </cell>
          <cell r="K446">
            <v>10.039999999999999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F447">
            <v>1.82</v>
          </cell>
          <cell r="G447">
            <v>9.42</v>
          </cell>
          <cell r="H447">
            <v>11.24</v>
          </cell>
          <cell r="I447">
            <v>1.82</v>
          </cell>
          <cell r="J447">
            <v>9.42</v>
          </cell>
          <cell r="K447">
            <v>11.24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F448">
            <v>2.0299999999999998</v>
          </cell>
          <cell r="G448">
            <v>10.42</v>
          </cell>
          <cell r="H448">
            <v>12.45</v>
          </cell>
          <cell r="I448">
            <v>2.0299999999999998</v>
          </cell>
          <cell r="J448">
            <v>10.42</v>
          </cell>
          <cell r="K448">
            <v>12.45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F449">
            <v>2.23</v>
          </cell>
          <cell r="G449">
            <v>11.72</v>
          </cell>
          <cell r="H449">
            <v>13.950000000000001</v>
          </cell>
          <cell r="I449">
            <v>2.23</v>
          </cell>
          <cell r="J449">
            <v>11.72</v>
          </cell>
          <cell r="K449">
            <v>13.950000000000001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F450">
            <v>2.4300000000000002</v>
          </cell>
          <cell r="G450">
            <v>12.57</v>
          </cell>
          <cell r="H450">
            <v>15</v>
          </cell>
          <cell r="I450">
            <v>2.4300000000000002</v>
          </cell>
          <cell r="J450">
            <v>12.57</v>
          </cell>
          <cell r="K450">
            <v>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0</v>
          </cell>
          <cell r="G451">
            <v>0</v>
          </cell>
          <cell r="H451">
            <v>0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0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0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F452">
            <v>2.84</v>
          </cell>
          <cell r="G452">
            <v>15.16</v>
          </cell>
          <cell r="H452">
            <v>18</v>
          </cell>
          <cell r="I452">
            <v>2.84</v>
          </cell>
          <cell r="J452">
            <v>15.16</v>
          </cell>
          <cell r="K452">
            <v>18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F453">
            <v>3.04</v>
          </cell>
          <cell r="G453">
            <v>16.45</v>
          </cell>
          <cell r="H453">
            <v>19.489999999999998</v>
          </cell>
          <cell r="I453">
            <v>3.04</v>
          </cell>
          <cell r="J453">
            <v>16.45</v>
          </cell>
          <cell r="K453">
            <v>19.489999999999998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F454">
            <v>3.24</v>
          </cell>
          <cell r="G454">
            <v>17.75</v>
          </cell>
          <cell r="H454">
            <v>20.990000000000002</v>
          </cell>
          <cell r="I454">
            <v>3.24</v>
          </cell>
          <cell r="J454">
            <v>17.75</v>
          </cell>
          <cell r="K454">
            <v>20.990000000000002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F455">
            <v>3.45</v>
          </cell>
          <cell r="G455">
            <v>18.54</v>
          </cell>
          <cell r="H455">
            <v>21.99</v>
          </cell>
          <cell r="I455">
            <v>3.45</v>
          </cell>
          <cell r="J455">
            <v>18.54</v>
          </cell>
          <cell r="K455">
            <v>21.99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F456">
            <v>3.65</v>
          </cell>
          <cell r="G456">
            <v>18.84</v>
          </cell>
          <cell r="H456">
            <v>22.49</v>
          </cell>
          <cell r="I456">
            <v>3.65</v>
          </cell>
          <cell r="J456">
            <v>18.84</v>
          </cell>
          <cell r="K456">
            <v>22.49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F457">
            <v>3.85</v>
          </cell>
          <cell r="G457">
            <v>19.89</v>
          </cell>
          <cell r="H457">
            <v>23.740000000000002</v>
          </cell>
          <cell r="I457">
            <v>3.85</v>
          </cell>
          <cell r="J457">
            <v>19.89</v>
          </cell>
          <cell r="K457">
            <v>23.740000000000002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F458">
            <v>4.0599999999999996</v>
          </cell>
          <cell r="G458">
            <v>21.66</v>
          </cell>
          <cell r="H458">
            <v>25.72</v>
          </cell>
          <cell r="I458">
            <v>4.0599999999999996</v>
          </cell>
          <cell r="J458">
            <v>21.66</v>
          </cell>
          <cell r="K458">
            <v>25.72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F459">
            <v>4.26</v>
          </cell>
          <cell r="G459">
            <v>22.74</v>
          </cell>
          <cell r="H459">
            <v>27</v>
          </cell>
          <cell r="I459">
            <v>4.26</v>
          </cell>
          <cell r="J459">
            <v>22.74</v>
          </cell>
          <cell r="K459">
            <v>27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F460">
            <v>4.47</v>
          </cell>
          <cell r="G460">
            <v>27.16</v>
          </cell>
          <cell r="H460">
            <v>31.63</v>
          </cell>
          <cell r="I460">
            <v>4.47</v>
          </cell>
          <cell r="J460">
            <v>27.16</v>
          </cell>
          <cell r="K460">
            <v>31.63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F461">
            <v>4.67</v>
          </cell>
          <cell r="G461">
            <v>28.4</v>
          </cell>
          <cell r="H461">
            <v>33.07</v>
          </cell>
          <cell r="I461">
            <v>4.67</v>
          </cell>
          <cell r="J461">
            <v>28.4</v>
          </cell>
          <cell r="K461">
            <v>33.07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F462">
            <v>4.87</v>
          </cell>
          <cell r="G462">
            <v>29.63</v>
          </cell>
          <cell r="H462">
            <v>34.5</v>
          </cell>
          <cell r="I462">
            <v>4.87</v>
          </cell>
          <cell r="J462">
            <v>29.63</v>
          </cell>
          <cell r="K462">
            <v>34.5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F463">
            <v>7.0000000000000007E-2</v>
          </cell>
          <cell r="G463">
            <v>0.23</v>
          </cell>
          <cell r="H463">
            <v>0.30000000000000004</v>
          </cell>
          <cell r="I463">
            <v>7.0000000000000007E-2</v>
          </cell>
          <cell r="J463">
            <v>0.23</v>
          </cell>
          <cell r="K463">
            <v>0.30000000000000004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F464">
            <v>7.0000000000000007E-2</v>
          </cell>
          <cell r="G464">
            <v>0.23</v>
          </cell>
          <cell r="H464">
            <v>0.30000000000000004</v>
          </cell>
          <cell r="I464">
            <v>7.0000000000000007E-2</v>
          </cell>
          <cell r="J464">
            <v>0.23</v>
          </cell>
          <cell r="K464">
            <v>0.30000000000000004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F465">
            <v>7.0000000000000007E-2</v>
          </cell>
          <cell r="G465">
            <v>0.23</v>
          </cell>
          <cell r="H465">
            <v>0.30000000000000004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2</v>
          </cell>
          <cell r="Q465">
            <v>0</v>
          </cell>
          <cell r="R465">
            <v>0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F466">
            <v>0.08</v>
          </cell>
          <cell r="G466">
            <v>0.22</v>
          </cell>
          <cell r="H466">
            <v>0.3</v>
          </cell>
          <cell r="I466">
            <v>0.08</v>
          </cell>
          <cell r="J466">
            <v>0.22</v>
          </cell>
          <cell r="K466">
            <v>0.3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F467">
            <v>0.08</v>
          </cell>
          <cell r="G467">
            <v>0.22</v>
          </cell>
          <cell r="H467">
            <v>0.3</v>
          </cell>
          <cell r="I467">
            <v>0.08</v>
          </cell>
          <cell r="J467">
            <v>0.22</v>
          </cell>
          <cell r="K467">
            <v>0.3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F468">
            <v>0.08</v>
          </cell>
          <cell r="G468">
            <v>0.22</v>
          </cell>
          <cell r="H468">
            <v>0.3</v>
          </cell>
          <cell r="I468">
            <v>0.08</v>
          </cell>
          <cell r="J468">
            <v>0.22</v>
          </cell>
          <cell r="K468">
            <v>0.3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F469">
            <v>0.1</v>
          </cell>
          <cell r="G469">
            <v>0.5</v>
          </cell>
          <cell r="H469">
            <v>0.6</v>
          </cell>
          <cell r="I469">
            <v>0.1</v>
          </cell>
          <cell r="J469">
            <v>0.5</v>
          </cell>
          <cell r="K469">
            <v>0.6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F470">
            <v>0.1</v>
          </cell>
          <cell r="G470">
            <v>0.5</v>
          </cell>
          <cell r="H470">
            <v>0.6</v>
          </cell>
          <cell r="I470">
            <v>0.1</v>
          </cell>
          <cell r="J470">
            <v>0.5</v>
          </cell>
          <cell r="K470">
            <v>0.6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F471">
            <v>0.1</v>
          </cell>
          <cell r="G471">
            <v>0.5</v>
          </cell>
          <cell r="H471">
            <v>0.6</v>
          </cell>
          <cell r="I471">
            <v>0.1</v>
          </cell>
          <cell r="J471">
            <v>0.5</v>
          </cell>
          <cell r="K471">
            <v>0.6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F472">
            <v>0.13</v>
          </cell>
          <cell r="G472">
            <v>0.67</v>
          </cell>
          <cell r="H472">
            <v>0.8</v>
          </cell>
          <cell r="I472">
            <v>0.13</v>
          </cell>
          <cell r="J472">
            <v>0.67</v>
          </cell>
          <cell r="K472">
            <v>0.8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F473">
            <v>0.13</v>
          </cell>
          <cell r="G473">
            <v>0.67</v>
          </cell>
          <cell r="H473">
            <v>0.8</v>
          </cell>
          <cell r="I473">
            <v>0.13</v>
          </cell>
          <cell r="J473">
            <v>0.67</v>
          </cell>
          <cell r="K473">
            <v>0.8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F474">
            <v>0.13</v>
          </cell>
          <cell r="G474">
            <v>0.67</v>
          </cell>
          <cell r="H474">
            <v>0.8</v>
          </cell>
          <cell r="I474">
            <v>0.13</v>
          </cell>
          <cell r="J474">
            <v>0.67</v>
          </cell>
          <cell r="K474">
            <v>0.8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F475">
            <v>0.15</v>
          </cell>
          <cell r="G475">
            <v>0.75</v>
          </cell>
          <cell r="H475">
            <v>0.9</v>
          </cell>
          <cell r="I475">
            <v>0.15</v>
          </cell>
          <cell r="J475">
            <v>0.75</v>
          </cell>
          <cell r="K475">
            <v>0.9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F476">
            <v>0.15</v>
          </cell>
          <cell r="G476">
            <v>0.75</v>
          </cell>
          <cell r="H476">
            <v>0.9</v>
          </cell>
          <cell r="I476">
            <v>0.15</v>
          </cell>
          <cell r="J476">
            <v>0.75</v>
          </cell>
          <cell r="K476">
            <v>0.9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F477">
            <v>0.15</v>
          </cell>
          <cell r="G477">
            <v>0.75</v>
          </cell>
          <cell r="H477">
            <v>0.9</v>
          </cell>
          <cell r="I477">
            <v>0.15</v>
          </cell>
          <cell r="J477">
            <v>0.75</v>
          </cell>
          <cell r="K477">
            <v>0.9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0</v>
          </cell>
          <cell r="G478">
            <v>1</v>
          </cell>
          <cell r="H478">
            <v>1.2</v>
          </cell>
          <cell r="I478">
            <v>0.2</v>
          </cell>
          <cell r="J478">
            <v>1</v>
          </cell>
          <cell r="K478">
            <v>1.2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F479">
            <v>0.2</v>
          </cell>
          <cell r="G479">
            <v>1</v>
          </cell>
          <cell r="H479">
            <v>1.2</v>
          </cell>
          <cell r="I479">
            <v>0.2</v>
          </cell>
          <cell r="J479">
            <v>1</v>
          </cell>
          <cell r="K479">
            <v>1.2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F480">
            <v>0.2</v>
          </cell>
          <cell r="G480">
            <v>1</v>
          </cell>
          <cell r="H480">
            <v>1.2</v>
          </cell>
          <cell r="I480">
            <v>0.2</v>
          </cell>
          <cell r="J480">
            <v>1</v>
          </cell>
          <cell r="K480">
            <v>1.2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F481">
            <v>0.25</v>
          </cell>
          <cell r="G481">
            <v>1.7</v>
          </cell>
          <cell r="H481">
            <v>1.95</v>
          </cell>
          <cell r="I481">
            <v>0.25</v>
          </cell>
          <cell r="J481">
            <v>1.7</v>
          </cell>
          <cell r="K481">
            <v>1.95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F482">
            <v>0.3</v>
          </cell>
          <cell r="G482">
            <v>2.39</v>
          </cell>
          <cell r="H482">
            <v>2.69</v>
          </cell>
          <cell r="I482">
            <v>0.3</v>
          </cell>
          <cell r="J482">
            <v>2.39</v>
          </cell>
          <cell r="K482">
            <v>2.69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F483">
            <v>0.41</v>
          </cell>
          <cell r="G483">
            <v>4.09</v>
          </cell>
          <cell r="H483">
            <v>4.5</v>
          </cell>
          <cell r="I483">
            <v>0.41</v>
          </cell>
          <cell r="J483">
            <v>4.09</v>
          </cell>
          <cell r="K483">
            <v>4.5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F484">
            <v>0.51</v>
          </cell>
          <cell r="G484">
            <v>4.43</v>
          </cell>
          <cell r="H484">
            <v>4.9399999999999995</v>
          </cell>
          <cell r="I484">
            <v>0.51</v>
          </cell>
          <cell r="J484">
            <v>4.43</v>
          </cell>
          <cell r="K484">
            <v>4.9399999999999995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F485">
            <v>0.61</v>
          </cell>
          <cell r="G485">
            <v>8.09</v>
          </cell>
          <cell r="H485">
            <v>8.6999999999999993</v>
          </cell>
          <cell r="I485">
            <v>0.61</v>
          </cell>
          <cell r="J485">
            <v>8.09</v>
          </cell>
          <cell r="K485">
            <v>8.6999999999999993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F486">
            <v>0.81</v>
          </cell>
          <cell r="G486">
            <v>11.49</v>
          </cell>
          <cell r="H486">
            <v>12.3</v>
          </cell>
          <cell r="I486">
            <v>0.81</v>
          </cell>
          <cell r="J486">
            <v>11.49</v>
          </cell>
          <cell r="K486">
            <v>12.3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F487">
            <v>1.01</v>
          </cell>
          <cell r="G487">
            <v>18.489999999999998</v>
          </cell>
          <cell r="H487">
            <v>19.5</v>
          </cell>
          <cell r="I487">
            <v>1.01</v>
          </cell>
          <cell r="J487">
            <v>18.489999999999998</v>
          </cell>
          <cell r="K487">
            <v>19.5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F488">
            <v>1.22</v>
          </cell>
          <cell r="G488">
            <v>21.27</v>
          </cell>
          <cell r="H488">
            <v>22.49</v>
          </cell>
          <cell r="I488">
            <v>1.22</v>
          </cell>
          <cell r="J488">
            <v>21.27</v>
          </cell>
          <cell r="K488">
            <v>22.49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F489">
            <v>6.49</v>
          </cell>
          <cell r="G489">
            <v>20.29</v>
          </cell>
          <cell r="H489">
            <v>26.78</v>
          </cell>
          <cell r="I489">
            <v>6.49</v>
          </cell>
          <cell r="J489">
            <v>20.29</v>
          </cell>
          <cell r="K489">
            <v>26.78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 refreshError="1"/>
      <sheetData sheetId="889" refreshError="1"/>
      <sheetData sheetId="890"/>
      <sheetData sheetId="891" refreshError="1"/>
      <sheetData sheetId="892"/>
      <sheetData sheetId="893" refreshError="1"/>
      <sheetData sheetId="894" refreshError="1"/>
      <sheetData sheetId="895" refreshError="1"/>
      <sheetData sheetId="896" refreshError="1"/>
      <sheetData sheetId="897"/>
      <sheetData sheetId="898" refreshError="1"/>
      <sheetData sheetId="899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 refreshError="1"/>
      <sheetData sheetId="907" refreshError="1"/>
      <sheetData sheetId="908"/>
      <sheetData sheetId="909"/>
      <sheetData sheetId="91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Õn ®é thùc hiÖn KC"/>
      <sheetName val="ESTI."/>
      <sheetName val="DI-ESTI"/>
      <sheetName val="KP giao lan 3 (QD 673)"/>
      <sheetName val="phu luc giao lan 2"/>
      <sheetName val="DanhMuc"/>
      <sheetName val="ma-pt"/>
      <sheetName val="MTL$-INTER"/>
      <sheetName val="TDT"/>
      <sheetName val="DTXL"/>
      <sheetName val="2.74"/>
      <sheetName val="IBASE"/>
      <sheetName val="NS"/>
      <sheetName val="dongia (2)"/>
      <sheetName val="TiÕn_®é_thùc_hiÖn_KC"/>
      <sheetName val="ESTI_"/>
      <sheetName val="KP_giao_lan_3_(QD_673)"/>
      <sheetName val="phu_luc_giao_lan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-pt"/>
      <sheetName val="2.74"/>
      <sheetName val="ESTI."/>
      <sheetName val="DI-ESTI"/>
      <sheetName val="TiÕn ®é thùc hiÖn KC"/>
      <sheetName val="IBASE"/>
      <sheetName val="2_74"/>
      <sheetName val="TiÕn_®é_thùc_hiÖn_KC"/>
      <sheetName val="ESTI_"/>
      <sheetName val="NS"/>
      <sheetName val="7 THAI NGUYEN"/>
      <sheetName val="TONGKE3p "/>
      <sheetName val="TDTKP"/>
      <sheetName val="2_741"/>
      <sheetName val="ESTI_1"/>
      <sheetName val="TiÕn_®é_thùc_hiÖn_KC1"/>
      <sheetName val="sat"/>
      <sheetName val="ptvt"/>
      <sheetName val="KH-Q1,Q2,01"/>
    </sheetNames>
    <sheetDataSet>
      <sheetData sheetId="0" refreshError="1">
        <row r="6">
          <cell r="A6" t="str">
            <v>1a</v>
          </cell>
          <cell r="B6" t="str">
            <v>T«n nÒn b»ng c¸t ®Çm kü</v>
          </cell>
          <cell r="C6" t="str">
            <v>m3</v>
          </cell>
          <cell r="D6">
            <v>1</v>
          </cell>
          <cell r="H6">
            <v>1.22</v>
          </cell>
        </row>
        <row r="7">
          <cell r="A7">
            <v>2</v>
          </cell>
          <cell r="B7" t="str">
            <v xml:space="preserve">X©y mãng ®¸ héc &lt;=60 hoÆc &gt;60 VXM 50 </v>
          </cell>
          <cell r="C7" t="str">
            <v>m3</v>
          </cell>
          <cell r="D7">
            <v>1</v>
          </cell>
          <cell r="E7">
            <v>89.47</v>
          </cell>
          <cell r="F7">
            <v>0.48299999999999998</v>
          </cell>
          <cell r="BD7">
            <v>1.2</v>
          </cell>
          <cell r="BE7">
            <v>5.7000000000000002E-2</v>
          </cell>
        </row>
        <row r="8">
          <cell r="A8">
            <v>3</v>
          </cell>
          <cell r="B8" t="str">
            <v>X©y mãng ®¸ héc &lt;=60 hoÆc &gt;60 VXM 75</v>
          </cell>
          <cell r="C8" t="str">
            <v>m3</v>
          </cell>
          <cell r="D8">
            <v>1</v>
          </cell>
          <cell r="E8">
            <v>124.33</v>
          </cell>
          <cell r="F8">
            <v>0.47</v>
          </cell>
          <cell r="BD8">
            <v>1.2</v>
          </cell>
          <cell r="BE8">
            <v>5.7000000000000002E-2</v>
          </cell>
        </row>
        <row r="9">
          <cell r="A9">
            <v>4</v>
          </cell>
          <cell r="B9" t="str">
            <v>X©y mãng ®¸ héc &lt;=60 hoÆc &gt;60 VXM 100</v>
          </cell>
          <cell r="C9" t="str">
            <v>m3</v>
          </cell>
          <cell r="D9">
            <v>1</v>
          </cell>
          <cell r="E9">
            <v>161.72</v>
          </cell>
          <cell r="F9">
            <v>0.45800000000000002</v>
          </cell>
          <cell r="BD9">
            <v>1.2</v>
          </cell>
          <cell r="BE9">
            <v>5.7000000000000002E-2</v>
          </cell>
        </row>
        <row r="10">
          <cell r="A10">
            <v>5</v>
          </cell>
          <cell r="B10" t="str">
            <v>X©y t­êng th¼ng VXM 50 dµy &lt;=60,cao &lt;=2m</v>
          </cell>
          <cell r="C10" t="str">
            <v>m3</v>
          </cell>
          <cell r="D10">
            <v>1</v>
          </cell>
          <cell r="E10">
            <v>89.47</v>
          </cell>
          <cell r="F10">
            <v>0.48299999999999998</v>
          </cell>
          <cell r="BD10">
            <v>1.2</v>
          </cell>
          <cell r="BE10">
            <v>5.7000000000000002E-2</v>
          </cell>
        </row>
        <row r="11">
          <cell r="A11">
            <v>6</v>
          </cell>
          <cell r="B11" t="str">
            <v>X©y t­êng th¼ng VXM 75 dµy &lt;=60,cao &lt;=2m</v>
          </cell>
          <cell r="C11" t="str">
            <v>m3</v>
          </cell>
          <cell r="D11">
            <v>1</v>
          </cell>
          <cell r="E11">
            <v>124.33</v>
          </cell>
          <cell r="F11">
            <v>0.47</v>
          </cell>
          <cell r="BD11">
            <v>1.2</v>
          </cell>
          <cell r="BE11">
            <v>5.7000000000000002E-2</v>
          </cell>
        </row>
        <row r="12">
          <cell r="A12">
            <v>7</v>
          </cell>
          <cell r="B12" t="str">
            <v>X©y t­êng th¼ng VXM 100 dµy &lt;=60,cao &lt;=2m</v>
          </cell>
          <cell r="C12" t="str">
            <v>m3</v>
          </cell>
          <cell r="D12">
            <v>1</v>
          </cell>
          <cell r="E12">
            <v>161.72</v>
          </cell>
          <cell r="F12">
            <v>0.45800000000000002</v>
          </cell>
          <cell r="BD12">
            <v>1.2</v>
          </cell>
          <cell r="BE12">
            <v>5.7000000000000002E-2</v>
          </cell>
        </row>
        <row r="13">
          <cell r="A13">
            <v>8</v>
          </cell>
          <cell r="B13" t="str">
            <v>X©y t­êng th¼ng VXM 50 dµy &lt;=60,cao &gt;2m</v>
          </cell>
          <cell r="C13" t="str">
            <v>m3</v>
          </cell>
          <cell r="D13">
            <v>1</v>
          </cell>
          <cell r="E13">
            <v>89.47</v>
          </cell>
          <cell r="F13">
            <v>0.48299999999999998</v>
          </cell>
          <cell r="K13">
            <v>1.62</v>
          </cell>
          <cell r="L13">
            <v>0.01</v>
          </cell>
          <cell r="BD13">
            <v>1.2</v>
          </cell>
          <cell r="BE13">
            <v>5.7000000000000002E-2</v>
          </cell>
          <cell r="BO13">
            <v>0.46</v>
          </cell>
        </row>
        <row r="14">
          <cell r="A14">
            <v>9</v>
          </cell>
          <cell r="B14" t="str">
            <v>X©y t­êng th¼ng VXM 75 dµy &lt;=60,cao &gt;2m</v>
          </cell>
          <cell r="C14" t="str">
            <v>m3</v>
          </cell>
          <cell r="D14">
            <v>1</v>
          </cell>
          <cell r="E14">
            <v>124.33</v>
          </cell>
          <cell r="F14">
            <v>0.47</v>
          </cell>
          <cell r="K14">
            <v>1.62</v>
          </cell>
          <cell r="L14">
            <v>0.01</v>
          </cell>
          <cell r="BD14">
            <v>1.2</v>
          </cell>
          <cell r="BE14">
            <v>5.7000000000000002E-2</v>
          </cell>
          <cell r="BO14">
            <v>0.46</v>
          </cell>
        </row>
        <row r="15">
          <cell r="A15">
            <v>10</v>
          </cell>
          <cell r="B15" t="str">
            <v>X©y t­êng th¼ng VXM 100 dµy &lt;=60,cao &gt;2m</v>
          </cell>
          <cell r="C15" t="str">
            <v>m3</v>
          </cell>
          <cell r="D15">
            <v>1</v>
          </cell>
          <cell r="E15">
            <v>161.72</v>
          </cell>
          <cell r="F15">
            <v>0.45800000000000002</v>
          </cell>
          <cell r="K15">
            <v>1.62</v>
          </cell>
          <cell r="L15">
            <v>0.01</v>
          </cell>
          <cell r="BD15">
            <v>1.2</v>
          </cell>
          <cell r="BE15">
            <v>5.7000000000000002E-2</v>
          </cell>
          <cell r="BO15">
            <v>0.46</v>
          </cell>
        </row>
        <row r="16">
          <cell r="A16">
            <v>11</v>
          </cell>
          <cell r="B16" t="str">
            <v>X©y t­êng th¼ng VXM 50 dµy &gt;60,cao &lt;=2m</v>
          </cell>
          <cell r="C16" t="str">
            <v>m3</v>
          </cell>
          <cell r="D16">
            <v>1</v>
          </cell>
          <cell r="E16">
            <v>89.47</v>
          </cell>
          <cell r="F16">
            <v>0.48299999999999998</v>
          </cell>
          <cell r="BD16">
            <v>1.2</v>
          </cell>
          <cell r="BE16">
            <v>5.7000000000000002E-2</v>
          </cell>
        </row>
        <row r="17">
          <cell r="A17">
            <v>12</v>
          </cell>
          <cell r="B17" t="str">
            <v>X©y t­êng th¼ng VXM 75 dµy &gt;60,cao &lt;=2m</v>
          </cell>
          <cell r="C17" t="str">
            <v>m3</v>
          </cell>
          <cell r="D17">
            <v>1</v>
          </cell>
          <cell r="E17">
            <v>124.33</v>
          </cell>
          <cell r="F17">
            <v>0.47</v>
          </cell>
          <cell r="BD17">
            <v>1.2</v>
          </cell>
          <cell r="BE17">
            <v>5.7000000000000002E-2</v>
          </cell>
        </row>
        <row r="18">
          <cell r="A18">
            <v>13</v>
          </cell>
          <cell r="B18" t="str">
            <v>X©y t­êng th¼ng VXM 100 dµy &gt;60,cao &lt;=2m</v>
          </cell>
          <cell r="C18" t="str">
            <v>m3</v>
          </cell>
          <cell r="D18">
            <v>1</v>
          </cell>
          <cell r="E18">
            <v>161.72</v>
          </cell>
          <cell r="F18">
            <v>0.45800000000000002</v>
          </cell>
          <cell r="BD18">
            <v>1.2</v>
          </cell>
          <cell r="BE18">
            <v>5.7000000000000002E-2</v>
          </cell>
        </row>
        <row r="19">
          <cell r="A19">
            <v>14</v>
          </cell>
          <cell r="B19" t="str">
            <v>X©y t­êng th¼ng VXM 50 dµy &gt;60,cao &gt;2m</v>
          </cell>
          <cell r="C19" t="str">
            <v>m3</v>
          </cell>
          <cell r="D19">
            <v>1</v>
          </cell>
          <cell r="E19">
            <v>89.47</v>
          </cell>
          <cell r="F19">
            <v>0.48299999999999998</v>
          </cell>
          <cell r="K19">
            <v>1.1599999999999999</v>
          </cell>
          <cell r="L19">
            <v>8.0000000000000002E-3</v>
          </cell>
          <cell r="BD19">
            <v>1.2</v>
          </cell>
          <cell r="BE19">
            <v>5.7000000000000002E-2</v>
          </cell>
          <cell r="BO19">
            <v>0.35</v>
          </cell>
        </row>
        <row r="20">
          <cell r="A20">
            <v>15</v>
          </cell>
          <cell r="B20" t="str">
            <v>X©y t­êng th¼ng VXM 75 dµy &gt;60,cao &gt;2m</v>
          </cell>
          <cell r="C20" t="str">
            <v>m3</v>
          </cell>
          <cell r="D20">
            <v>1</v>
          </cell>
          <cell r="E20">
            <v>124.33</v>
          </cell>
          <cell r="F20">
            <v>0.47</v>
          </cell>
          <cell r="K20">
            <v>1.1599999999999999</v>
          </cell>
          <cell r="L20">
            <v>8.0000000000000002E-3</v>
          </cell>
          <cell r="BD20">
            <v>1.2</v>
          </cell>
          <cell r="BE20">
            <v>5.7000000000000002E-2</v>
          </cell>
          <cell r="BO20">
            <v>0.35</v>
          </cell>
        </row>
        <row r="21">
          <cell r="A21">
            <v>16</v>
          </cell>
          <cell r="B21" t="str">
            <v>X©y t­êng th¼ng VXM 100 dµy &gt;60,cao &gt;2m</v>
          </cell>
          <cell r="C21" t="str">
            <v>m3</v>
          </cell>
          <cell r="D21">
            <v>1</v>
          </cell>
          <cell r="E21">
            <v>161.72</v>
          </cell>
          <cell r="F21">
            <v>0.45800000000000002</v>
          </cell>
          <cell r="K21">
            <v>1.1599999999999999</v>
          </cell>
          <cell r="L21">
            <v>8.0000000000000002E-3</v>
          </cell>
          <cell r="BD21">
            <v>1.2</v>
          </cell>
          <cell r="BE21">
            <v>5.7000000000000002E-2</v>
          </cell>
          <cell r="BO21">
            <v>0.35</v>
          </cell>
        </row>
        <row r="22">
          <cell r="A22">
            <v>17</v>
          </cell>
          <cell r="B22" t="str">
            <v>X©y t­êng cong nghiªng vÆn vá ®ç VXM 50 cao &lt;=2m</v>
          </cell>
          <cell r="C22" t="str">
            <v>m3</v>
          </cell>
          <cell r="D22">
            <v>1</v>
          </cell>
          <cell r="E22">
            <v>89.47</v>
          </cell>
          <cell r="F22">
            <v>0.48299999999999998</v>
          </cell>
          <cell r="BD22">
            <v>1.2</v>
          </cell>
          <cell r="BE22">
            <v>5.7000000000000002E-2</v>
          </cell>
        </row>
        <row r="23">
          <cell r="A23">
            <v>18</v>
          </cell>
          <cell r="B23" t="str">
            <v>X©y t­êng cong nghiªng vÆn vá ®ç VXM 75 cao &lt;=2m</v>
          </cell>
          <cell r="C23" t="str">
            <v>m3</v>
          </cell>
          <cell r="D23">
            <v>1</v>
          </cell>
          <cell r="E23">
            <v>124.33</v>
          </cell>
          <cell r="F23">
            <v>0.47</v>
          </cell>
          <cell r="BD23">
            <v>1.2</v>
          </cell>
          <cell r="BE23">
            <v>5.7000000000000002E-2</v>
          </cell>
        </row>
        <row r="24">
          <cell r="A24">
            <v>19</v>
          </cell>
          <cell r="B24" t="str">
            <v>X©y t­êng cong nghiªng vÆn vá ®ç VXM 100 cao &lt;=2m</v>
          </cell>
          <cell r="C24" t="str">
            <v>m3</v>
          </cell>
          <cell r="D24">
            <v>1</v>
          </cell>
          <cell r="E24">
            <v>161.72</v>
          </cell>
          <cell r="F24">
            <v>0.45800000000000002</v>
          </cell>
          <cell r="BD24">
            <v>1.2</v>
          </cell>
          <cell r="BE24">
            <v>5.7000000000000002E-2</v>
          </cell>
        </row>
        <row r="25">
          <cell r="A25">
            <v>20</v>
          </cell>
          <cell r="B25" t="str">
            <v>X©y t­êng cong nghiªng vÆn vá ®ç VXM 50 dµy&lt;=60,cao &gt;2m</v>
          </cell>
          <cell r="C25" t="str">
            <v>m3</v>
          </cell>
          <cell r="D25">
            <v>1</v>
          </cell>
          <cell r="E25">
            <v>89.47</v>
          </cell>
          <cell r="F25">
            <v>0.48299999999999998</v>
          </cell>
          <cell r="K25">
            <v>1.62</v>
          </cell>
          <cell r="L25">
            <v>0.01</v>
          </cell>
          <cell r="BD25">
            <v>1.2</v>
          </cell>
          <cell r="BE25">
            <v>5.7000000000000002E-2</v>
          </cell>
          <cell r="BO25">
            <v>0.46</v>
          </cell>
        </row>
        <row r="26">
          <cell r="A26">
            <v>21</v>
          </cell>
          <cell r="B26" t="str">
            <v>X©y t­êng cong nghiªng vÆn vá ®ç VXM 75 dµy&lt;=60,cao &gt;2m</v>
          </cell>
          <cell r="C26" t="str">
            <v>m3</v>
          </cell>
          <cell r="D26">
            <v>1</v>
          </cell>
          <cell r="E26">
            <v>124.33</v>
          </cell>
          <cell r="F26">
            <v>0.47</v>
          </cell>
          <cell r="K26">
            <v>1.62</v>
          </cell>
          <cell r="L26">
            <v>0.01</v>
          </cell>
          <cell r="BD26">
            <v>1.2</v>
          </cell>
          <cell r="BE26">
            <v>5.7000000000000002E-2</v>
          </cell>
          <cell r="BO26">
            <v>0.46</v>
          </cell>
        </row>
        <row r="27">
          <cell r="A27">
            <v>22</v>
          </cell>
          <cell r="B27" t="str">
            <v>X©y t­êng cong nghiªng vÆn vá ®ç VXM 100 dµy&lt;=60,cao &gt;2m</v>
          </cell>
          <cell r="C27" t="str">
            <v>m3</v>
          </cell>
          <cell r="D27">
            <v>1</v>
          </cell>
          <cell r="E27">
            <v>161.72</v>
          </cell>
          <cell r="F27">
            <v>0.45800000000000002</v>
          </cell>
          <cell r="K27">
            <v>1.62</v>
          </cell>
          <cell r="L27">
            <v>0.01</v>
          </cell>
          <cell r="BD27">
            <v>1.2</v>
          </cell>
          <cell r="BE27">
            <v>5.7000000000000002E-2</v>
          </cell>
          <cell r="BO27">
            <v>0.46</v>
          </cell>
        </row>
        <row r="28">
          <cell r="A28">
            <v>23</v>
          </cell>
          <cell r="B28" t="str">
            <v>X©y t­êng cong nghiªng vÆn vá ®ç VXM 50 dµy&gt;60,cao &gt;2m</v>
          </cell>
          <cell r="C28" t="str">
            <v>m3</v>
          </cell>
          <cell r="D28">
            <v>1</v>
          </cell>
          <cell r="E28">
            <v>89.47</v>
          </cell>
          <cell r="F28">
            <v>0.48299999999999998</v>
          </cell>
          <cell r="K28">
            <v>1.1599999999999999</v>
          </cell>
          <cell r="L28">
            <v>8.0000000000000002E-3</v>
          </cell>
          <cell r="BD28">
            <v>1.2</v>
          </cell>
          <cell r="BE28">
            <v>5.7000000000000002E-2</v>
          </cell>
          <cell r="BO28">
            <v>0.35</v>
          </cell>
        </row>
        <row r="29">
          <cell r="A29">
            <v>24</v>
          </cell>
          <cell r="B29" t="str">
            <v>X©y t­êng cong nghiªng vÆn vá ®ç VXM 75 dµy&gt;60,cao &gt;2m</v>
          </cell>
          <cell r="C29" t="str">
            <v>m3</v>
          </cell>
          <cell r="D29">
            <v>1</v>
          </cell>
          <cell r="E29">
            <v>124.33</v>
          </cell>
          <cell r="F29">
            <v>0.47</v>
          </cell>
          <cell r="K29">
            <v>1.1599999999999999</v>
          </cell>
          <cell r="L29">
            <v>8.0000000000000002E-3</v>
          </cell>
          <cell r="BD29">
            <v>1.2</v>
          </cell>
          <cell r="BE29">
            <v>5.7000000000000002E-2</v>
          </cell>
          <cell r="BO29">
            <v>0.35</v>
          </cell>
        </row>
        <row r="30">
          <cell r="A30">
            <v>25</v>
          </cell>
          <cell r="B30" t="str">
            <v>X©y t­êng cong nghiªng vÆn vá ®ç VXM 100 dµy&gt;60,cao &gt;2m</v>
          </cell>
          <cell r="C30" t="str">
            <v>m3</v>
          </cell>
          <cell r="D30">
            <v>1</v>
          </cell>
          <cell r="E30">
            <v>161.72</v>
          </cell>
          <cell r="F30">
            <v>0.45800000000000002</v>
          </cell>
          <cell r="K30">
            <v>1.1599999999999999</v>
          </cell>
          <cell r="L30">
            <v>8.0000000000000002E-3</v>
          </cell>
          <cell r="BD30">
            <v>1.2</v>
          </cell>
          <cell r="BE30">
            <v>5.7000000000000002E-2</v>
          </cell>
          <cell r="BO30">
            <v>0.35</v>
          </cell>
        </row>
        <row r="31">
          <cell r="A31">
            <v>26</v>
          </cell>
          <cell r="B31" t="str">
            <v xml:space="preserve">X©y mè cÇu chiÒu cao &lt;=2 VXM 50 </v>
          </cell>
          <cell r="C31" t="str">
            <v>m3</v>
          </cell>
          <cell r="D31">
            <v>1</v>
          </cell>
          <cell r="E31">
            <v>89.47</v>
          </cell>
          <cell r="F31">
            <v>0.48299999999999998</v>
          </cell>
          <cell r="K31">
            <v>1.62</v>
          </cell>
          <cell r="L31">
            <v>0.01</v>
          </cell>
          <cell r="BD31">
            <v>1.2</v>
          </cell>
          <cell r="BE31">
            <v>5.7000000000000002E-2</v>
          </cell>
        </row>
        <row r="32">
          <cell r="A32">
            <v>27</v>
          </cell>
          <cell r="B32" t="str">
            <v>X©y mè cÇu chiÒu cao &lt;=2 VXM 75</v>
          </cell>
          <cell r="C32" t="str">
            <v>m3</v>
          </cell>
          <cell r="D32">
            <v>1</v>
          </cell>
          <cell r="E32">
            <v>124.33</v>
          </cell>
          <cell r="F32">
            <v>0.47</v>
          </cell>
          <cell r="K32">
            <v>1.62</v>
          </cell>
          <cell r="L32">
            <v>0.01</v>
          </cell>
          <cell r="BD32">
            <v>1.2</v>
          </cell>
          <cell r="BE32">
            <v>5.7000000000000002E-2</v>
          </cell>
        </row>
        <row r="33">
          <cell r="A33">
            <v>28</v>
          </cell>
          <cell r="B33" t="str">
            <v xml:space="preserve">X©y mè cÇu chiÒu cao &lt;=2 VXM 100 </v>
          </cell>
          <cell r="C33" t="str">
            <v>m3</v>
          </cell>
          <cell r="D33">
            <v>1</v>
          </cell>
          <cell r="E33">
            <v>161.72</v>
          </cell>
          <cell r="F33">
            <v>0.45800000000000002</v>
          </cell>
          <cell r="K33">
            <v>1.62</v>
          </cell>
          <cell r="L33">
            <v>0.01</v>
          </cell>
          <cell r="BD33">
            <v>1.2</v>
          </cell>
          <cell r="BE33">
            <v>5.7000000000000002E-2</v>
          </cell>
        </row>
        <row r="34">
          <cell r="A34">
            <v>29</v>
          </cell>
          <cell r="B34" t="str">
            <v xml:space="preserve">X©y mè cÇu chiÒu cao &gt;2 VXM 50 </v>
          </cell>
          <cell r="C34" t="str">
            <v>m3</v>
          </cell>
          <cell r="D34">
            <v>1</v>
          </cell>
          <cell r="E34">
            <v>89.47</v>
          </cell>
          <cell r="F34">
            <v>0.48299999999999998</v>
          </cell>
          <cell r="K34">
            <v>1.62</v>
          </cell>
          <cell r="L34">
            <v>0.01</v>
          </cell>
          <cell r="BD34">
            <v>1.2</v>
          </cell>
          <cell r="BE34">
            <v>5.7000000000000002E-2</v>
          </cell>
          <cell r="BO34">
            <v>0.46</v>
          </cell>
        </row>
        <row r="35">
          <cell r="A35">
            <v>30</v>
          </cell>
          <cell r="B35" t="str">
            <v xml:space="preserve">X©y mè cÇu chiÒu cao &gt;2 VXM 75 </v>
          </cell>
          <cell r="C35" t="str">
            <v>m3</v>
          </cell>
          <cell r="D35">
            <v>1</v>
          </cell>
          <cell r="E35">
            <v>124.33</v>
          </cell>
          <cell r="F35">
            <v>0.47</v>
          </cell>
          <cell r="K35">
            <v>1.62</v>
          </cell>
          <cell r="L35">
            <v>0.01</v>
          </cell>
          <cell r="BD35">
            <v>1.2</v>
          </cell>
          <cell r="BE35">
            <v>5.7000000000000002E-2</v>
          </cell>
          <cell r="BO35">
            <v>0.46</v>
          </cell>
        </row>
        <row r="36">
          <cell r="A36">
            <v>31</v>
          </cell>
          <cell r="B36" t="str">
            <v xml:space="preserve">X©y mè cÇu chiÒu cao &gt;2 VXM 100 </v>
          </cell>
          <cell r="C36" t="str">
            <v>m3</v>
          </cell>
          <cell r="D36">
            <v>1</v>
          </cell>
          <cell r="E36">
            <v>161.72</v>
          </cell>
          <cell r="F36">
            <v>0.45800000000000002</v>
          </cell>
          <cell r="K36">
            <v>1.62</v>
          </cell>
          <cell r="L36">
            <v>0.01</v>
          </cell>
          <cell r="BD36">
            <v>1.2</v>
          </cell>
          <cell r="BE36">
            <v>5.7000000000000002E-2</v>
          </cell>
          <cell r="BO36">
            <v>0.46</v>
          </cell>
        </row>
        <row r="37">
          <cell r="A37">
            <v>32</v>
          </cell>
          <cell r="B37" t="str">
            <v xml:space="preserve">X©y trô cét chiÒu cao &lt;=2 VXM 50 </v>
          </cell>
          <cell r="C37" t="str">
            <v>m3</v>
          </cell>
          <cell r="D37">
            <v>1</v>
          </cell>
          <cell r="E37">
            <v>89.47</v>
          </cell>
          <cell r="F37">
            <v>0.48299999999999998</v>
          </cell>
          <cell r="K37">
            <v>0.5</v>
          </cell>
          <cell r="L37">
            <v>3.0000000000000001E-3</v>
          </cell>
          <cell r="BD37">
            <v>1.2</v>
          </cell>
          <cell r="BE37">
            <v>5.7000000000000002E-2</v>
          </cell>
          <cell r="BO37">
            <v>0.23</v>
          </cell>
          <cell r="BP37">
            <v>7.35</v>
          </cell>
        </row>
        <row r="38">
          <cell r="A38">
            <v>33</v>
          </cell>
          <cell r="B38" t="str">
            <v>X©y trô cét chiÒu cao &lt;=2 VXM 75</v>
          </cell>
          <cell r="C38" t="str">
            <v>m3</v>
          </cell>
          <cell r="D38">
            <v>1</v>
          </cell>
          <cell r="E38">
            <v>124.33</v>
          </cell>
          <cell r="F38">
            <v>0.47</v>
          </cell>
          <cell r="K38">
            <v>0.5</v>
          </cell>
          <cell r="L38">
            <v>3.0000000000000001E-3</v>
          </cell>
          <cell r="BD38">
            <v>1.2</v>
          </cell>
          <cell r="BE38">
            <v>5.7000000000000002E-2</v>
          </cell>
          <cell r="BO38">
            <v>0.23</v>
          </cell>
          <cell r="BP38">
            <v>7.35</v>
          </cell>
        </row>
        <row r="39">
          <cell r="A39">
            <v>34</v>
          </cell>
          <cell r="B39" t="str">
            <v xml:space="preserve">X©y trô cét chiÒu cao &lt;=2 VXM 100 </v>
          </cell>
          <cell r="C39" t="str">
            <v>m3</v>
          </cell>
          <cell r="D39">
            <v>1</v>
          </cell>
          <cell r="E39">
            <v>161.72</v>
          </cell>
          <cell r="F39">
            <v>0.45800000000000002</v>
          </cell>
          <cell r="K39">
            <v>0.5</v>
          </cell>
          <cell r="L39">
            <v>3.0000000000000001E-3</v>
          </cell>
          <cell r="BD39">
            <v>1.2</v>
          </cell>
          <cell r="BE39">
            <v>5.7000000000000002E-2</v>
          </cell>
          <cell r="BO39">
            <v>0.23</v>
          </cell>
          <cell r="BP39">
            <v>7.35</v>
          </cell>
        </row>
        <row r="40">
          <cell r="A40">
            <v>35</v>
          </cell>
          <cell r="B40" t="str">
            <v xml:space="preserve">X©y trô cét chiÒu cao &gt;2 VXM 50 </v>
          </cell>
          <cell r="C40" t="str">
            <v>m3</v>
          </cell>
          <cell r="D40">
            <v>1</v>
          </cell>
          <cell r="E40">
            <v>89.47</v>
          </cell>
          <cell r="F40">
            <v>0.48299999999999998</v>
          </cell>
          <cell r="K40">
            <v>1.62</v>
          </cell>
          <cell r="L40">
            <v>0.01</v>
          </cell>
          <cell r="BD40">
            <v>1.2</v>
          </cell>
          <cell r="BE40">
            <v>5.7000000000000002E-2</v>
          </cell>
          <cell r="BO40">
            <v>0.46</v>
          </cell>
          <cell r="BP40">
            <v>7.35</v>
          </cell>
        </row>
        <row r="41">
          <cell r="A41">
            <v>36</v>
          </cell>
          <cell r="B41" t="str">
            <v xml:space="preserve">X©y trô cét chiÒu cao &gt;2 VXM 75 </v>
          </cell>
          <cell r="C41" t="str">
            <v>m3</v>
          </cell>
          <cell r="D41">
            <v>1</v>
          </cell>
          <cell r="E41">
            <v>124.33</v>
          </cell>
          <cell r="F41">
            <v>0.47</v>
          </cell>
          <cell r="K41">
            <v>1.62</v>
          </cell>
          <cell r="L41">
            <v>0.01</v>
          </cell>
          <cell r="BD41">
            <v>1.2</v>
          </cell>
          <cell r="BE41">
            <v>5.7000000000000002E-2</v>
          </cell>
          <cell r="BO41">
            <v>0.46</v>
          </cell>
          <cell r="BP41">
            <v>7.35</v>
          </cell>
        </row>
        <row r="42">
          <cell r="A42">
            <v>37</v>
          </cell>
          <cell r="B42" t="str">
            <v xml:space="preserve">X©y trô cét chiÒu cao &gt;2 VXM 100 </v>
          </cell>
          <cell r="C42" t="str">
            <v>m3</v>
          </cell>
          <cell r="D42">
            <v>1</v>
          </cell>
          <cell r="E42">
            <v>161.72</v>
          </cell>
          <cell r="F42">
            <v>0.45800000000000002</v>
          </cell>
          <cell r="K42">
            <v>1.62</v>
          </cell>
          <cell r="L42">
            <v>0.01</v>
          </cell>
          <cell r="BD42">
            <v>1.2</v>
          </cell>
          <cell r="BE42">
            <v>5.7000000000000002E-2</v>
          </cell>
          <cell r="BO42">
            <v>0.46</v>
          </cell>
          <cell r="BP42">
            <v>7.35</v>
          </cell>
        </row>
        <row r="43">
          <cell r="A43">
            <v>38</v>
          </cell>
          <cell r="B43" t="str">
            <v xml:space="preserve">X©y t­êng ®Çu cÇu chiÒu cao &lt;=2 VXM 50 </v>
          </cell>
          <cell r="C43" t="str">
            <v>m3</v>
          </cell>
          <cell r="D43">
            <v>1</v>
          </cell>
          <cell r="E43">
            <v>89.47</v>
          </cell>
          <cell r="F43">
            <v>0.48299999999999998</v>
          </cell>
          <cell r="K43">
            <v>0.5</v>
          </cell>
          <cell r="L43">
            <v>3.0000000000000001E-3</v>
          </cell>
          <cell r="BD43">
            <v>1.2</v>
          </cell>
          <cell r="BE43">
            <v>5.7000000000000002E-2</v>
          </cell>
          <cell r="BO43">
            <v>0.23</v>
          </cell>
        </row>
        <row r="44">
          <cell r="A44">
            <v>39</v>
          </cell>
          <cell r="B44" t="str">
            <v>X©y t­êng ®Çu cÇu chiÒu cao &lt;=2 VXM 75</v>
          </cell>
          <cell r="C44" t="str">
            <v>m3</v>
          </cell>
          <cell r="D44">
            <v>1</v>
          </cell>
          <cell r="E44">
            <v>124.33</v>
          </cell>
          <cell r="F44">
            <v>0.47</v>
          </cell>
          <cell r="K44">
            <v>0.5</v>
          </cell>
          <cell r="L44">
            <v>3.0000000000000001E-3</v>
          </cell>
          <cell r="BD44">
            <v>1.2</v>
          </cell>
          <cell r="BE44">
            <v>5.7000000000000002E-2</v>
          </cell>
          <cell r="BO44">
            <v>0.23</v>
          </cell>
        </row>
        <row r="45">
          <cell r="A45">
            <v>40</v>
          </cell>
          <cell r="B45" t="str">
            <v xml:space="preserve">X©y t­êng ®Çu cÇu chiÒu cao &lt;=2 VXM 100 </v>
          </cell>
          <cell r="C45" t="str">
            <v>m3</v>
          </cell>
          <cell r="D45">
            <v>1</v>
          </cell>
          <cell r="E45">
            <v>161.72</v>
          </cell>
          <cell r="F45">
            <v>0.45800000000000002</v>
          </cell>
          <cell r="K45">
            <v>0.5</v>
          </cell>
          <cell r="L45">
            <v>3.0000000000000001E-3</v>
          </cell>
          <cell r="BD45">
            <v>1.2</v>
          </cell>
          <cell r="BE45">
            <v>5.7000000000000002E-2</v>
          </cell>
          <cell r="BO45">
            <v>0.23</v>
          </cell>
        </row>
        <row r="46">
          <cell r="A46">
            <v>41</v>
          </cell>
          <cell r="B46" t="str">
            <v xml:space="preserve">X©y t­êng ®Çu cÇu chiÒu cao &gt;2 VXM 50 </v>
          </cell>
          <cell r="C46" t="str">
            <v>m3</v>
          </cell>
          <cell r="D46">
            <v>1</v>
          </cell>
          <cell r="E46">
            <v>89.47</v>
          </cell>
          <cell r="F46">
            <v>0.48299999999999998</v>
          </cell>
          <cell r="K46">
            <v>1.62</v>
          </cell>
          <cell r="L46">
            <v>0.01</v>
          </cell>
          <cell r="BD46">
            <v>1.2</v>
          </cell>
          <cell r="BE46">
            <v>5.7000000000000002E-2</v>
          </cell>
          <cell r="BO46">
            <v>0.46</v>
          </cell>
        </row>
        <row r="47">
          <cell r="A47">
            <v>42</v>
          </cell>
          <cell r="B47" t="str">
            <v xml:space="preserve">X©y t­êng ®Çu cÇu chiÒu cao &gt;2 VXM 75 </v>
          </cell>
          <cell r="C47" t="str">
            <v>m3</v>
          </cell>
          <cell r="D47">
            <v>1</v>
          </cell>
          <cell r="E47">
            <v>124.33</v>
          </cell>
          <cell r="F47">
            <v>0.47</v>
          </cell>
          <cell r="K47">
            <v>1.62</v>
          </cell>
          <cell r="L47">
            <v>0.01</v>
          </cell>
          <cell r="BD47">
            <v>1.2</v>
          </cell>
          <cell r="BE47">
            <v>5.7000000000000002E-2</v>
          </cell>
          <cell r="BO47">
            <v>0.46</v>
          </cell>
        </row>
        <row r="48">
          <cell r="A48">
            <v>43</v>
          </cell>
          <cell r="B48" t="str">
            <v xml:space="preserve">X©y t­êng ®Çu cÇu chiÒu cao &gt;2 VXM 100 </v>
          </cell>
          <cell r="C48" t="str">
            <v>m3</v>
          </cell>
          <cell r="D48">
            <v>1</v>
          </cell>
          <cell r="E48">
            <v>161.72</v>
          </cell>
          <cell r="F48">
            <v>0.45800000000000002</v>
          </cell>
          <cell r="K48">
            <v>1.62</v>
          </cell>
          <cell r="L48">
            <v>0.01</v>
          </cell>
          <cell r="BD48">
            <v>1.2</v>
          </cell>
          <cell r="BE48">
            <v>5.7000000000000002E-2</v>
          </cell>
          <cell r="BO48">
            <v>0.46</v>
          </cell>
        </row>
        <row r="49">
          <cell r="A49">
            <v>44</v>
          </cell>
          <cell r="B49" t="str">
            <v>X©y mÆt b»ng ®¸ héc VXM 50</v>
          </cell>
          <cell r="C49" t="str">
            <v>m3</v>
          </cell>
          <cell r="D49">
            <v>1</v>
          </cell>
          <cell r="E49">
            <v>89.47</v>
          </cell>
          <cell r="F49">
            <v>0.48299999999999998</v>
          </cell>
          <cell r="BD49">
            <v>1.2</v>
          </cell>
          <cell r="BE49">
            <v>5.7000000000000002E-2</v>
          </cell>
        </row>
        <row r="50">
          <cell r="A50">
            <v>45</v>
          </cell>
          <cell r="B50" t="str">
            <v>X©y mÆt b»ng ®¸ héc VXM 75</v>
          </cell>
          <cell r="C50" t="str">
            <v>m3</v>
          </cell>
          <cell r="D50">
            <v>1</v>
          </cell>
          <cell r="E50">
            <v>124.33</v>
          </cell>
          <cell r="F50">
            <v>0.47</v>
          </cell>
          <cell r="BD50">
            <v>1.2</v>
          </cell>
          <cell r="BE50">
            <v>5.7000000000000002E-2</v>
          </cell>
        </row>
        <row r="51">
          <cell r="A51">
            <v>46</v>
          </cell>
          <cell r="B51" t="str">
            <v>X©y mÆt b»ng ®¸ héc VXM 100</v>
          </cell>
          <cell r="C51" t="str">
            <v>m3</v>
          </cell>
          <cell r="D51">
            <v>1</v>
          </cell>
          <cell r="E51">
            <v>161.72</v>
          </cell>
          <cell r="F51">
            <v>0.45800000000000002</v>
          </cell>
          <cell r="BD51">
            <v>1.2</v>
          </cell>
          <cell r="BE51">
            <v>5.7000000000000002E-2</v>
          </cell>
        </row>
        <row r="52">
          <cell r="A52">
            <v>47</v>
          </cell>
          <cell r="B52" t="str">
            <v>X©y mÆt b»ng m¸i dèc th¼ng ®¸ héc VXM 50</v>
          </cell>
          <cell r="C52" t="str">
            <v>m3</v>
          </cell>
          <cell r="D52">
            <v>1</v>
          </cell>
          <cell r="E52">
            <v>89.47</v>
          </cell>
          <cell r="F52">
            <v>0.48299999999999998</v>
          </cell>
          <cell r="BD52">
            <v>1.2</v>
          </cell>
          <cell r="BE52">
            <v>5.7000000000000002E-2</v>
          </cell>
        </row>
        <row r="53">
          <cell r="A53">
            <v>48</v>
          </cell>
          <cell r="B53" t="str">
            <v>X©y mÆt b»ng m¸i dèc th¼ng ®¸ héc VXM 75</v>
          </cell>
          <cell r="C53" t="str">
            <v>m3</v>
          </cell>
          <cell r="D53">
            <v>1</v>
          </cell>
          <cell r="E53">
            <v>124.33</v>
          </cell>
          <cell r="F53">
            <v>0.47</v>
          </cell>
          <cell r="BD53">
            <v>1.2</v>
          </cell>
          <cell r="BE53">
            <v>5.7000000000000002E-2</v>
          </cell>
        </row>
        <row r="54">
          <cell r="A54">
            <v>49</v>
          </cell>
          <cell r="B54" t="str">
            <v>X©y mÆt b»ng m¸i dèc th¼ng ®¸ héc VXM 100</v>
          </cell>
          <cell r="C54" t="str">
            <v>m3</v>
          </cell>
          <cell r="D54">
            <v>1</v>
          </cell>
          <cell r="E54">
            <v>161.72</v>
          </cell>
          <cell r="F54">
            <v>0.45800000000000002</v>
          </cell>
          <cell r="BD54">
            <v>1.2</v>
          </cell>
          <cell r="BE54">
            <v>5.7000000000000002E-2</v>
          </cell>
        </row>
        <row r="55">
          <cell r="A55">
            <v>50</v>
          </cell>
          <cell r="B55" t="str">
            <v>X©y mÆt b»ng m¸i dèc cong ®¸ héc VXM 50</v>
          </cell>
          <cell r="C55" t="str">
            <v>m3</v>
          </cell>
          <cell r="D55">
            <v>1</v>
          </cell>
          <cell r="E55">
            <v>89.47</v>
          </cell>
          <cell r="F55">
            <v>0.48299999999999998</v>
          </cell>
          <cell r="V55">
            <v>0.51</v>
          </cell>
          <cell r="BD55">
            <v>1.2</v>
          </cell>
          <cell r="BE55">
            <v>5.7000000000000002E-2</v>
          </cell>
        </row>
        <row r="56">
          <cell r="A56">
            <v>51</v>
          </cell>
          <cell r="B56" t="str">
            <v>X©y mÆt b»ng m¸i dèc cong ®¸ héc VXM 75</v>
          </cell>
          <cell r="C56" t="str">
            <v>m3</v>
          </cell>
          <cell r="D56">
            <v>1</v>
          </cell>
          <cell r="E56">
            <v>124.33</v>
          </cell>
          <cell r="F56">
            <v>0.47</v>
          </cell>
          <cell r="V56">
            <v>0.51</v>
          </cell>
          <cell r="BD56">
            <v>1.2</v>
          </cell>
          <cell r="BE56">
            <v>5.7000000000000002E-2</v>
          </cell>
        </row>
        <row r="57">
          <cell r="A57">
            <v>52</v>
          </cell>
          <cell r="B57" t="str">
            <v>X©y mÆt b»ng m¸i dèc cong ®¸ héc VXM 100</v>
          </cell>
          <cell r="C57" t="str">
            <v>m3</v>
          </cell>
          <cell r="D57">
            <v>1</v>
          </cell>
          <cell r="E57">
            <v>161.72</v>
          </cell>
          <cell r="F57">
            <v>0.45800000000000002</v>
          </cell>
          <cell r="V57">
            <v>0.51</v>
          </cell>
          <cell r="BD57">
            <v>1.2</v>
          </cell>
          <cell r="BE57">
            <v>5.7000000000000002E-2</v>
          </cell>
        </row>
        <row r="58">
          <cell r="A58">
            <v>53</v>
          </cell>
          <cell r="B58" t="str">
            <v>X©y mãng g¹ch chØ VXM 50 dµy &lt;=33</v>
          </cell>
          <cell r="C58" t="str">
            <v>m3</v>
          </cell>
          <cell r="D58">
            <v>1</v>
          </cell>
          <cell r="E58">
            <v>66.709999999999994</v>
          </cell>
          <cell r="F58">
            <v>0.32500000000000001</v>
          </cell>
          <cell r="I58">
            <v>550</v>
          </cell>
        </row>
        <row r="59">
          <cell r="A59">
            <v>54</v>
          </cell>
          <cell r="B59" t="str">
            <v>X©y mãng g¹ch chØ VXM 75 dµy &lt;=33</v>
          </cell>
          <cell r="C59" t="str">
            <v>m3</v>
          </cell>
          <cell r="D59">
            <v>1</v>
          </cell>
          <cell r="E59">
            <v>92.81</v>
          </cell>
          <cell r="F59">
            <v>0.316</v>
          </cell>
          <cell r="I59">
            <v>550</v>
          </cell>
        </row>
        <row r="60">
          <cell r="A60">
            <v>55</v>
          </cell>
          <cell r="B60" t="str">
            <v>X©y mãng g¹ch chØ VXM 100 dµy &lt;=33</v>
          </cell>
          <cell r="C60" t="str">
            <v>m3</v>
          </cell>
          <cell r="D60">
            <v>1</v>
          </cell>
          <cell r="E60">
            <v>118.91</v>
          </cell>
          <cell r="F60">
            <v>0.30499999999999999</v>
          </cell>
          <cell r="I60">
            <v>550</v>
          </cell>
        </row>
        <row r="61">
          <cell r="A61">
            <v>56</v>
          </cell>
          <cell r="B61" t="str">
            <v>X©y mãng VXM 50 dµy &gt;33</v>
          </cell>
          <cell r="C61" t="str">
            <v>m3</v>
          </cell>
          <cell r="D61">
            <v>1</v>
          </cell>
          <cell r="E61">
            <v>69.010000000000005</v>
          </cell>
          <cell r="F61">
            <v>0.33600000000000002</v>
          </cell>
          <cell r="I61">
            <v>539</v>
          </cell>
        </row>
        <row r="62">
          <cell r="A62">
            <v>57</v>
          </cell>
          <cell r="B62" t="str">
            <v>X©y mãng VXM 75 dµy &gt;33</v>
          </cell>
          <cell r="C62" t="str">
            <v>m3</v>
          </cell>
          <cell r="D62">
            <v>1</v>
          </cell>
          <cell r="E62">
            <v>96.01</v>
          </cell>
          <cell r="F62">
            <v>0.33</v>
          </cell>
          <cell r="I62">
            <v>539</v>
          </cell>
        </row>
        <row r="63">
          <cell r="A63">
            <v>58</v>
          </cell>
          <cell r="B63" t="str">
            <v>X©y mãng VXM 100 dµy &gt;33</v>
          </cell>
          <cell r="C63" t="str">
            <v>m3</v>
          </cell>
          <cell r="D63">
            <v>1</v>
          </cell>
          <cell r="E63">
            <v>123</v>
          </cell>
          <cell r="F63">
            <v>0.315</v>
          </cell>
          <cell r="I63">
            <v>539</v>
          </cell>
        </row>
        <row r="64">
          <cell r="A64">
            <v>59</v>
          </cell>
          <cell r="B64" t="str">
            <v>X©y t­êng g¹ch&lt;= 11 VTH c¸t ®en  25 cao&lt;=4m</v>
          </cell>
          <cell r="C64" t="str">
            <v>m3</v>
          </cell>
          <cell r="D64">
            <v>1</v>
          </cell>
          <cell r="E64">
            <v>27.83</v>
          </cell>
          <cell r="G64">
            <v>0.26</v>
          </cell>
          <cell r="I64">
            <v>643</v>
          </cell>
          <cell r="J64">
            <v>21.35</v>
          </cell>
          <cell r="K64">
            <v>0.5</v>
          </cell>
          <cell r="L64">
            <v>3.0000000000000001E-3</v>
          </cell>
          <cell r="BO64">
            <v>0.23</v>
          </cell>
        </row>
        <row r="65">
          <cell r="A65">
            <v>60</v>
          </cell>
          <cell r="B65" t="str">
            <v>X©y t­êng g¹ch&lt;= 11 VTH c¸t ®en  50 cao&lt;=4m</v>
          </cell>
          <cell r="C65" t="str">
            <v>m3</v>
          </cell>
          <cell r="D65">
            <v>1</v>
          </cell>
          <cell r="E65">
            <v>51.76</v>
          </cell>
          <cell r="G65">
            <v>0.253</v>
          </cell>
          <cell r="I65">
            <v>643</v>
          </cell>
          <cell r="J65">
            <v>15.08</v>
          </cell>
          <cell r="K65">
            <v>0.5</v>
          </cell>
          <cell r="L65">
            <v>3.0000000000000001E-3</v>
          </cell>
          <cell r="BO65">
            <v>0.23</v>
          </cell>
        </row>
        <row r="66">
          <cell r="A66">
            <v>61</v>
          </cell>
          <cell r="B66" t="str">
            <v>X©y t­êng g¹ch&lt;= 11 VTH c¸t ®en  75 cao&lt;=4m</v>
          </cell>
          <cell r="C66" t="str">
            <v>m3</v>
          </cell>
          <cell r="D66">
            <v>1</v>
          </cell>
          <cell r="E66">
            <v>73.430000000000007</v>
          </cell>
          <cell r="G66">
            <v>0.246</v>
          </cell>
          <cell r="I66">
            <v>643</v>
          </cell>
          <cell r="J66">
            <v>10.32</v>
          </cell>
          <cell r="K66">
            <v>0.5</v>
          </cell>
          <cell r="L66">
            <v>3.0000000000000001E-3</v>
          </cell>
          <cell r="BO66">
            <v>0.23</v>
          </cell>
        </row>
        <row r="67">
          <cell r="A67">
            <v>62</v>
          </cell>
          <cell r="B67" t="str">
            <v>X©y t­êng g¹ch&lt;= 11 VXM c¸t vµng  50 cao&lt;=4m</v>
          </cell>
          <cell r="C67" t="str">
            <v>m3</v>
          </cell>
          <cell r="D67">
            <v>1</v>
          </cell>
          <cell r="E67">
            <v>52.91</v>
          </cell>
          <cell r="F67">
            <v>0.25800000000000001</v>
          </cell>
          <cell r="I67">
            <v>643</v>
          </cell>
          <cell r="K67">
            <v>0.5</v>
          </cell>
          <cell r="L67">
            <v>3.0000000000000001E-3</v>
          </cell>
          <cell r="BO67">
            <v>0.23</v>
          </cell>
        </row>
        <row r="68">
          <cell r="A68">
            <v>63</v>
          </cell>
          <cell r="B68" t="str">
            <v>X©y t­êng g¹ch&lt;= 11 VXM c¸t vµng  75 cao&lt;=4m</v>
          </cell>
          <cell r="C68" t="str">
            <v>m3</v>
          </cell>
          <cell r="D68">
            <v>1</v>
          </cell>
          <cell r="E68">
            <v>73.61</v>
          </cell>
          <cell r="F68">
            <v>0.251</v>
          </cell>
          <cell r="I68">
            <v>643</v>
          </cell>
          <cell r="K68">
            <v>0.5</v>
          </cell>
          <cell r="L68">
            <v>3.0000000000000001E-3</v>
          </cell>
          <cell r="BO68">
            <v>0.23</v>
          </cell>
        </row>
        <row r="69">
          <cell r="A69">
            <v>64</v>
          </cell>
          <cell r="B69" t="str">
            <v>X©y t­êng g¹ch&lt;= 11 VXM c¸t vµng  100 cao&lt;=4m</v>
          </cell>
          <cell r="C69" t="str">
            <v>m3</v>
          </cell>
          <cell r="D69">
            <v>1</v>
          </cell>
          <cell r="E69">
            <v>94.31</v>
          </cell>
          <cell r="F69">
            <v>0.24199999999999999</v>
          </cell>
          <cell r="I69">
            <v>643</v>
          </cell>
          <cell r="K69">
            <v>0.5</v>
          </cell>
          <cell r="L69">
            <v>3.0000000000000001E-3</v>
          </cell>
          <cell r="BO69">
            <v>0.23</v>
          </cell>
        </row>
        <row r="70">
          <cell r="A70">
            <v>65</v>
          </cell>
          <cell r="B70" t="str">
            <v>X©y t­êng g¹ch&lt;= 11 VTH c¸t ®en 25 cao&gt;4m</v>
          </cell>
          <cell r="C70" t="str">
            <v>m3</v>
          </cell>
          <cell r="D70">
            <v>1</v>
          </cell>
          <cell r="E70">
            <v>27.83</v>
          </cell>
          <cell r="G70">
            <v>0.26</v>
          </cell>
          <cell r="I70">
            <v>643</v>
          </cell>
          <cell r="J70">
            <v>21.35</v>
          </cell>
          <cell r="K70">
            <v>1.62</v>
          </cell>
          <cell r="L70">
            <v>0.01</v>
          </cell>
          <cell r="BO70">
            <v>0.46</v>
          </cell>
        </row>
        <row r="71">
          <cell r="A71">
            <v>66</v>
          </cell>
          <cell r="B71" t="str">
            <v>X©y t­êng g¹ch&lt;= 11 VTH c¸t ®en 50 cao&gt;4m</v>
          </cell>
          <cell r="C71" t="str">
            <v>m3</v>
          </cell>
          <cell r="D71">
            <v>1</v>
          </cell>
          <cell r="E71">
            <v>51.76</v>
          </cell>
          <cell r="G71">
            <v>0.253</v>
          </cell>
          <cell r="I71">
            <v>643</v>
          </cell>
          <cell r="J71">
            <v>15.08</v>
          </cell>
          <cell r="K71">
            <v>1.62</v>
          </cell>
          <cell r="L71">
            <v>0.01</v>
          </cell>
          <cell r="BO71">
            <v>0.46</v>
          </cell>
        </row>
        <row r="72">
          <cell r="A72">
            <v>67</v>
          </cell>
          <cell r="B72" t="str">
            <v>X©y t­êng g¹ch&lt;= 11 VTH c¸t ®en 75 cao&gt;4m</v>
          </cell>
          <cell r="C72" t="str">
            <v>m3</v>
          </cell>
          <cell r="D72">
            <v>1</v>
          </cell>
          <cell r="E72">
            <v>73.430000000000007</v>
          </cell>
          <cell r="G72">
            <v>0.246</v>
          </cell>
          <cell r="I72">
            <v>643</v>
          </cell>
          <cell r="J72">
            <v>10.32</v>
          </cell>
          <cell r="K72">
            <v>1.62</v>
          </cell>
          <cell r="L72">
            <v>0.01</v>
          </cell>
          <cell r="BO72">
            <v>0.46</v>
          </cell>
        </row>
        <row r="73">
          <cell r="A73">
            <v>68</v>
          </cell>
          <cell r="B73" t="str">
            <v>X©y t­êng g¹ch&lt;= 11 VXM c¸t vµng  50 cao&gt;4m</v>
          </cell>
          <cell r="C73" t="str">
            <v>m3</v>
          </cell>
          <cell r="D73">
            <v>1</v>
          </cell>
          <cell r="E73">
            <v>52.91</v>
          </cell>
          <cell r="F73">
            <v>0.25800000000000001</v>
          </cell>
          <cell r="I73">
            <v>643</v>
          </cell>
          <cell r="K73">
            <v>1.62</v>
          </cell>
          <cell r="L73">
            <v>0.01</v>
          </cell>
          <cell r="BO73">
            <v>0.46</v>
          </cell>
        </row>
        <row r="74">
          <cell r="A74">
            <v>69</v>
          </cell>
          <cell r="B74" t="str">
            <v>X©y t­êng g¹ch&lt;= 11 VXM c¸t vµng  75 cao&gt;4m</v>
          </cell>
          <cell r="C74" t="str">
            <v>m3</v>
          </cell>
          <cell r="D74">
            <v>1</v>
          </cell>
          <cell r="E74">
            <v>73.61</v>
          </cell>
          <cell r="F74">
            <v>0.251</v>
          </cell>
          <cell r="I74">
            <v>643</v>
          </cell>
          <cell r="K74">
            <v>1.62</v>
          </cell>
          <cell r="L74">
            <v>0.01</v>
          </cell>
          <cell r="BO74">
            <v>0.46</v>
          </cell>
        </row>
        <row r="75">
          <cell r="A75">
            <v>70</v>
          </cell>
          <cell r="B75" t="str">
            <v>X©y t­êng g¹ch&lt;= 11 VXM c¸t vµng  100 cao&gt;4m</v>
          </cell>
          <cell r="C75" t="str">
            <v>m3</v>
          </cell>
          <cell r="D75">
            <v>1</v>
          </cell>
          <cell r="E75">
            <v>94.31</v>
          </cell>
          <cell r="F75">
            <v>0.24199999999999999</v>
          </cell>
          <cell r="I75">
            <v>643</v>
          </cell>
          <cell r="K75">
            <v>1.62</v>
          </cell>
          <cell r="L75">
            <v>0.01</v>
          </cell>
          <cell r="BO75">
            <v>0.46</v>
          </cell>
        </row>
        <row r="76">
          <cell r="A76">
            <v>71</v>
          </cell>
          <cell r="B76" t="str">
            <v>X©y t­êng g¹ch &lt;=33 VTH c¸t ®en 25 cao&lt;=4m</v>
          </cell>
          <cell r="C76" t="str">
            <v>m3</v>
          </cell>
          <cell r="D76">
            <v>1</v>
          </cell>
          <cell r="E76">
            <v>35.090000000000003</v>
          </cell>
          <cell r="G76">
            <v>0.32800000000000001</v>
          </cell>
          <cell r="I76">
            <v>550</v>
          </cell>
          <cell r="J76">
            <v>26.92</v>
          </cell>
          <cell r="K76">
            <v>0.5</v>
          </cell>
          <cell r="L76">
            <v>3.0000000000000001E-3</v>
          </cell>
          <cell r="BO76">
            <v>0.23</v>
          </cell>
        </row>
        <row r="77">
          <cell r="A77">
            <v>72</v>
          </cell>
          <cell r="B77" t="str">
            <v>X©y t­êng g¹ch &lt;=33 VTH c¸t ®en 50 cao&lt;=4m</v>
          </cell>
          <cell r="C77" t="str">
            <v>m3</v>
          </cell>
          <cell r="D77">
            <v>1</v>
          </cell>
          <cell r="E77">
            <v>65.260000000000005</v>
          </cell>
          <cell r="G77">
            <v>0.31900000000000001</v>
          </cell>
          <cell r="I77">
            <v>550</v>
          </cell>
          <cell r="J77">
            <v>19.52</v>
          </cell>
          <cell r="K77">
            <v>0.5</v>
          </cell>
          <cell r="L77">
            <v>3.0000000000000001E-3</v>
          </cell>
          <cell r="BO77">
            <v>0.23</v>
          </cell>
        </row>
        <row r="78">
          <cell r="A78">
            <v>73</v>
          </cell>
          <cell r="B78" t="str">
            <v>X©y t­êng g¹ch &lt;=33 VTH c¸t ®en 75 cao&lt;=4m</v>
          </cell>
          <cell r="C78" t="str">
            <v>m3</v>
          </cell>
          <cell r="D78">
            <v>1</v>
          </cell>
          <cell r="E78">
            <v>92.58</v>
          </cell>
          <cell r="G78">
            <v>0.31</v>
          </cell>
          <cell r="I78">
            <v>550</v>
          </cell>
          <cell r="J78">
            <v>13.02</v>
          </cell>
          <cell r="K78">
            <v>0.5</v>
          </cell>
          <cell r="L78">
            <v>3.0000000000000001E-3</v>
          </cell>
          <cell r="BO78">
            <v>0.23</v>
          </cell>
        </row>
        <row r="79">
          <cell r="A79">
            <v>74</v>
          </cell>
          <cell r="B79" t="str">
            <v>X©y t­êng g¹ch&lt;= 33 VXM c¸t vµng  50 cao&lt;=4m</v>
          </cell>
          <cell r="C79" t="str">
            <v>m3</v>
          </cell>
          <cell r="D79">
            <v>1</v>
          </cell>
          <cell r="E79">
            <v>66.709999999999994</v>
          </cell>
          <cell r="F79">
            <v>0.32500000000000001</v>
          </cell>
          <cell r="I79">
            <v>550</v>
          </cell>
          <cell r="K79">
            <v>0.5</v>
          </cell>
          <cell r="L79">
            <v>3.0000000000000001E-3</v>
          </cell>
          <cell r="BO79">
            <v>0.23</v>
          </cell>
        </row>
        <row r="80">
          <cell r="A80">
            <v>75</v>
          </cell>
          <cell r="B80" t="str">
            <v>X©y t­êng g¹ch&lt;= 33 VXM c¸t vµng  75 cao&lt;=4m</v>
          </cell>
          <cell r="C80" t="str">
            <v>m3</v>
          </cell>
          <cell r="D80">
            <v>1</v>
          </cell>
          <cell r="E80">
            <v>92.81</v>
          </cell>
          <cell r="F80">
            <v>0.316</v>
          </cell>
          <cell r="I80">
            <v>550</v>
          </cell>
          <cell r="K80">
            <v>0.5</v>
          </cell>
          <cell r="L80">
            <v>3.0000000000000001E-3</v>
          </cell>
          <cell r="BO80">
            <v>0.23</v>
          </cell>
        </row>
        <row r="81">
          <cell r="A81">
            <v>76</v>
          </cell>
          <cell r="B81" t="str">
            <v>X©y t­êng g¹ch&lt;= 33 VXM c¸t vµng  100 cao&lt;=4m</v>
          </cell>
          <cell r="C81" t="str">
            <v>m3</v>
          </cell>
          <cell r="D81">
            <v>1</v>
          </cell>
          <cell r="E81">
            <v>118.91</v>
          </cell>
          <cell r="F81">
            <v>0.30499999999999999</v>
          </cell>
          <cell r="I81">
            <v>550</v>
          </cell>
          <cell r="K81">
            <v>0.5</v>
          </cell>
          <cell r="L81">
            <v>3.0000000000000001E-3</v>
          </cell>
          <cell r="BO81">
            <v>0.23</v>
          </cell>
        </row>
        <row r="82">
          <cell r="A82">
            <v>77</v>
          </cell>
          <cell r="B82" t="str">
            <v>X©y t­êng g¹ch &lt;=33 VTH c¸t ®en 25 cao&gt;4m</v>
          </cell>
          <cell r="C82" t="str">
            <v>m3</v>
          </cell>
          <cell r="D82">
            <v>1</v>
          </cell>
          <cell r="E82">
            <v>35.090000000000003</v>
          </cell>
          <cell r="G82">
            <v>0.32800000000000001</v>
          </cell>
          <cell r="I82">
            <v>550</v>
          </cell>
          <cell r="J82">
            <v>26.92</v>
          </cell>
          <cell r="K82">
            <v>1.62</v>
          </cell>
          <cell r="L82">
            <v>0.01</v>
          </cell>
          <cell r="BO82">
            <v>0.46</v>
          </cell>
        </row>
        <row r="83">
          <cell r="A83">
            <v>78</v>
          </cell>
          <cell r="B83" t="str">
            <v>X©y t­êng g¹ch &lt;=33 VTH c¸t ®en 50 cao&gt;4m</v>
          </cell>
          <cell r="C83" t="str">
            <v>m3</v>
          </cell>
          <cell r="D83">
            <v>1</v>
          </cell>
          <cell r="E83">
            <v>65.260000000000005</v>
          </cell>
          <cell r="G83">
            <v>0.31900000000000001</v>
          </cell>
          <cell r="I83">
            <v>550</v>
          </cell>
          <cell r="J83">
            <v>19.52</v>
          </cell>
          <cell r="K83">
            <v>1.62</v>
          </cell>
          <cell r="L83">
            <v>0.01</v>
          </cell>
          <cell r="BO83">
            <v>0.46</v>
          </cell>
        </row>
        <row r="84">
          <cell r="A84">
            <v>79</v>
          </cell>
          <cell r="B84" t="str">
            <v>X©y t­êng g¹ch &lt;=33 VTH c¸t ®en 75 cao&gt;4m</v>
          </cell>
          <cell r="C84" t="str">
            <v>m3</v>
          </cell>
          <cell r="D84">
            <v>1</v>
          </cell>
          <cell r="E84">
            <v>92.58</v>
          </cell>
          <cell r="G84">
            <v>0.31</v>
          </cell>
          <cell r="I84">
            <v>550</v>
          </cell>
          <cell r="J84">
            <v>13.02</v>
          </cell>
          <cell r="K84">
            <v>1.62</v>
          </cell>
          <cell r="L84">
            <v>0.01</v>
          </cell>
          <cell r="BO84">
            <v>0.46</v>
          </cell>
        </row>
        <row r="85">
          <cell r="A85">
            <v>80</v>
          </cell>
          <cell r="B85" t="str">
            <v>X©y t­êng g¹ch&lt;= 33 VXM c¸t vµng  50 cao&gt;4m</v>
          </cell>
          <cell r="C85" t="str">
            <v>m3</v>
          </cell>
          <cell r="D85">
            <v>1</v>
          </cell>
          <cell r="E85">
            <v>66.709999999999994</v>
          </cell>
          <cell r="F85">
            <v>0.32500000000000001</v>
          </cell>
          <cell r="BO85">
            <v>0.46</v>
          </cell>
        </row>
        <row r="86">
          <cell r="A86">
            <v>81</v>
          </cell>
          <cell r="B86" t="str">
            <v>X©y t­êng g¹ch&lt;= 33 VXM c¸t vµng  75 cao&gt;4m</v>
          </cell>
          <cell r="C86" t="str">
            <v>m3</v>
          </cell>
          <cell r="D86">
            <v>1</v>
          </cell>
          <cell r="E86">
            <v>92.81</v>
          </cell>
          <cell r="F86">
            <v>0.316</v>
          </cell>
          <cell r="BO86">
            <v>0.46</v>
          </cell>
        </row>
        <row r="87">
          <cell r="A87">
            <v>82</v>
          </cell>
          <cell r="B87" t="str">
            <v>X©y t­êng g¹ch&lt;= 33 VXM c¸t vµng  100 cao&gt;4m</v>
          </cell>
          <cell r="C87" t="str">
            <v>m3</v>
          </cell>
          <cell r="D87">
            <v>1</v>
          </cell>
          <cell r="E87">
            <v>118.91</v>
          </cell>
          <cell r="F87">
            <v>0.30499999999999999</v>
          </cell>
          <cell r="BO87">
            <v>0.46</v>
          </cell>
        </row>
        <row r="88">
          <cell r="A88">
            <v>83</v>
          </cell>
          <cell r="B88" t="str">
            <v>X©y t­êng g¹ch &gt;33 VTH c¸t ®en 25 cao&lt;=4m</v>
          </cell>
          <cell r="C88" t="str">
            <v>m3</v>
          </cell>
          <cell r="D88">
            <v>1</v>
          </cell>
          <cell r="E88">
            <v>36.299999999999997</v>
          </cell>
          <cell r="G88">
            <v>0.33900000000000002</v>
          </cell>
          <cell r="I88">
            <v>539</v>
          </cell>
          <cell r="J88">
            <v>27.85</v>
          </cell>
          <cell r="K88">
            <v>0.4</v>
          </cell>
          <cell r="L88">
            <v>2.3999999999999998E-3</v>
          </cell>
          <cell r="BO88">
            <v>0.2</v>
          </cell>
        </row>
        <row r="89">
          <cell r="A89">
            <v>84</v>
          </cell>
          <cell r="B89" t="str">
            <v>X©y t­êng g¹ch &gt;33 VTH c¸t ®en 50 cao&lt;=4m</v>
          </cell>
          <cell r="C89" t="str">
            <v>m3</v>
          </cell>
          <cell r="D89">
            <v>1</v>
          </cell>
          <cell r="E89">
            <v>67.510000000000005</v>
          </cell>
          <cell r="G89">
            <v>0.33</v>
          </cell>
          <cell r="I89">
            <v>539</v>
          </cell>
          <cell r="J89">
            <v>20.2</v>
          </cell>
          <cell r="K89">
            <v>0.4</v>
          </cell>
          <cell r="L89">
            <v>2.3999999999999998E-3</v>
          </cell>
          <cell r="BO89">
            <v>0.2</v>
          </cell>
        </row>
        <row r="90">
          <cell r="A90">
            <v>85</v>
          </cell>
          <cell r="B90" t="str">
            <v>X©y t­êng g¹ch &gt;33 VTH c¸t ®en 75 cao&lt;=4m</v>
          </cell>
          <cell r="C90" t="str">
            <v>m3</v>
          </cell>
          <cell r="D90">
            <v>1</v>
          </cell>
          <cell r="E90">
            <v>95.78</v>
          </cell>
          <cell r="G90">
            <v>0.32100000000000001</v>
          </cell>
          <cell r="I90">
            <v>539</v>
          </cell>
          <cell r="J90">
            <v>13.46</v>
          </cell>
          <cell r="K90">
            <v>0.4</v>
          </cell>
          <cell r="L90">
            <v>2.3999999999999998E-3</v>
          </cell>
          <cell r="BO90">
            <v>0.2</v>
          </cell>
        </row>
        <row r="91">
          <cell r="A91">
            <v>86</v>
          </cell>
          <cell r="B91" t="str">
            <v>X©y t­êng g¹ch&gt; 33 VXM c¸t vµng  50 cao&lt;=4m</v>
          </cell>
          <cell r="C91" t="str">
            <v>m3</v>
          </cell>
          <cell r="D91">
            <v>1</v>
          </cell>
          <cell r="E91">
            <v>69.010000000000005</v>
          </cell>
          <cell r="F91">
            <v>0.33600000000000002</v>
          </cell>
          <cell r="I91">
            <v>539</v>
          </cell>
          <cell r="K91">
            <v>0.4</v>
          </cell>
          <cell r="L91">
            <v>2.3999999999999998E-3</v>
          </cell>
          <cell r="BO91">
            <v>0.2</v>
          </cell>
        </row>
        <row r="92">
          <cell r="A92">
            <v>87</v>
          </cell>
          <cell r="B92" t="str">
            <v>X©y t­êng g¹ch&gt; 33 VXM c¸t vµng  75 cao&lt;=4m</v>
          </cell>
          <cell r="C92" t="str">
            <v>m3</v>
          </cell>
          <cell r="D92">
            <v>1</v>
          </cell>
          <cell r="E92">
            <v>96.01</v>
          </cell>
          <cell r="F92">
            <v>0.33</v>
          </cell>
          <cell r="I92">
            <v>539</v>
          </cell>
          <cell r="K92">
            <v>0.4</v>
          </cell>
          <cell r="L92">
            <v>2.3999999999999998E-3</v>
          </cell>
          <cell r="BO92">
            <v>0.2</v>
          </cell>
        </row>
        <row r="93">
          <cell r="A93">
            <v>88</v>
          </cell>
          <cell r="B93" t="str">
            <v>X©y t­êng g¹ch&gt; 33 VXM c¸t vµng  100 cao&lt;=4m</v>
          </cell>
          <cell r="C93" t="str">
            <v>m3</v>
          </cell>
          <cell r="D93">
            <v>1</v>
          </cell>
          <cell r="E93">
            <v>123</v>
          </cell>
          <cell r="F93">
            <v>0.315</v>
          </cell>
          <cell r="I93">
            <v>539</v>
          </cell>
          <cell r="K93">
            <v>0.4</v>
          </cell>
          <cell r="L93">
            <v>2.3999999999999998E-3</v>
          </cell>
          <cell r="BO93">
            <v>0.2</v>
          </cell>
        </row>
        <row r="94">
          <cell r="A94">
            <v>89</v>
          </cell>
          <cell r="B94" t="str">
            <v>X©y t­êng g¹ch &gt;33 VTH c¸t ®en 25 cao&gt;4m</v>
          </cell>
          <cell r="C94" t="str">
            <v>m3</v>
          </cell>
          <cell r="D94">
            <v>1</v>
          </cell>
          <cell r="E94">
            <v>36.299999999999997</v>
          </cell>
          <cell r="G94">
            <v>0.33900000000000002</v>
          </cell>
          <cell r="I94">
            <v>539</v>
          </cell>
          <cell r="J94">
            <v>27.85</v>
          </cell>
          <cell r="K94">
            <v>1.1599999999999999</v>
          </cell>
          <cell r="L94">
            <v>8.0000000000000002E-3</v>
          </cell>
          <cell r="BO94">
            <v>0.35</v>
          </cell>
        </row>
        <row r="95">
          <cell r="A95">
            <v>90</v>
          </cell>
          <cell r="B95" t="str">
            <v>X©y t­êng g¹ch &gt;33 VTH c¸t ®en 50 cao&gt;4m</v>
          </cell>
          <cell r="C95" t="str">
            <v>m3</v>
          </cell>
          <cell r="D95">
            <v>1</v>
          </cell>
          <cell r="E95">
            <v>67.510000000000005</v>
          </cell>
          <cell r="G95">
            <v>0.33</v>
          </cell>
          <cell r="I95">
            <v>539</v>
          </cell>
          <cell r="J95">
            <v>20.2</v>
          </cell>
          <cell r="K95">
            <v>1.1599999999999999</v>
          </cell>
          <cell r="L95">
            <v>8.0000000000000002E-3</v>
          </cell>
          <cell r="BO95">
            <v>0.35</v>
          </cell>
        </row>
        <row r="96">
          <cell r="A96">
            <v>91</v>
          </cell>
          <cell r="B96" t="str">
            <v>X©y t­êng g¹ch &gt;33 VTH c¸t ®en 75 cao&gt;4m</v>
          </cell>
          <cell r="C96" t="str">
            <v>m3</v>
          </cell>
          <cell r="D96">
            <v>1</v>
          </cell>
          <cell r="E96">
            <v>95.78</v>
          </cell>
          <cell r="G96">
            <v>0.32100000000000001</v>
          </cell>
          <cell r="I96">
            <v>539</v>
          </cell>
          <cell r="J96">
            <v>13.46</v>
          </cell>
          <cell r="K96">
            <v>1.1599999999999999</v>
          </cell>
          <cell r="L96">
            <v>8.0000000000000002E-3</v>
          </cell>
          <cell r="BO96">
            <v>0.35</v>
          </cell>
        </row>
        <row r="97">
          <cell r="A97">
            <v>92</v>
          </cell>
          <cell r="B97" t="str">
            <v>X©y t­êng g¹ch&gt; 33 VXM c¸t vµng  50 cao&gt;4m</v>
          </cell>
          <cell r="C97" t="str">
            <v>m3</v>
          </cell>
          <cell r="D97">
            <v>1</v>
          </cell>
          <cell r="E97">
            <v>69.010000000000005</v>
          </cell>
          <cell r="F97">
            <v>0.33600000000000002</v>
          </cell>
          <cell r="I97">
            <v>539</v>
          </cell>
          <cell r="K97">
            <v>1.1599999999999999</v>
          </cell>
          <cell r="L97">
            <v>8.0000000000000002E-3</v>
          </cell>
          <cell r="BO97">
            <v>0.35</v>
          </cell>
        </row>
        <row r="98">
          <cell r="A98">
            <v>93</v>
          </cell>
          <cell r="B98" t="str">
            <v>X©y t­êng g¹ch&gt; 33 VXM c¸t vµng  75 cao&gt;4m</v>
          </cell>
          <cell r="C98" t="str">
            <v>m3</v>
          </cell>
          <cell r="D98">
            <v>1</v>
          </cell>
          <cell r="E98">
            <v>96.01</v>
          </cell>
          <cell r="F98">
            <v>0.33</v>
          </cell>
          <cell r="I98">
            <v>539</v>
          </cell>
          <cell r="K98">
            <v>1.1599999999999999</v>
          </cell>
          <cell r="L98">
            <v>8.0000000000000002E-3</v>
          </cell>
          <cell r="BO98">
            <v>0.35</v>
          </cell>
        </row>
        <row r="99">
          <cell r="A99">
            <v>94</v>
          </cell>
          <cell r="B99" t="str">
            <v>X©y t­êng g¹ch&gt; 33 VXM c¸t vµng  100 cao&gt;4m</v>
          </cell>
          <cell r="C99" t="str">
            <v>m3</v>
          </cell>
          <cell r="D99">
            <v>1</v>
          </cell>
          <cell r="E99">
            <v>123</v>
          </cell>
          <cell r="F99">
            <v>0.315</v>
          </cell>
          <cell r="I99">
            <v>539</v>
          </cell>
          <cell r="K99">
            <v>1.1599999999999999</v>
          </cell>
          <cell r="L99">
            <v>8.0000000000000002E-3</v>
          </cell>
          <cell r="BO99">
            <v>0.35</v>
          </cell>
        </row>
        <row r="100">
          <cell r="A100">
            <v>95</v>
          </cell>
          <cell r="B100" t="str">
            <v>X©y cét, trô ®éc lËp VTH c¸t ®en 25 cao&lt;=4m</v>
          </cell>
          <cell r="C100" t="str">
            <v>m3</v>
          </cell>
          <cell r="D100">
            <v>1</v>
          </cell>
          <cell r="E100">
            <v>36.299999999999997</v>
          </cell>
          <cell r="G100">
            <v>0.33900000000000002</v>
          </cell>
          <cell r="I100">
            <v>539</v>
          </cell>
          <cell r="J100">
            <v>27.85</v>
          </cell>
          <cell r="K100">
            <v>0.5</v>
          </cell>
          <cell r="L100">
            <v>3.0000000000000001E-3</v>
          </cell>
          <cell r="BO100">
            <v>0.23</v>
          </cell>
        </row>
        <row r="101">
          <cell r="A101">
            <v>96</v>
          </cell>
          <cell r="B101" t="str">
            <v>X©y cét, trô ®éc lËp VTH c¸t ®en 50 cao&lt;=4m</v>
          </cell>
          <cell r="C101" t="str">
            <v>m3</v>
          </cell>
          <cell r="D101">
            <v>1</v>
          </cell>
          <cell r="E101">
            <v>67.510000000000005</v>
          </cell>
          <cell r="G101">
            <v>0.33</v>
          </cell>
          <cell r="I101">
            <v>539</v>
          </cell>
          <cell r="J101">
            <v>20.2</v>
          </cell>
          <cell r="K101">
            <v>0.5</v>
          </cell>
          <cell r="L101">
            <v>3.0000000000000001E-3</v>
          </cell>
          <cell r="BO101">
            <v>0.23</v>
          </cell>
        </row>
        <row r="102">
          <cell r="A102">
            <v>97</v>
          </cell>
          <cell r="B102" t="str">
            <v>X©y cét, trô ®éc lËp VTH c¸t ®en 75 cao&lt;=4m</v>
          </cell>
          <cell r="C102" t="str">
            <v>m3</v>
          </cell>
          <cell r="D102">
            <v>1</v>
          </cell>
          <cell r="E102">
            <v>95.78</v>
          </cell>
          <cell r="G102">
            <v>0.32100000000000001</v>
          </cell>
          <cell r="I102">
            <v>539</v>
          </cell>
          <cell r="J102">
            <v>13.46</v>
          </cell>
          <cell r="K102">
            <v>0.5</v>
          </cell>
          <cell r="L102">
            <v>3.0000000000000001E-3</v>
          </cell>
          <cell r="BO102">
            <v>0.23</v>
          </cell>
        </row>
        <row r="103">
          <cell r="A103">
            <v>98</v>
          </cell>
          <cell r="B103" t="str">
            <v>X©y cét trô ®éc lËp VXM c¸t vµng  50 cao&lt;=4m</v>
          </cell>
          <cell r="C103" t="str">
            <v>m3</v>
          </cell>
          <cell r="D103">
            <v>1</v>
          </cell>
          <cell r="E103">
            <v>69.010000000000005</v>
          </cell>
          <cell r="F103">
            <v>0.33600000000000002</v>
          </cell>
          <cell r="I103">
            <v>539</v>
          </cell>
          <cell r="K103">
            <v>0.5</v>
          </cell>
          <cell r="L103">
            <v>3.0000000000000001E-3</v>
          </cell>
          <cell r="BO103">
            <v>3.0000000000000001E-3</v>
          </cell>
        </row>
        <row r="104">
          <cell r="A104">
            <v>99</v>
          </cell>
          <cell r="B104" t="str">
            <v>X©y cét trô ®éc lËp VXM c¸t vµng  75 cao&lt;=4m</v>
          </cell>
          <cell r="C104" t="str">
            <v>m3</v>
          </cell>
          <cell r="D104">
            <v>1</v>
          </cell>
          <cell r="E104">
            <v>96.01</v>
          </cell>
          <cell r="F104">
            <v>0.33</v>
          </cell>
          <cell r="I104">
            <v>539</v>
          </cell>
          <cell r="K104">
            <v>0.5</v>
          </cell>
          <cell r="L104">
            <v>3.0000000000000001E-3</v>
          </cell>
          <cell r="BO104">
            <v>3.0000000000000001E-3</v>
          </cell>
        </row>
        <row r="105">
          <cell r="A105">
            <v>100</v>
          </cell>
          <cell r="B105" t="str">
            <v>X©y cét trô ®éc lËp VXM c¸t vµng 100 cao&lt;=4m</v>
          </cell>
          <cell r="C105" t="str">
            <v>m3</v>
          </cell>
          <cell r="D105">
            <v>1</v>
          </cell>
          <cell r="E105">
            <v>123</v>
          </cell>
          <cell r="F105">
            <v>0.315</v>
          </cell>
          <cell r="I105">
            <v>539</v>
          </cell>
          <cell r="K105">
            <v>0.5</v>
          </cell>
          <cell r="L105">
            <v>3.0000000000000001E-3</v>
          </cell>
          <cell r="BO105">
            <v>3.0000000000000001E-3</v>
          </cell>
        </row>
        <row r="106">
          <cell r="A106">
            <v>101</v>
          </cell>
          <cell r="B106" t="str">
            <v>X©y cét, trô ®éc lËp VTH c¸t ®en 25 cao&gt;4</v>
          </cell>
          <cell r="C106" t="str">
            <v>m3</v>
          </cell>
          <cell r="D106">
            <v>1</v>
          </cell>
          <cell r="E106">
            <v>36.299999999999997</v>
          </cell>
          <cell r="G106">
            <v>0.33900000000000002</v>
          </cell>
          <cell r="I106">
            <v>539</v>
          </cell>
          <cell r="J106">
            <v>27.85</v>
          </cell>
          <cell r="K106">
            <v>1.62</v>
          </cell>
          <cell r="L106">
            <v>0.01</v>
          </cell>
          <cell r="BO106">
            <v>0.46</v>
          </cell>
        </row>
        <row r="107">
          <cell r="A107">
            <v>102</v>
          </cell>
          <cell r="B107" t="str">
            <v>X©y cét, trô ®éc lËp VTH c¸t ®en 50 cao&gt;4</v>
          </cell>
          <cell r="C107" t="str">
            <v>m3</v>
          </cell>
          <cell r="D107">
            <v>1</v>
          </cell>
          <cell r="E107">
            <v>67.510000000000005</v>
          </cell>
          <cell r="G107">
            <v>0.33</v>
          </cell>
          <cell r="I107">
            <v>539</v>
          </cell>
          <cell r="J107">
            <v>20.2</v>
          </cell>
          <cell r="K107">
            <v>1.62</v>
          </cell>
          <cell r="L107">
            <v>0.01</v>
          </cell>
          <cell r="BO107">
            <v>0.46</v>
          </cell>
        </row>
        <row r="108">
          <cell r="A108">
            <v>103</v>
          </cell>
          <cell r="B108" t="str">
            <v>X©y cét, trô ®éc lËp VTH c¸t ®en 75 cao&gt;4</v>
          </cell>
          <cell r="C108" t="str">
            <v>m3</v>
          </cell>
          <cell r="D108">
            <v>1</v>
          </cell>
          <cell r="E108">
            <v>95.78</v>
          </cell>
          <cell r="G108">
            <v>0.32100000000000001</v>
          </cell>
          <cell r="I108">
            <v>539</v>
          </cell>
          <cell r="J108">
            <v>13.46</v>
          </cell>
          <cell r="K108">
            <v>1.62</v>
          </cell>
          <cell r="L108">
            <v>0.01</v>
          </cell>
          <cell r="BO108">
            <v>0.46</v>
          </cell>
        </row>
        <row r="109">
          <cell r="A109">
            <v>104</v>
          </cell>
          <cell r="B109" t="str">
            <v>X©y cét trô ®éc lËp VXM c¸t vµng  50 cao&gt;4m</v>
          </cell>
          <cell r="C109" t="str">
            <v>m3</v>
          </cell>
          <cell r="D109">
            <v>1</v>
          </cell>
          <cell r="E109">
            <v>69.010000000000005</v>
          </cell>
          <cell r="F109">
            <v>0.33600000000000002</v>
          </cell>
          <cell r="I109">
            <v>539</v>
          </cell>
          <cell r="K109">
            <v>1.62</v>
          </cell>
          <cell r="L109">
            <v>0.01</v>
          </cell>
          <cell r="BO109">
            <v>0.46</v>
          </cell>
        </row>
        <row r="110">
          <cell r="A110">
            <v>105</v>
          </cell>
          <cell r="B110" t="str">
            <v>X©y cét trô ®éc lËp VXM c¸t vµng  75 cao&gt;4m</v>
          </cell>
          <cell r="C110" t="str">
            <v>m3</v>
          </cell>
          <cell r="D110">
            <v>1</v>
          </cell>
          <cell r="E110">
            <v>96.01</v>
          </cell>
          <cell r="F110">
            <v>0.33</v>
          </cell>
          <cell r="I110">
            <v>539</v>
          </cell>
          <cell r="K110">
            <v>1.62</v>
          </cell>
          <cell r="L110">
            <v>0.01</v>
          </cell>
          <cell r="BO110">
            <v>0.46</v>
          </cell>
        </row>
        <row r="111">
          <cell r="A111">
            <v>106</v>
          </cell>
          <cell r="B111" t="str">
            <v>X©y cét trô ®éc lËp VXM c¸t vµng 100 cao&gt;4m</v>
          </cell>
          <cell r="C111" t="str">
            <v>m3</v>
          </cell>
          <cell r="D111">
            <v>1</v>
          </cell>
          <cell r="E111">
            <v>123</v>
          </cell>
          <cell r="F111">
            <v>0.315</v>
          </cell>
          <cell r="I111">
            <v>539</v>
          </cell>
          <cell r="K111">
            <v>1.62</v>
          </cell>
          <cell r="L111">
            <v>0.01</v>
          </cell>
          <cell r="BO111">
            <v>0.46</v>
          </cell>
        </row>
        <row r="112">
          <cell r="A112">
            <v>107</v>
          </cell>
          <cell r="B112" t="str">
            <v>X©y t­êng cong nghiªn vÆn vá ®ç&lt;= 33 VTH c¸t ®en  25 &lt;=4m</v>
          </cell>
          <cell r="C112" t="str">
            <v>m3</v>
          </cell>
          <cell r="D112">
            <v>1</v>
          </cell>
          <cell r="E112">
            <v>35.090000000000003</v>
          </cell>
          <cell r="G112">
            <v>0.32800000000000001</v>
          </cell>
          <cell r="I112">
            <v>550</v>
          </cell>
          <cell r="J112">
            <v>26.92</v>
          </cell>
          <cell r="K112">
            <v>0.5</v>
          </cell>
          <cell r="L112">
            <v>3.0000000000000001E-3</v>
          </cell>
          <cell r="BO112">
            <v>0.23</v>
          </cell>
        </row>
        <row r="113">
          <cell r="A113">
            <v>108</v>
          </cell>
          <cell r="B113" t="str">
            <v>X©y t­êng cong nghiªn vÆn vá ®ç&lt;= 33 VTH c¸t ®en  50 &lt;=4m</v>
          </cell>
          <cell r="C113" t="str">
            <v>m3</v>
          </cell>
          <cell r="D113">
            <v>1</v>
          </cell>
          <cell r="E113">
            <v>65.260000000000005</v>
          </cell>
          <cell r="G113">
            <v>0.31900000000000001</v>
          </cell>
          <cell r="I113">
            <v>550</v>
          </cell>
          <cell r="J113">
            <v>19.52</v>
          </cell>
          <cell r="K113">
            <v>0.5</v>
          </cell>
          <cell r="L113">
            <v>3.0000000000000001E-3</v>
          </cell>
          <cell r="BO113">
            <v>0.23</v>
          </cell>
        </row>
        <row r="114">
          <cell r="A114">
            <v>109</v>
          </cell>
          <cell r="B114" t="str">
            <v>X©y t­êng cong nghiªn vÆn vá ®ç&lt;= 33 VTH c¸t ®en  75 &lt;=4m</v>
          </cell>
          <cell r="C114" t="str">
            <v>m3</v>
          </cell>
          <cell r="D114">
            <v>1</v>
          </cell>
          <cell r="E114">
            <v>92.58</v>
          </cell>
          <cell r="G114">
            <v>0.31</v>
          </cell>
          <cell r="I114">
            <v>550</v>
          </cell>
          <cell r="J114">
            <v>13.02</v>
          </cell>
          <cell r="K114">
            <v>0.5</v>
          </cell>
          <cell r="L114">
            <v>3.0000000000000001E-3</v>
          </cell>
          <cell r="BO114">
            <v>0.23</v>
          </cell>
        </row>
        <row r="115">
          <cell r="A115">
            <v>110</v>
          </cell>
          <cell r="B115" t="str">
            <v>X©y t­êng cong nghiªn vÆn vá ®ç&lt;= 33 XMC c¸t vµng  50 &lt;=4m</v>
          </cell>
          <cell r="C115" t="str">
            <v>m3</v>
          </cell>
          <cell r="D115">
            <v>1</v>
          </cell>
          <cell r="E115">
            <v>66.709999999999994</v>
          </cell>
          <cell r="F115">
            <v>0.32500000000000001</v>
          </cell>
          <cell r="I115">
            <v>550</v>
          </cell>
          <cell r="K115">
            <v>0.5</v>
          </cell>
          <cell r="L115">
            <v>3.0000000000000001E-3</v>
          </cell>
          <cell r="BO115">
            <v>0.23</v>
          </cell>
        </row>
        <row r="116">
          <cell r="A116">
            <v>111</v>
          </cell>
          <cell r="B116" t="str">
            <v>X©y t­êng cong nghiªn vÆn vá ®ç&lt;= 33 XMC c¸t vµng  75 &lt;=4m</v>
          </cell>
          <cell r="C116" t="str">
            <v>m3</v>
          </cell>
          <cell r="D116">
            <v>1</v>
          </cell>
          <cell r="E116">
            <v>92.81</v>
          </cell>
          <cell r="F116">
            <v>0.316</v>
          </cell>
          <cell r="I116">
            <v>550</v>
          </cell>
          <cell r="K116">
            <v>0.5</v>
          </cell>
          <cell r="L116">
            <v>3.0000000000000001E-3</v>
          </cell>
          <cell r="BO116">
            <v>0.23</v>
          </cell>
        </row>
        <row r="117">
          <cell r="A117">
            <v>112</v>
          </cell>
          <cell r="B117" t="str">
            <v>X©y t­êng cong nghiªn vÆn vá ®ç&lt;= 33VMC c¸t vµng100 &lt;=4m</v>
          </cell>
          <cell r="C117" t="str">
            <v>m3</v>
          </cell>
          <cell r="D117">
            <v>1</v>
          </cell>
          <cell r="E117">
            <v>118.91</v>
          </cell>
          <cell r="F117">
            <v>0.30499999999999999</v>
          </cell>
          <cell r="I117">
            <v>550</v>
          </cell>
          <cell r="K117">
            <v>0.5</v>
          </cell>
          <cell r="L117">
            <v>3.0000000000000001E-3</v>
          </cell>
          <cell r="BO117">
            <v>0.23</v>
          </cell>
        </row>
        <row r="118">
          <cell r="A118">
            <v>113</v>
          </cell>
          <cell r="B118" t="str">
            <v>X©y t­êng cong nghiªn vÆn vá ®ç&lt;= 33 VTH c¸t ®en  25 &gt;4m</v>
          </cell>
          <cell r="C118" t="str">
            <v>m3</v>
          </cell>
          <cell r="D118">
            <v>1</v>
          </cell>
          <cell r="E118">
            <v>35.090000000000003</v>
          </cell>
          <cell r="G118">
            <v>0.32800000000000001</v>
          </cell>
          <cell r="I118">
            <v>550</v>
          </cell>
          <cell r="J118">
            <v>26.92</v>
          </cell>
          <cell r="K118">
            <v>1.62</v>
          </cell>
          <cell r="L118">
            <v>0.01</v>
          </cell>
          <cell r="BO118">
            <v>0.46</v>
          </cell>
        </row>
        <row r="119">
          <cell r="A119">
            <v>114</v>
          </cell>
          <cell r="B119" t="str">
            <v>X©y t­êng cong nghiªn vÆn vá ®ç&lt;= 33 VTH c¸t ®en  50 &gt;4m</v>
          </cell>
          <cell r="C119" t="str">
            <v>m3</v>
          </cell>
          <cell r="D119">
            <v>1</v>
          </cell>
          <cell r="E119">
            <v>65.260000000000005</v>
          </cell>
          <cell r="G119">
            <v>0.31900000000000001</v>
          </cell>
          <cell r="I119">
            <v>550</v>
          </cell>
          <cell r="J119">
            <v>19.52</v>
          </cell>
          <cell r="K119">
            <v>1.62</v>
          </cell>
          <cell r="L119">
            <v>0.01</v>
          </cell>
          <cell r="BO119">
            <v>0.46</v>
          </cell>
        </row>
        <row r="120">
          <cell r="A120">
            <v>115</v>
          </cell>
          <cell r="B120" t="str">
            <v>X©y t­êng cong nghiªn vÆn vá ®ç&lt;= 33 VTH c¸t ®en  75 &gt;4m</v>
          </cell>
          <cell r="C120" t="str">
            <v>m3</v>
          </cell>
          <cell r="D120">
            <v>1</v>
          </cell>
          <cell r="E120">
            <v>92.58</v>
          </cell>
          <cell r="G120">
            <v>0.31</v>
          </cell>
          <cell r="I120">
            <v>550</v>
          </cell>
          <cell r="J120">
            <v>13.02</v>
          </cell>
          <cell r="K120">
            <v>1.62</v>
          </cell>
          <cell r="L120">
            <v>0.01</v>
          </cell>
          <cell r="BO120">
            <v>0.46</v>
          </cell>
        </row>
        <row r="121">
          <cell r="A121">
            <v>116</v>
          </cell>
          <cell r="B121" t="str">
            <v>X©y t­êng cong nghiªn vÆn vá ®ç&lt;= 33 XMC c¸t vµng  50 &gt;4m</v>
          </cell>
          <cell r="C121" t="str">
            <v>m3</v>
          </cell>
          <cell r="D121">
            <v>1</v>
          </cell>
          <cell r="E121">
            <v>66.709999999999994</v>
          </cell>
          <cell r="F121">
            <v>0.32500000000000001</v>
          </cell>
          <cell r="I121">
            <v>550</v>
          </cell>
          <cell r="K121">
            <v>1.62</v>
          </cell>
          <cell r="L121">
            <v>0.01</v>
          </cell>
          <cell r="BO121">
            <v>0.46</v>
          </cell>
        </row>
        <row r="122">
          <cell r="A122">
            <v>117</v>
          </cell>
          <cell r="B122" t="str">
            <v>X©y t­êng cong nghiªn vÆn vá ®ç&lt;= 33 XMC c¸t vµng  75 &gt;4m</v>
          </cell>
          <cell r="C122" t="str">
            <v>m3</v>
          </cell>
          <cell r="D122">
            <v>1</v>
          </cell>
          <cell r="E122">
            <v>92.81</v>
          </cell>
          <cell r="F122">
            <v>0.316</v>
          </cell>
          <cell r="I122">
            <v>550</v>
          </cell>
          <cell r="K122">
            <v>1.62</v>
          </cell>
          <cell r="L122">
            <v>0.01</v>
          </cell>
          <cell r="BO122">
            <v>0.46</v>
          </cell>
        </row>
        <row r="123">
          <cell r="A123">
            <v>118</v>
          </cell>
          <cell r="B123" t="str">
            <v>X©y t­êng cong nghiªn vÆn vá ®ç&lt;= 33VMC c¸t vµng100 &gt;4m</v>
          </cell>
          <cell r="C123" t="str">
            <v>m3</v>
          </cell>
          <cell r="D123">
            <v>1</v>
          </cell>
          <cell r="E123">
            <v>118.91</v>
          </cell>
          <cell r="F123">
            <v>0.30499999999999999</v>
          </cell>
          <cell r="I123">
            <v>550</v>
          </cell>
          <cell r="K123">
            <v>1.62</v>
          </cell>
          <cell r="L123">
            <v>0.01</v>
          </cell>
          <cell r="BO123">
            <v>0.46</v>
          </cell>
        </row>
        <row r="124">
          <cell r="A124">
            <v>119</v>
          </cell>
          <cell r="B124" t="str">
            <v>X©y t­êng cong nghiªn vÆn vá ®ç&gt; 33 VTH c¸t ®en  25 &lt;=4m</v>
          </cell>
          <cell r="C124" t="str">
            <v>m3</v>
          </cell>
          <cell r="D124">
            <v>1</v>
          </cell>
          <cell r="E124">
            <v>36.299999999999997</v>
          </cell>
          <cell r="G124">
            <v>0.33900000000000002</v>
          </cell>
          <cell r="I124">
            <v>539</v>
          </cell>
          <cell r="K124">
            <v>0.4</v>
          </cell>
          <cell r="L124">
            <v>2.3999999999999998E-3</v>
          </cell>
          <cell r="BO124">
            <v>0.2</v>
          </cell>
        </row>
        <row r="125">
          <cell r="A125">
            <v>120</v>
          </cell>
          <cell r="B125" t="str">
            <v>X©y t­êng cong nghiªn vÆn vá ®ç&gt; 33 VTH c¸t ®en  50 &lt;=4m</v>
          </cell>
          <cell r="C125" t="str">
            <v>m3</v>
          </cell>
          <cell r="D125">
            <v>1</v>
          </cell>
          <cell r="E125">
            <v>67.510000000000005</v>
          </cell>
          <cell r="G125">
            <v>0.33</v>
          </cell>
          <cell r="I125">
            <v>539</v>
          </cell>
          <cell r="K125">
            <v>0.4</v>
          </cell>
          <cell r="L125">
            <v>2.3999999999999998E-3</v>
          </cell>
          <cell r="BO125">
            <v>0.2</v>
          </cell>
        </row>
        <row r="126">
          <cell r="A126">
            <v>121</v>
          </cell>
          <cell r="B126" t="str">
            <v>X©y t­êng cong nghiªn vÆn vá ®ç&gt; 33 VTH c¸t ®en  75 &lt;=4m</v>
          </cell>
          <cell r="C126" t="str">
            <v>m3</v>
          </cell>
          <cell r="D126">
            <v>1</v>
          </cell>
          <cell r="E126">
            <v>95.78</v>
          </cell>
          <cell r="G126">
            <v>0.32100000000000001</v>
          </cell>
          <cell r="I126">
            <v>539</v>
          </cell>
          <cell r="K126">
            <v>0.4</v>
          </cell>
          <cell r="L126">
            <v>2.3999999999999998E-3</v>
          </cell>
          <cell r="BO126">
            <v>0.2</v>
          </cell>
        </row>
        <row r="127">
          <cell r="A127">
            <v>122</v>
          </cell>
          <cell r="B127" t="str">
            <v>X©y t­êng cong nghiªn vÆn vá ®ç&gt; 33 XMC c¸t vµng  50 &lt;=4m</v>
          </cell>
          <cell r="C127" t="str">
            <v>m3</v>
          </cell>
          <cell r="D127">
            <v>1</v>
          </cell>
          <cell r="F127">
            <v>69.010000000000005</v>
          </cell>
          <cell r="I127">
            <v>539</v>
          </cell>
          <cell r="K127">
            <v>0.4</v>
          </cell>
          <cell r="L127">
            <v>2.3999999999999998E-3</v>
          </cell>
          <cell r="BO127">
            <v>0.2</v>
          </cell>
        </row>
        <row r="128">
          <cell r="A128">
            <v>123</v>
          </cell>
          <cell r="B128" t="str">
            <v>X©y t­êng cong nghiªn vÆn vá ®ç&gt; 33 XMC c¸t vµng  75 &lt;=4m</v>
          </cell>
          <cell r="C128" t="str">
            <v>m3</v>
          </cell>
          <cell r="D128">
            <v>1</v>
          </cell>
          <cell r="F128">
            <v>96.01</v>
          </cell>
          <cell r="I128">
            <v>539</v>
          </cell>
          <cell r="K128">
            <v>0.4</v>
          </cell>
          <cell r="L128">
            <v>2.3999999999999998E-3</v>
          </cell>
          <cell r="BO128">
            <v>0.2</v>
          </cell>
        </row>
        <row r="129">
          <cell r="A129">
            <v>124</v>
          </cell>
          <cell r="B129" t="str">
            <v>X©y t­êng cong nghiªn vÆn vá ®ç&gt; 33VMC c¸t vµng100 &lt;=4m</v>
          </cell>
          <cell r="C129" t="str">
            <v>m3</v>
          </cell>
          <cell r="D129">
            <v>1</v>
          </cell>
          <cell r="F129">
            <v>123</v>
          </cell>
          <cell r="I129">
            <v>539</v>
          </cell>
          <cell r="K129">
            <v>0.4</v>
          </cell>
          <cell r="L129">
            <v>2.3999999999999998E-3</v>
          </cell>
          <cell r="BO129">
            <v>0.2</v>
          </cell>
        </row>
        <row r="130">
          <cell r="A130">
            <v>125</v>
          </cell>
          <cell r="B130" t="str">
            <v>X©y t­êng cong nghiªn vÆn vá ®ç&gt; 33 VTH c¸t ®en  25 &gt;4m</v>
          </cell>
          <cell r="C130" t="str">
            <v>m3</v>
          </cell>
          <cell r="D130">
            <v>1</v>
          </cell>
          <cell r="G130">
            <v>0.33900000000000002</v>
          </cell>
          <cell r="I130">
            <v>539</v>
          </cell>
          <cell r="K130">
            <v>1.1599999999999999</v>
          </cell>
          <cell r="L130">
            <v>8.0000000000000002E-3</v>
          </cell>
          <cell r="BO130">
            <v>0.35</v>
          </cell>
        </row>
        <row r="131">
          <cell r="A131">
            <v>126</v>
          </cell>
          <cell r="B131" t="str">
            <v>X©y t­êng cong nghiªn vÆn vá ®ç&gt; 33 VTH c¸t ®en  50 &gt;4m</v>
          </cell>
          <cell r="C131" t="str">
            <v>m3</v>
          </cell>
          <cell r="D131">
            <v>1</v>
          </cell>
          <cell r="G131">
            <v>0.33</v>
          </cell>
          <cell r="I131">
            <v>539</v>
          </cell>
          <cell r="K131">
            <v>1.1599999999999999</v>
          </cell>
          <cell r="L131">
            <v>8.0000000000000002E-3</v>
          </cell>
          <cell r="BO131">
            <v>0.35</v>
          </cell>
        </row>
        <row r="132">
          <cell r="A132">
            <v>127</v>
          </cell>
          <cell r="B132" t="str">
            <v>X©y t­êng cong nghiªn vÆn vá ®ç&gt; 33 VTH c¸t ®en  75 &gt;4m</v>
          </cell>
          <cell r="C132" t="str">
            <v>m3</v>
          </cell>
          <cell r="D132">
            <v>1</v>
          </cell>
          <cell r="G132">
            <v>0.32100000000000001</v>
          </cell>
          <cell r="I132">
            <v>539</v>
          </cell>
          <cell r="K132">
            <v>1.1599999999999999</v>
          </cell>
          <cell r="L132">
            <v>8.0000000000000002E-3</v>
          </cell>
          <cell r="BO132">
            <v>0.35</v>
          </cell>
        </row>
        <row r="133">
          <cell r="A133">
            <v>128</v>
          </cell>
          <cell r="B133" t="str">
            <v>X©y t­êng cong nghiªn vÆn vá ®ç&gt; 33 XMC c¸t vµng  50 &gt;4m</v>
          </cell>
          <cell r="C133" t="str">
            <v>m3</v>
          </cell>
          <cell r="D133">
            <v>1</v>
          </cell>
          <cell r="F133">
            <v>69.010000000000005</v>
          </cell>
          <cell r="I133">
            <v>539</v>
          </cell>
          <cell r="K133">
            <v>1.1599999999999999</v>
          </cell>
          <cell r="L133">
            <v>8.0000000000000002E-3</v>
          </cell>
          <cell r="BO133">
            <v>0.35</v>
          </cell>
        </row>
        <row r="134">
          <cell r="A134">
            <v>129</v>
          </cell>
          <cell r="B134" t="str">
            <v>X©y t­êng cong nghiªn vÆn vá ®ç&gt; 33 XMC c¸t vµng  75 &gt;4m</v>
          </cell>
          <cell r="C134" t="str">
            <v>m3</v>
          </cell>
          <cell r="D134">
            <v>1</v>
          </cell>
          <cell r="F134">
            <v>96.01</v>
          </cell>
          <cell r="I134">
            <v>539</v>
          </cell>
          <cell r="K134">
            <v>1.1599999999999999</v>
          </cell>
          <cell r="L134">
            <v>8.0000000000000002E-3</v>
          </cell>
          <cell r="BO134">
            <v>0.35</v>
          </cell>
        </row>
        <row r="135">
          <cell r="A135">
            <v>130</v>
          </cell>
          <cell r="B135" t="str">
            <v>X©y t­êng cong nghiªn vÆn vá ®ç&gt; 33VMC c¸t vµng100 &gt;4m</v>
          </cell>
          <cell r="C135" t="str">
            <v>m3</v>
          </cell>
          <cell r="D135">
            <v>1</v>
          </cell>
          <cell r="F135">
            <v>123</v>
          </cell>
          <cell r="I135">
            <v>539</v>
          </cell>
          <cell r="K135">
            <v>1.1599999999999999</v>
          </cell>
          <cell r="L135">
            <v>8.0000000000000002E-3</v>
          </cell>
          <cell r="BO135">
            <v>0.35</v>
          </cell>
        </row>
        <row r="136">
          <cell r="A136">
            <v>131</v>
          </cell>
          <cell r="B136" t="str">
            <v>X©y cèng cuèn cong VTH c¸t ®en 50</v>
          </cell>
          <cell r="C136" t="str">
            <v>m3</v>
          </cell>
          <cell r="D136">
            <v>1</v>
          </cell>
          <cell r="E136">
            <v>63.01</v>
          </cell>
          <cell r="G136">
            <v>0.308</v>
          </cell>
          <cell r="H136" t="str">
            <v/>
          </cell>
          <cell r="I136">
            <v>550</v>
          </cell>
          <cell r="J136">
            <v>18.850000000000001</v>
          </cell>
          <cell r="L136">
            <v>0.06</v>
          </cell>
          <cell r="M136">
            <v>0.55000000000000004</v>
          </cell>
          <cell r="Q136">
            <v>1.7</v>
          </cell>
        </row>
        <row r="137">
          <cell r="A137">
            <v>132</v>
          </cell>
          <cell r="B137" t="str">
            <v>X©y cèng cuèn cong VTH c¸t ®en 75</v>
          </cell>
          <cell r="C137" t="str">
            <v>m3</v>
          </cell>
          <cell r="D137">
            <v>1</v>
          </cell>
          <cell r="E137">
            <v>89.39</v>
          </cell>
          <cell r="G137">
            <v>0.3</v>
          </cell>
          <cell r="I137">
            <v>550</v>
          </cell>
          <cell r="J137">
            <v>12.567</v>
          </cell>
          <cell r="L137">
            <v>0.06</v>
          </cell>
          <cell r="M137">
            <v>0.55000000000000004</v>
          </cell>
          <cell r="Q137">
            <v>1.7</v>
          </cell>
        </row>
        <row r="138">
          <cell r="A138">
            <v>133</v>
          </cell>
          <cell r="B138" t="str">
            <v>X©y cèng cuèn cong XMC c¸t vµng 50</v>
          </cell>
          <cell r="C138" t="str">
            <v>m3</v>
          </cell>
          <cell r="D138">
            <v>1</v>
          </cell>
          <cell r="E138">
            <v>59.65</v>
          </cell>
          <cell r="F138">
            <v>0.32200000000000001</v>
          </cell>
          <cell r="I138">
            <v>550</v>
          </cell>
          <cell r="L138">
            <v>0.06</v>
          </cell>
          <cell r="M138">
            <v>0.55000000000000004</v>
          </cell>
          <cell r="Q138">
            <v>1.7</v>
          </cell>
        </row>
        <row r="139">
          <cell r="A139">
            <v>134</v>
          </cell>
          <cell r="B139" t="str">
            <v>X©y cèng cuèn cong XMC c¸t vµng 75</v>
          </cell>
          <cell r="C139" t="str">
            <v>m3</v>
          </cell>
          <cell r="D139">
            <v>1</v>
          </cell>
          <cell r="E139">
            <v>107.81</v>
          </cell>
          <cell r="F139">
            <v>0.314</v>
          </cell>
          <cell r="I139">
            <v>550</v>
          </cell>
          <cell r="L139">
            <v>0.06</v>
          </cell>
          <cell r="M139">
            <v>0.55000000000000004</v>
          </cell>
          <cell r="Q139">
            <v>1.7</v>
          </cell>
        </row>
        <row r="140">
          <cell r="A140">
            <v>135</v>
          </cell>
          <cell r="B140" t="str">
            <v>X©y cèng cuèn cong XMC c¸t vµng 100</v>
          </cell>
          <cell r="C140" t="str">
            <v>m3</v>
          </cell>
          <cell r="D140">
            <v>1</v>
          </cell>
          <cell r="E140">
            <v>129.37</v>
          </cell>
          <cell r="F140">
            <v>0.30499999999999999</v>
          </cell>
          <cell r="I140">
            <v>550</v>
          </cell>
          <cell r="L140">
            <v>0.06</v>
          </cell>
          <cell r="M140">
            <v>0.55000000000000004</v>
          </cell>
          <cell r="Q140">
            <v>1.7</v>
          </cell>
        </row>
        <row r="141">
          <cell r="A141">
            <v>136</v>
          </cell>
          <cell r="B141" t="str">
            <v>X©y cèng thµnh vßm cong VTH c¸t ®en 50</v>
          </cell>
          <cell r="C141" t="str">
            <v>m3</v>
          </cell>
          <cell r="D141">
            <v>1</v>
          </cell>
          <cell r="E141">
            <v>65.260000000000005</v>
          </cell>
          <cell r="G141">
            <v>65.260000000000005</v>
          </cell>
          <cell r="I141">
            <v>560</v>
          </cell>
          <cell r="J141">
            <v>19.52</v>
          </cell>
          <cell r="L141">
            <v>0.06</v>
          </cell>
          <cell r="M141">
            <v>0.55000000000000004</v>
          </cell>
          <cell r="Q141">
            <v>1.7</v>
          </cell>
        </row>
        <row r="142">
          <cell r="A142">
            <v>137</v>
          </cell>
          <cell r="B142" t="str">
            <v>X©y cèng thµnh vßm cong VTH c¸t ®en 75</v>
          </cell>
          <cell r="C142" t="str">
            <v>m3</v>
          </cell>
          <cell r="D142">
            <v>1</v>
          </cell>
          <cell r="E142">
            <v>92.58</v>
          </cell>
          <cell r="G142">
            <v>92.58</v>
          </cell>
          <cell r="I142">
            <v>560</v>
          </cell>
          <cell r="J142">
            <v>13.02</v>
          </cell>
          <cell r="L142">
            <v>0.06</v>
          </cell>
          <cell r="M142">
            <v>0.55000000000000004</v>
          </cell>
          <cell r="Q142">
            <v>1.7</v>
          </cell>
        </row>
        <row r="143">
          <cell r="A143">
            <v>138</v>
          </cell>
          <cell r="B143" t="str">
            <v>X©y cèng thµnh vßm cong XMC c¸t vµng 50</v>
          </cell>
          <cell r="C143" t="str">
            <v>m3</v>
          </cell>
          <cell r="D143">
            <v>1</v>
          </cell>
          <cell r="E143">
            <v>66.78</v>
          </cell>
          <cell r="F143">
            <v>0.32500000000000001</v>
          </cell>
          <cell r="I143">
            <v>560</v>
          </cell>
          <cell r="L143">
            <v>0.06</v>
          </cell>
          <cell r="M143">
            <v>0.55000000000000004</v>
          </cell>
          <cell r="Q143">
            <v>1.7</v>
          </cell>
        </row>
        <row r="144">
          <cell r="A144">
            <v>139</v>
          </cell>
          <cell r="B144" t="str">
            <v>X©y cèng thµnh vßm cong XMC c¸t vµng 75</v>
          </cell>
          <cell r="C144" t="str">
            <v>m3</v>
          </cell>
          <cell r="D144">
            <v>1</v>
          </cell>
          <cell r="E144">
            <v>92.81</v>
          </cell>
          <cell r="F144">
            <v>0.316</v>
          </cell>
          <cell r="I144">
            <v>560</v>
          </cell>
          <cell r="L144">
            <v>0.06</v>
          </cell>
          <cell r="M144">
            <v>0.55000000000000004</v>
          </cell>
          <cell r="Q144">
            <v>1.7</v>
          </cell>
        </row>
        <row r="145">
          <cell r="A145">
            <v>140</v>
          </cell>
          <cell r="B145" t="str">
            <v>X©y cèng thµnh vßm cong XMC c¸t vµng 100</v>
          </cell>
          <cell r="C145" t="str">
            <v>m3</v>
          </cell>
          <cell r="D145">
            <v>1</v>
          </cell>
          <cell r="E145">
            <v>118.91</v>
          </cell>
          <cell r="F145">
            <v>0.30499999999999999</v>
          </cell>
          <cell r="I145">
            <v>560</v>
          </cell>
          <cell r="L145">
            <v>0.06</v>
          </cell>
          <cell r="M145">
            <v>0.55000000000000004</v>
          </cell>
          <cell r="Q145">
            <v>1.7</v>
          </cell>
        </row>
        <row r="146">
          <cell r="A146">
            <v>141</v>
          </cell>
          <cell r="B146" t="str">
            <v>X©y kÕt cÊu phøc t¹p kh¸c VTH50 c¸t ®en &lt;=4 m</v>
          </cell>
          <cell r="C146" t="str">
            <v>m3</v>
          </cell>
          <cell r="D146">
            <v>1</v>
          </cell>
          <cell r="E146">
            <v>63.01</v>
          </cell>
          <cell r="G146">
            <v>0.308</v>
          </cell>
          <cell r="I146">
            <v>573</v>
          </cell>
          <cell r="J146">
            <v>18.850000000000001</v>
          </cell>
          <cell r="L146">
            <v>4.0000000000000001E-3</v>
          </cell>
          <cell r="M146">
            <v>0.05</v>
          </cell>
        </row>
        <row r="147">
          <cell r="A147">
            <v>142</v>
          </cell>
          <cell r="B147" t="str">
            <v>X©y kÕt cÊu phøc t¹p kh¸c VTH75 c¸t ®en &lt;=4 m</v>
          </cell>
          <cell r="C147" t="str">
            <v>m3</v>
          </cell>
          <cell r="D147">
            <v>1</v>
          </cell>
          <cell r="E147">
            <v>89.39</v>
          </cell>
          <cell r="G147">
            <v>0.3</v>
          </cell>
          <cell r="I147">
            <v>573</v>
          </cell>
          <cell r="J147">
            <v>12.567</v>
          </cell>
          <cell r="L147">
            <v>4.0000000000000001E-3</v>
          </cell>
          <cell r="M147">
            <v>0.05</v>
          </cell>
        </row>
        <row r="148">
          <cell r="A148">
            <v>143</v>
          </cell>
          <cell r="B148" t="str">
            <v>X©y kÕt cÊu phøc t¹p kh¸c XM50 c¸t vµng &lt;=4 m</v>
          </cell>
          <cell r="C148" t="str">
            <v>m3</v>
          </cell>
          <cell r="D148">
            <v>1</v>
          </cell>
          <cell r="E148">
            <v>59.65</v>
          </cell>
          <cell r="F148">
            <v>0.32200000000000001</v>
          </cell>
          <cell r="I148">
            <v>573</v>
          </cell>
          <cell r="L148">
            <v>4.0000000000000001E-3</v>
          </cell>
          <cell r="M148">
            <v>0.05</v>
          </cell>
        </row>
        <row r="149">
          <cell r="A149">
            <v>144</v>
          </cell>
          <cell r="B149" t="str">
            <v>X©y kÕt cÊu phøc t¹p kh¸c XM75 c¸t vµng &lt;=4 m</v>
          </cell>
          <cell r="C149" t="str">
            <v>m3</v>
          </cell>
          <cell r="D149">
            <v>1</v>
          </cell>
          <cell r="E149">
            <v>107.81</v>
          </cell>
          <cell r="F149">
            <v>0.314</v>
          </cell>
          <cell r="I149">
            <v>573</v>
          </cell>
          <cell r="L149">
            <v>4.0000000000000001E-3</v>
          </cell>
          <cell r="M149">
            <v>0.05</v>
          </cell>
        </row>
        <row r="150">
          <cell r="A150">
            <v>145</v>
          </cell>
          <cell r="B150" t="str">
            <v>X©y kÕt cÊu phøc t¹p kh¸c XM100 c¸t vµng &lt;=4 m</v>
          </cell>
          <cell r="C150" t="str">
            <v>m3</v>
          </cell>
          <cell r="D150">
            <v>1</v>
          </cell>
          <cell r="E150">
            <v>129.37</v>
          </cell>
          <cell r="F150">
            <v>0.30499999999999999</v>
          </cell>
          <cell r="I150">
            <v>573</v>
          </cell>
          <cell r="L150">
            <v>4.0000000000000001E-3</v>
          </cell>
          <cell r="M150">
            <v>0.05</v>
          </cell>
        </row>
        <row r="151">
          <cell r="A151">
            <v>146</v>
          </cell>
          <cell r="B151" t="str">
            <v>X©y kÕt cÊu phøc t¹p kh¸c VTH50 c¸t ®en &gt;4 m</v>
          </cell>
          <cell r="C151" t="str">
            <v>m3</v>
          </cell>
          <cell r="D151">
            <v>1</v>
          </cell>
          <cell r="E151">
            <v>63.01</v>
          </cell>
          <cell r="G151">
            <v>0.308</v>
          </cell>
          <cell r="I151">
            <v>573</v>
          </cell>
          <cell r="J151">
            <v>18.850000000000001</v>
          </cell>
          <cell r="L151">
            <v>1.4999999999999999E-2</v>
          </cell>
          <cell r="M151">
            <v>0.1</v>
          </cell>
        </row>
        <row r="152">
          <cell r="A152">
            <v>147</v>
          </cell>
          <cell r="B152" t="str">
            <v>X©y kÕt cÊu phøc t¹p kh¸c VTH75 c¸t ®en &gt;4 m</v>
          </cell>
          <cell r="C152" t="str">
            <v>m3</v>
          </cell>
          <cell r="D152">
            <v>1</v>
          </cell>
          <cell r="E152">
            <v>89.39</v>
          </cell>
          <cell r="G152">
            <v>0.3</v>
          </cell>
          <cell r="I152">
            <v>573</v>
          </cell>
          <cell r="J152">
            <v>12.567</v>
          </cell>
          <cell r="L152">
            <v>1.4999999999999999E-2</v>
          </cell>
          <cell r="M152">
            <v>0.1</v>
          </cell>
        </row>
        <row r="153">
          <cell r="A153">
            <v>148</v>
          </cell>
          <cell r="B153" t="str">
            <v>X©y kÕt cÊu phøc t¹p kh¸c XM50 c¸t vµng &gt;4 m</v>
          </cell>
          <cell r="C153" t="str">
            <v>m3</v>
          </cell>
          <cell r="D153">
            <v>1</v>
          </cell>
          <cell r="E153">
            <v>59.65</v>
          </cell>
          <cell r="F153">
            <v>0.32200000000000001</v>
          </cell>
          <cell r="I153">
            <v>573</v>
          </cell>
          <cell r="L153">
            <v>1.4999999999999999E-2</v>
          </cell>
          <cell r="M153">
            <v>0.1</v>
          </cell>
        </row>
        <row r="154">
          <cell r="A154">
            <v>149</v>
          </cell>
          <cell r="B154" t="str">
            <v>X©y kÕt cÊu phøc t¹p kh¸c XM75 c¸t vµng &gt;4 m</v>
          </cell>
          <cell r="C154" t="str">
            <v>m3</v>
          </cell>
          <cell r="D154">
            <v>1</v>
          </cell>
          <cell r="E154">
            <v>107.81</v>
          </cell>
          <cell r="F154">
            <v>0.314</v>
          </cell>
          <cell r="I154">
            <v>573</v>
          </cell>
          <cell r="L154">
            <v>1.4999999999999999E-2</v>
          </cell>
          <cell r="M154">
            <v>0.1</v>
          </cell>
        </row>
        <row r="155">
          <cell r="A155">
            <v>150</v>
          </cell>
          <cell r="B155" t="str">
            <v>X©y kÕt cÊu phøc t¹p kh¸c XM100 c¸t vµng &gt;4 m</v>
          </cell>
          <cell r="C155" t="str">
            <v>m3</v>
          </cell>
          <cell r="D155">
            <v>1</v>
          </cell>
          <cell r="E155">
            <v>129.37</v>
          </cell>
          <cell r="F155">
            <v>0.30499999999999999</v>
          </cell>
          <cell r="I155">
            <v>573</v>
          </cell>
          <cell r="L155">
            <v>1.4999999999999999E-2</v>
          </cell>
          <cell r="M155">
            <v>0.1</v>
          </cell>
        </row>
        <row r="156">
          <cell r="A156">
            <v>151</v>
          </cell>
          <cell r="B156" t="str">
            <v>Bª t«ng lãt mãng R&lt;=2,5m ®¸ 2x 4M100</v>
          </cell>
          <cell r="C156" t="str">
            <v>m3</v>
          </cell>
          <cell r="D156">
            <v>1</v>
          </cell>
          <cell r="E156">
            <v>212.18</v>
          </cell>
          <cell r="F156">
            <v>0.51500000000000001</v>
          </cell>
          <cell r="O156">
            <v>0.92</v>
          </cell>
        </row>
        <row r="157">
          <cell r="A157">
            <v>152</v>
          </cell>
          <cell r="B157" t="str">
            <v>Bª t«ng lãt mãng R&lt;=2,5m ®¸ 2x 4M150</v>
          </cell>
          <cell r="C157" t="str">
            <v>m3</v>
          </cell>
          <cell r="D157">
            <v>1</v>
          </cell>
          <cell r="E157">
            <v>272.64999999999998</v>
          </cell>
          <cell r="F157">
            <v>0.49399999999999999</v>
          </cell>
          <cell r="O157">
            <v>0.90600000000000003</v>
          </cell>
        </row>
        <row r="158">
          <cell r="A158">
            <v>153</v>
          </cell>
          <cell r="B158" t="str">
            <v>Bª t«ng lãt mãng R&gt;2,5m ®¸ 2x 4M100</v>
          </cell>
          <cell r="C158" t="str">
            <v>m3</v>
          </cell>
          <cell r="D158">
            <v>1</v>
          </cell>
          <cell r="E158">
            <v>212.18</v>
          </cell>
          <cell r="F158">
            <v>0.51500000000000001</v>
          </cell>
          <cell r="O158">
            <v>0.92</v>
          </cell>
        </row>
        <row r="159">
          <cell r="A159">
            <v>154</v>
          </cell>
          <cell r="B159" t="str">
            <v>Bª t«ng lãt mãng R&gt;2,5m ®¸ 2x 4M150</v>
          </cell>
          <cell r="C159" t="str">
            <v>m3</v>
          </cell>
          <cell r="D159">
            <v>1</v>
          </cell>
          <cell r="E159">
            <v>272.64999999999998</v>
          </cell>
          <cell r="F159">
            <v>0.49399999999999999</v>
          </cell>
          <cell r="O159">
            <v>0.90600000000000003</v>
          </cell>
        </row>
        <row r="160">
          <cell r="A160">
            <v>155</v>
          </cell>
          <cell r="B160" t="str">
            <v>Bª t«ng mãng  R&lt;=2,5m ®¸ 2x4 M150</v>
          </cell>
          <cell r="C160" t="str">
            <v>m3</v>
          </cell>
          <cell r="D160">
            <v>1</v>
          </cell>
          <cell r="E160">
            <v>272.64999999999998</v>
          </cell>
          <cell r="F160">
            <v>0.49399999999999999</v>
          </cell>
          <cell r="O160">
            <v>0.90600000000000003</v>
          </cell>
          <cell r="BQ160">
            <v>1</v>
          </cell>
        </row>
        <row r="161">
          <cell r="A161">
            <v>156</v>
          </cell>
          <cell r="B161" t="str">
            <v>Bª t«ng mãng  R&lt;=2,5m ®¸ 2x4 M200</v>
          </cell>
          <cell r="C161" t="str">
            <v>m3</v>
          </cell>
          <cell r="D161">
            <v>1</v>
          </cell>
          <cell r="E161">
            <v>331.08</v>
          </cell>
          <cell r="F161">
            <v>0.46899999999999997</v>
          </cell>
          <cell r="O161">
            <v>0.89600000000000002</v>
          </cell>
          <cell r="BQ161">
            <v>1</v>
          </cell>
        </row>
        <row r="162">
          <cell r="A162">
            <v>157</v>
          </cell>
          <cell r="B162" t="str">
            <v>Bª t«ng mãng  R&lt;=2,5m ®¸ 2x4 M250</v>
          </cell>
          <cell r="C162" t="str">
            <v>m3</v>
          </cell>
          <cell r="D162">
            <v>1</v>
          </cell>
          <cell r="E162">
            <v>384</v>
          </cell>
          <cell r="F162">
            <v>0.45100000000000001</v>
          </cell>
          <cell r="O162">
            <v>0.879</v>
          </cell>
          <cell r="BQ162">
            <v>1</v>
          </cell>
        </row>
        <row r="163">
          <cell r="A163">
            <v>158</v>
          </cell>
          <cell r="B163" t="str">
            <v>Bª t«ng mãng  R&lt;=2,5m ®¸ 1x2 M150</v>
          </cell>
          <cell r="C163" t="str">
            <v>m3</v>
          </cell>
          <cell r="D163">
            <v>1</v>
          </cell>
          <cell r="E163">
            <v>288.02999999999997</v>
          </cell>
          <cell r="F163">
            <v>0.49</v>
          </cell>
          <cell r="P163">
            <v>0.90400000000000003</v>
          </cell>
          <cell r="BQ163">
            <v>1</v>
          </cell>
        </row>
        <row r="164">
          <cell r="A164">
            <v>159</v>
          </cell>
          <cell r="B164" t="str">
            <v>Bª t«ng mãng  R&lt;=2,5m ®¸ 1x2 M200</v>
          </cell>
          <cell r="C164" t="str">
            <v>m3</v>
          </cell>
          <cell r="D164">
            <v>1</v>
          </cell>
          <cell r="E164">
            <v>350.55</v>
          </cell>
          <cell r="F164">
            <v>0.46600000000000003</v>
          </cell>
          <cell r="P164">
            <v>0.88900000000000001</v>
          </cell>
          <cell r="BQ164">
            <v>1</v>
          </cell>
        </row>
        <row r="165">
          <cell r="A165">
            <v>160</v>
          </cell>
          <cell r="B165" t="str">
            <v>Bª t«ng mãng  R&lt;=2,5m ®¸ 1x2 M250</v>
          </cell>
          <cell r="C165" t="str">
            <v>m3</v>
          </cell>
          <cell r="D165">
            <v>1</v>
          </cell>
          <cell r="E165">
            <v>415.13</v>
          </cell>
          <cell r="F165">
            <v>0.438</v>
          </cell>
          <cell r="P165">
            <v>0.879</v>
          </cell>
          <cell r="BQ165">
            <v>1</v>
          </cell>
        </row>
        <row r="166">
          <cell r="A166">
            <v>161</v>
          </cell>
          <cell r="B166" t="str">
            <v>Bª t«ng mãng R&gt;2,5m ®¸ 2x4 M150</v>
          </cell>
          <cell r="C166" t="str">
            <v>m3</v>
          </cell>
          <cell r="D166">
            <v>1</v>
          </cell>
          <cell r="E166">
            <v>272.64999999999998</v>
          </cell>
          <cell r="F166">
            <v>0.49399999999999999</v>
          </cell>
          <cell r="L166">
            <v>1.4999999999999999E-2</v>
          </cell>
          <cell r="M166">
            <v>0.122</v>
          </cell>
          <cell r="O166">
            <v>0.90600000000000003</v>
          </cell>
          <cell r="Q166">
            <v>0.60299999999999998</v>
          </cell>
          <cell r="BQ166">
            <v>1</v>
          </cell>
        </row>
        <row r="167">
          <cell r="A167">
            <v>162</v>
          </cell>
          <cell r="B167" t="str">
            <v>Bª t«ng mãng R&gt;2,5m ®¸ 2x4 M200</v>
          </cell>
          <cell r="C167" t="str">
            <v>m3</v>
          </cell>
          <cell r="D167">
            <v>1</v>
          </cell>
          <cell r="E167">
            <v>331.08</v>
          </cell>
          <cell r="F167">
            <v>0.46899999999999997</v>
          </cell>
          <cell r="L167">
            <v>1.4999999999999999E-2</v>
          </cell>
          <cell r="M167">
            <v>0.122</v>
          </cell>
          <cell r="O167">
            <v>0.89600000000000002</v>
          </cell>
          <cell r="Q167">
            <v>0.60299999999999998</v>
          </cell>
          <cell r="BQ167">
            <v>1</v>
          </cell>
        </row>
        <row r="168">
          <cell r="A168">
            <v>163</v>
          </cell>
          <cell r="B168" t="str">
            <v>Bª t«ng mãng R&gt;2,5m ®¸ 2x4 M250</v>
          </cell>
          <cell r="C168" t="str">
            <v>m3</v>
          </cell>
          <cell r="D168">
            <v>1</v>
          </cell>
          <cell r="E168">
            <v>384</v>
          </cell>
          <cell r="F168">
            <v>0.45100000000000001</v>
          </cell>
          <cell r="L168">
            <v>1.4999999999999999E-2</v>
          </cell>
          <cell r="M168">
            <v>0.122</v>
          </cell>
          <cell r="O168">
            <v>0.879</v>
          </cell>
          <cell r="Q168">
            <v>0.60299999999999998</v>
          </cell>
          <cell r="BQ168">
            <v>1</v>
          </cell>
        </row>
        <row r="169">
          <cell r="A169">
            <v>164</v>
          </cell>
          <cell r="B169" t="str">
            <v>Bª t«ng mãng R&gt;2,5m ®¸ 1x2 M150</v>
          </cell>
          <cell r="C169" t="str">
            <v>m3</v>
          </cell>
          <cell r="D169">
            <v>1</v>
          </cell>
          <cell r="E169">
            <v>288.02999999999997</v>
          </cell>
          <cell r="F169">
            <v>0.49</v>
          </cell>
          <cell r="L169">
            <v>1.4999999999999999E-2</v>
          </cell>
          <cell r="M169">
            <v>0.122</v>
          </cell>
          <cell r="P169">
            <v>0.90400000000000003</v>
          </cell>
          <cell r="Q169">
            <v>0.60299999999999998</v>
          </cell>
          <cell r="BQ169">
            <v>1</v>
          </cell>
        </row>
        <row r="170">
          <cell r="A170">
            <v>165</v>
          </cell>
          <cell r="B170" t="str">
            <v>Bª t«ng mãng R&gt;2,5m ®¸ 1x2 M200</v>
          </cell>
          <cell r="C170" t="str">
            <v>m3</v>
          </cell>
          <cell r="D170">
            <v>1</v>
          </cell>
          <cell r="E170">
            <v>350.55</v>
          </cell>
          <cell r="F170">
            <v>0.46600000000000003</v>
          </cell>
          <cell r="L170">
            <v>1.4999999999999999E-2</v>
          </cell>
          <cell r="M170">
            <v>0.122</v>
          </cell>
          <cell r="P170">
            <v>0.88900000000000001</v>
          </cell>
          <cell r="Q170">
            <v>0.60299999999999998</v>
          </cell>
          <cell r="BQ170">
            <v>1</v>
          </cell>
        </row>
        <row r="171">
          <cell r="A171">
            <v>166</v>
          </cell>
          <cell r="B171" t="str">
            <v>Bª t«ng mãng R&gt;2,5m ®¸ 1x2 M250</v>
          </cell>
          <cell r="C171" t="str">
            <v>m3</v>
          </cell>
          <cell r="D171">
            <v>1</v>
          </cell>
          <cell r="E171">
            <v>415.13</v>
          </cell>
          <cell r="F171">
            <v>0.438</v>
          </cell>
          <cell r="L171">
            <v>1.4999999999999999E-2</v>
          </cell>
          <cell r="M171">
            <v>0.122</v>
          </cell>
          <cell r="P171">
            <v>0.879</v>
          </cell>
          <cell r="Q171">
            <v>0.60299999999999998</v>
          </cell>
          <cell r="BQ171">
            <v>1</v>
          </cell>
        </row>
        <row r="172">
          <cell r="A172">
            <v>167</v>
          </cell>
          <cell r="B172" t="str">
            <v>Bª t«ng nÒn ®¸ 1x2 M150</v>
          </cell>
          <cell r="C172" t="str">
            <v>m3</v>
          </cell>
          <cell r="D172">
            <v>1</v>
          </cell>
          <cell r="E172">
            <v>288.02999999999997</v>
          </cell>
          <cell r="F172">
            <v>0.49</v>
          </cell>
          <cell r="P172">
            <v>0.90400000000000003</v>
          </cell>
          <cell r="BQ172">
            <v>1</v>
          </cell>
        </row>
        <row r="173">
          <cell r="A173">
            <v>168</v>
          </cell>
          <cell r="B173" t="str">
            <v>Bª t«ng nÒn ®¸ 1x2 M200</v>
          </cell>
          <cell r="C173" t="str">
            <v>m3</v>
          </cell>
          <cell r="D173">
            <v>1</v>
          </cell>
          <cell r="E173">
            <v>350.55</v>
          </cell>
          <cell r="F173">
            <v>0.46600000000000003</v>
          </cell>
          <cell r="P173">
            <v>0.88900000000000001</v>
          </cell>
          <cell r="BQ173">
            <v>1</v>
          </cell>
        </row>
        <row r="174">
          <cell r="A174">
            <v>169</v>
          </cell>
          <cell r="B174" t="str">
            <v>Bª t«ng nÒn ®¸ 1x2 M250</v>
          </cell>
          <cell r="C174" t="str">
            <v>m3</v>
          </cell>
          <cell r="D174">
            <v>1</v>
          </cell>
          <cell r="E174">
            <v>415.13</v>
          </cell>
          <cell r="F174">
            <v>0.438</v>
          </cell>
          <cell r="P174">
            <v>0.879</v>
          </cell>
          <cell r="BQ174">
            <v>1</v>
          </cell>
        </row>
        <row r="175">
          <cell r="A175">
            <v>170</v>
          </cell>
          <cell r="B175" t="str">
            <v>Bª t«ng nÒn ®¸ 1x2 M300</v>
          </cell>
          <cell r="C175" t="str">
            <v>m3</v>
          </cell>
          <cell r="D175">
            <v>1</v>
          </cell>
          <cell r="E175">
            <v>437.68</v>
          </cell>
          <cell r="F175">
            <v>0.45200000000000001</v>
          </cell>
          <cell r="P175">
            <v>0.88300000000000001</v>
          </cell>
          <cell r="BQ175">
            <v>1</v>
          </cell>
        </row>
        <row r="176">
          <cell r="A176">
            <v>171</v>
          </cell>
          <cell r="B176" t="str">
            <v>Bª t«ng nÒn ®¸ 2x4 M150</v>
          </cell>
          <cell r="C176" t="str">
            <v>m3</v>
          </cell>
          <cell r="D176">
            <v>1</v>
          </cell>
          <cell r="E176">
            <v>272.64999999999998</v>
          </cell>
          <cell r="F176">
            <v>0.49399999999999999</v>
          </cell>
          <cell r="O176">
            <v>0.90600000000000003</v>
          </cell>
          <cell r="BQ176">
            <v>1</v>
          </cell>
        </row>
        <row r="177">
          <cell r="A177">
            <v>172</v>
          </cell>
          <cell r="B177" t="str">
            <v>Bª t«ng nÒn ®¸ 2x4 M200</v>
          </cell>
          <cell r="C177" t="str">
            <v>m3</v>
          </cell>
          <cell r="D177">
            <v>1</v>
          </cell>
          <cell r="E177">
            <v>331.08</v>
          </cell>
          <cell r="F177">
            <v>0.46899999999999997</v>
          </cell>
          <cell r="O177">
            <v>0.89600000000000002</v>
          </cell>
          <cell r="BQ177">
            <v>1</v>
          </cell>
        </row>
        <row r="178">
          <cell r="A178">
            <v>173</v>
          </cell>
          <cell r="B178" t="str">
            <v>Bª t«ng nÒn ®¸ 2x4 M250</v>
          </cell>
          <cell r="C178" t="str">
            <v>m3</v>
          </cell>
          <cell r="D178">
            <v>1</v>
          </cell>
          <cell r="E178">
            <v>384</v>
          </cell>
          <cell r="F178">
            <v>0.45100000000000001</v>
          </cell>
          <cell r="O178">
            <v>0.879</v>
          </cell>
          <cell r="BQ178">
            <v>1</v>
          </cell>
        </row>
        <row r="179">
          <cell r="A179">
            <v>174</v>
          </cell>
          <cell r="B179" t="str">
            <v>Bª t«ng nÒn ®¸ 2x4 M300</v>
          </cell>
          <cell r="C179" t="str">
            <v>m3</v>
          </cell>
          <cell r="D179">
            <v>1</v>
          </cell>
          <cell r="E179">
            <v>466.38</v>
          </cell>
          <cell r="F179">
            <v>0.41099999999999998</v>
          </cell>
          <cell r="O179">
            <v>0.879</v>
          </cell>
          <cell r="BQ179">
            <v>1</v>
          </cell>
        </row>
        <row r="180">
          <cell r="A180">
            <v>175</v>
          </cell>
          <cell r="B180" t="str">
            <v>Bª t«ng bÖ m¸y ®¸ 1x2 M150</v>
          </cell>
          <cell r="C180" t="str">
            <v>m3</v>
          </cell>
          <cell r="D180">
            <v>1</v>
          </cell>
          <cell r="E180">
            <v>288.02999999999997</v>
          </cell>
          <cell r="F180">
            <v>0.49</v>
          </cell>
          <cell r="P180">
            <v>0.90400000000000003</v>
          </cell>
          <cell r="BQ180">
            <v>1</v>
          </cell>
        </row>
        <row r="181">
          <cell r="A181">
            <v>176</v>
          </cell>
          <cell r="B181" t="str">
            <v>Bª t«ng bÖ m¸y ®¸ 1x2 M200</v>
          </cell>
          <cell r="C181" t="str">
            <v>m3</v>
          </cell>
          <cell r="D181">
            <v>1</v>
          </cell>
          <cell r="E181">
            <v>350.55</v>
          </cell>
          <cell r="F181">
            <v>0.46600000000000003</v>
          </cell>
          <cell r="P181">
            <v>0.88900000000000001</v>
          </cell>
          <cell r="BQ181">
            <v>1</v>
          </cell>
        </row>
        <row r="182">
          <cell r="A182">
            <v>177</v>
          </cell>
          <cell r="B182" t="str">
            <v>Bª t«ng bÖ m¸y ®¸ 1x2 M250</v>
          </cell>
          <cell r="C182" t="str">
            <v>m3</v>
          </cell>
          <cell r="D182">
            <v>1</v>
          </cell>
          <cell r="E182">
            <v>415.13</v>
          </cell>
          <cell r="F182">
            <v>0.438</v>
          </cell>
          <cell r="P182">
            <v>0.879</v>
          </cell>
          <cell r="BQ182">
            <v>1</v>
          </cell>
        </row>
        <row r="183">
          <cell r="A183">
            <v>178</v>
          </cell>
          <cell r="B183" t="str">
            <v>Bª t«ng bÖ m¸y ®¸ 1x2 M300</v>
          </cell>
          <cell r="C183" t="str">
            <v>m3</v>
          </cell>
          <cell r="D183">
            <v>1</v>
          </cell>
          <cell r="E183">
            <v>437.68</v>
          </cell>
          <cell r="F183">
            <v>0.45200000000000001</v>
          </cell>
          <cell r="P183">
            <v>0.88300000000000001</v>
          </cell>
          <cell r="BQ183">
            <v>1</v>
          </cell>
        </row>
        <row r="184">
          <cell r="A184">
            <v>179</v>
          </cell>
          <cell r="B184" t="str">
            <v>Bª t«ng bÖ m¸y ®¸ 2x4 M150</v>
          </cell>
          <cell r="C184" t="str">
            <v>m3</v>
          </cell>
          <cell r="D184">
            <v>1</v>
          </cell>
          <cell r="E184">
            <v>272.64999999999998</v>
          </cell>
          <cell r="F184">
            <v>0.49399999999999999</v>
          </cell>
          <cell r="O184">
            <v>0.90600000000000003</v>
          </cell>
          <cell r="BQ184">
            <v>1</v>
          </cell>
        </row>
        <row r="185">
          <cell r="A185">
            <v>180</v>
          </cell>
          <cell r="B185" t="str">
            <v>Bª t«ng bÖ m¸y ®¸ 2x4 M200</v>
          </cell>
          <cell r="C185" t="str">
            <v>m3</v>
          </cell>
          <cell r="D185">
            <v>1</v>
          </cell>
          <cell r="E185">
            <v>331.08</v>
          </cell>
          <cell r="F185">
            <v>0.46899999999999997</v>
          </cell>
          <cell r="O185">
            <v>0.89600000000000002</v>
          </cell>
          <cell r="BQ185">
            <v>1</v>
          </cell>
        </row>
        <row r="186">
          <cell r="A186">
            <v>181</v>
          </cell>
          <cell r="B186" t="str">
            <v>Bª t«ng bÖ m¸y ®¸ 2x4 M250</v>
          </cell>
          <cell r="C186" t="str">
            <v>m3</v>
          </cell>
          <cell r="D186">
            <v>1</v>
          </cell>
          <cell r="E186">
            <v>384</v>
          </cell>
          <cell r="F186">
            <v>0.45100000000000001</v>
          </cell>
          <cell r="O186">
            <v>0.879</v>
          </cell>
          <cell r="BQ186">
            <v>1</v>
          </cell>
        </row>
        <row r="187">
          <cell r="A187">
            <v>182</v>
          </cell>
          <cell r="B187" t="str">
            <v>Bª t«ng bÖ m¸y ®¸ 2x4 M300</v>
          </cell>
          <cell r="C187" t="str">
            <v>m3</v>
          </cell>
          <cell r="D187">
            <v>1</v>
          </cell>
          <cell r="E187">
            <v>466.38</v>
          </cell>
          <cell r="F187">
            <v>0.41099999999999998</v>
          </cell>
          <cell r="O187">
            <v>0.879</v>
          </cell>
          <cell r="BQ187">
            <v>1</v>
          </cell>
        </row>
        <row r="188">
          <cell r="A188">
            <v>183</v>
          </cell>
          <cell r="B188" t="str">
            <v>Bª t«ng t­êng &lt;=45cm cao&lt;=4m hoÆc &gt;4m ®¸ 1x2 M150</v>
          </cell>
          <cell r="C188" t="str">
            <v>m3</v>
          </cell>
          <cell r="D188">
            <v>1</v>
          </cell>
          <cell r="E188">
            <v>288.02999999999997</v>
          </cell>
          <cell r="F188">
            <v>0.49</v>
          </cell>
          <cell r="L188">
            <v>4.9000000000000002E-2</v>
          </cell>
          <cell r="M188">
            <v>0.19900000000000001</v>
          </cell>
          <cell r="P188">
            <v>0.90400000000000003</v>
          </cell>
          <cell r="Q188">
            <v>0.871</v>
          </cell>
          <cell r="BQ188">
            <v>2</v>
          </cell>
        </row>
        <row r="189">
          <cell r="A189">
            <v>184</v>
          </cell>
          <cell r="B189" t="str">
            <v>Bª t«ng t­êng &lt;=45cm cao&lt;=4m hoÆc &gt;4m ®¸ 1x2 M200</v>
          </cell>
          <cell r="C189" t="str">
            <v>m3</v>
          </cell>
          <cell r="D189">
            <v>1</v>
          </cell>
          <cell r="E189">
            <v>350.55</v>
          </cell>
          <cell r="F189">
            <v>0.46600000000000003</v>
          </cell>
          <cell r="L189">
            <v>4.9000000000000002E-2</v>
          </cell>
          <cell r="M189">
            <v>0.19900000000000001</v>
          </cell>
          <cell r="P189">
            <v>0.88900000000000001</v>
          </cell>
          <cell r="Q189">
            <v>0.871</v>
          </cell>
          <cell r="BQ189">
            <v>2</v>
          </cell>
        </row>
        <row r="190">
          <cell r="A190">
            <v>185</v>
          </cell>
          <cell r="B190" t="str">
            <v>Bª t«ng t­êng &lt;=45cm cao&lt;=4m hoÆc &gt;4m ®¸ 1x2 M250</v>
          </cell>
          <cell r="C190" t="str">
            <v>m3</v>
          </cell>
          <cell r="D190">
            <v>1</v>
          </cell>
          <cell r="E190">
            <v>415.13</v>
          </cell>
          <cell r="F190">
            <v>0.438</v>
          </cell>
          <cell r="L190">
            <v>4.9000000000000002E-2</v>
          </cell>
          <cell r="M190">
            <v>0.19900000000000001</v>
          </cell>
          <cell r="P190">
            <v>0.879</v>
          </cell>
          <cell r="Q190">
            <v>0.871</v>
          </cell>
          <cell r="BQ190">
            <v>2</v>
          </cell>
        </row>
        <row r="191">
          <cell r="A191">
            <v>186</v>
          </cell>
          <cell r="B191" t="str">
            <v>Bª t«ng t­êng &lt;=45cm cao&lt;=4m hoÆc &gt;4m ®¸ 1x2 M300</v>
          </cell>
          <cell r="C191" t="str">
            <v>m3</v>
          </cell>
          <cell r="D191">
            <v>1</v>
          </cell>
          <cell r="E191">
            <v>437.68</v>
          </cell>
          <cell r="F191">
            <v>0.45200000000000001</v>
          </cell>
          <cell r="L191">
            <v>4.9000000000000002E-2</v>
          </cell>
          <cell r="M191">
            <v>0.19900000000000001</v>
          </cell>
          <cell r="P191">
            <v>0.88300000000000001</v>
          </cell>
          <cell r="Q191">
            <v>0.871</v>
          </cell>
          <cell r="BQ191">
            <v>2</v>
          </cell>
        </row>
        <row r="192">
          <cell r="A192">
            <v>187</v>
          </cell>
          <cell r="B192" t="str">
            <v>Bª t«ng t­êng &lt;=45cm cao&lt;=4m hoÆc &gt;4m ®¸ 2x4 M150</v>
          </cell>
          <cell r="C192" t="str">
            <v>m3</v>
          </cell>
          <cell r="D192">
            <v>1</v>
          </cell>
          <cell r="E192">
            <v>272.64999999999998</v>
          </cell>
          <cell r="F192">
            <v>0.49399999999999999</v>
          </cell>
          <cell r="L192">
            <v>4.9000000000000002E-2</v>
          </cell>
          <cell r="M192">
            <v>0.19900000000000001</v>
          </cell>
          <cell r="O192">
            <v>0.90600000000000003</v>
          </cell>
          <cell r="Q192">
            <v>0.871</v>
          </cell>
          <cell r="BQ192">
            <v>2</v>
          </cell>
        </row>
        <row r="193">
          <cell r="A193">
            <v>188</v>
          </cell>
          <cell r="B193" t="str">
            <v>Bª t«ng t­êng &lt;=45cm cao&lt;=4m hoÆc &gt;4m ®¸ 2x4 M200</v>
          </cell>
          <cell r="C193" t="str">
            <v>m3</v>
          </cell>
          <cell r="D193">
            <v>1</v>
          </cell>
          <cell r="E193">
            <v>331.08</v>
          </cell>
          <cell r="F193">
            <v>0.46899999999999997</v>
          </cell>
          <cell r="L193">
            <v>4.9000000000000002E-2</v>
          </cell>
          <cell r="M193">
            <v>0.19900000000000001</v>
          </cell>
          <cell r="O193">
            <v>0.89600000000000002</v>
          </cell>
          <cell r="Q193">
            <v>0.871</v>
          </cell>
          <cell r="BQ193">
            <v>2</v>
          </cell>
        </row>
        <row r="194">
          <cell r="A194">
            <v>189</v>
          </cell>
          <cell r="B194" t="str">
            <v>Bª t«ng t­êng &lt;=45cm cao&lt;=4m hoÆc &gt;4m ®¸ 2x4 M250</v>
          </cell>
          <cell r="C194" t="str">
            <v>m3</v>
          </cell>
          <cell r="D194">
            <v>1</v>
          </cell>
          <cell r="E194">
            <v>384</v>
          </cell>
          <cell r="F194">
            <v>0.45100000000000001</v>
          </cell>
          <cell r="L194">
            <v>4.9000000000000002E-2</v>
          </cell>
          <cell r="M194">
            <v>0.19900000000000001</v>
          </cell>
          <cell r="O194">
            <v>0.879</v>
          </cell>
          <cell r="Q194">
            <v>0.871</v>
          </cell>
          <cell r="BQ194">
            <v>2</v>
          </cell>
        </row>
        <row r="195">
          <cell r="A195">
            <v>190</v>
          </cell>
          <cell r="B195" t="str">
            <v>Bª t«ng t­êng &lt;=45cm cao&lt;=4m hoÆc &gt;4m ®¸ 2x4 M300</v>
          </cell>
          <cell r="C195" t="str">
            <v>m3</v>
          </cell>
          <cell r="D195">
            <v>1</v>
          </cell>
          <cell r="E195">
            <v>466.38</v>
          </cell>
          <cell r="F195">
            <v>0.41099999999999998</v>
          </cell>
          <cell r="L195">
            <v>4.9000000000000002E-2</v>
          </cell>
          <cell r="M195">
            <v>0.19900000000000001</v>
          </cell>
          <cell r="O195">
            <v>0.879</v>
          </cell>
          <cell r="Q195">
            <v>0.871</v>
          </cell>
          <cell r="BQ195">
            <v>2</v>
          </cell>
        </row>
        <row r="196">
          <cell r="A196">
            <v>191</v>
          </cell>
          <cell r="B196" t="str">
            <v>Bª t«ng t­êng &gt;45cm cao&lt;=4m hoÆc &gt;4m ®¸ 1x2 M150</v>
          </cell>
          <cell r="C196" t="str">
            <v>m3</v>
          </cell>
          <cell r="D196">
            <v>1</v>
          </cell>
          <cell r="E196">
            <v>288.02999999999997</v>
          </cell>
          <cell r="F196">
            <v>0.49</v>
          </cell>
          <cell r="L196">
            <v>0.02</v>
          </cell>
          <cell r="M196">
            <v>4.8000000000000001E-2</v>
          </cell>
          <cell r="P196">
            <v>0.90400000000000003</v>
          </cell>
          <cell r="Q196">
            <v>0.35199999999999998</v>
          </cell>
          <cell r="BQ196">
            <v>2</v>
          </cell>
        </row>
        <row r="197">
          <cell r="A197">
            <v>192</v>
          </cell>
          <cell r="B197" t="str">
            <v>Bª t«ng t­êng &gt;45cm cao&lt;=4m hoÆc &gt;4m ®¸ 1x2 M200</v>
          </cell>
          <cell r="C197" t="str">
            <v>m3</v>
          </cell>
          <cell r="D197">
            <v>1</v>
          </cell>
          <cell r="E197">
            <v>350.55</v>
          </cell>
          <cell r="F197">
            <v>0.46600000000000003</v>
          </cell>
          <cell r="L197">
            <v>0.02</v>
          </cell>
          <cell r="M197">
            <v>4.8000000000000001E-2</v>
          </cell>
          <cell r="P197">
            <v>0.88900000000000001</v>
          </cell>
          <cell r="Q197">
            <v>0.35199999999999998</v>
          </cell>
          <cell r="BQ197">
            <v>2</v>
          </cell>
        </row>
        <row r="198">
          <cell r="A198">
            <v>193</v>
          </cell>
          <cell r="B198" t="str">
            <v>Bª t«ng t­êng &gt;45cm cao&lt;=4m hoÆc &gt;4m ®¸ 1x2 M250</v>
          </cell>
          <cell r="C198" t="str">
            <v>m3</v>
          </cell>
          <cell r="D198">
            <v>1</v>
          </cell>
          <cell r="E198">
            <v>415.13</v>
          </cell>
          <cell r="F198">
            <v>0.438</v>
          </cell>
          <cell r="L198">
            <v>0.02</v>
          </cell>
          <cell r="M198">
            <v>4.8000000000000001E-2</v>
          </cell>
          <cell r="P198">
            <v>0.879</v>
          </cell>
          <cell r="Q198">
            <v>0.35199999999999998</v>
          </cell>
          <cell r="BQ198">
            <v>2</v>
          </cell>
        </row>
        <row r="199">
          <cell r="A199">
            <v>194</v>
          </cell>
          <cell r="B199" t="str">
            <v>Bª t«ng t­êng &gt;45cm cao&lt;=4m hoÆc &gt;4m ®¸ 1x2 M300</v>
          </cell>
          <cell r="C199" t="str">
            <v>m3</v>
          </cell>
          <cell r="D199">
            <v>1</v>
          </cell>
          <cell r="E199">
            <v>437.68</v>
          </cell>
          <cell r="F199">
            <v>0.45200000000000001</v>
          </cell>
          <cell r="L199">
            <v>0.02</v>
          </cell>
          <cell r="M199">
            <v>4.8000000000000001E-2</v>
          </cell>
          <cell r="P199">
            <v>0.88300000000000001</v>
          </cell>
          <cell r="Q199">
            <v>0.35199999999999998</v>
          </cell>
          <cell r="BQ199">
            <v>2</v>
          </cell>
        </row>
        <row r="200">
          <cell r="A200">
            <v>195</v>
          </cell>
          <cell r="B200" t="str">
            <v>Bª t«ng t­êng &gt;45cm cao&lt;=4m hoÆc &gt;4m ®¸ 2x4 M150</v>
          </cell>
          <cell r="C200" t="str">
            <v>m3</v>
          </cell>
          <cell r="D200">
            <v>1</v>
          </cell>
          <cell r="E200">
            <v>272.64999999999998</v>
          </cell>
          <cell r="F200">
            <v>0.49399999999999999</v>
          </cell>
          <cell r="L200">
            <v>0.02</v>
          </cell>
          <cell r="M200">
            <v>4.8000000000000001E-2</v>
          </cell>
          <cell r="O200">
            <v>0.90600000000000003</v>
          </cell>
          <cell r="Q200">
            <v>0.35199999999999998</v>
          </cell>
          <cell r="BQ200">
            <v>2</v>
          </cell>
        </row>
        <row r="201">
          <cell r="A201">
            <v>196</v>
          </cell>
          <cell r="B201" t="str">
            <v>Bª t«ng t­êng &gt;45cm cao&lt;=4m hoÆc &gt;4m ®¸ 2x4 M200</v>
          </cell>
          <cell r="C201" t="str">
            <v>m3</v>
          </cell>
          <cell r="D201">
            <v>1</v>
          </cell>
          <cell r="E201">
            <v>331.08</v>
          </cell>
          <cell r="F201">
            <v>0.46899999999999997</v>
          </cell>
          <cell r="L201">
            <v>0.02</v>
          </cell>
          <cell r="M201">
            <v>4.8000000000000001E-2</v>
          </cell>
          <cell r="O201">
            <v>0.89600000000000002</v>
          </cell>
          <cell r="Q201">
            <v>0.35199999999999998</v>
          </cell>
          <cell r="BQ201">
            <v>2</v>
          </cell>
        </row>
        <row r="202">
          <cell r="A202">
            <v>197</v>
          </cell>
          <cell r="B202" t="str">
            <v>Bª t«ng t­êng &gt;45cm cao&lt;=4m hoÆc &gt;4m ®¸ 2x4 M250</v>
          </cell>
          <cell r="C202" t="str">
            <v>m3</v>
          </cell>
          <cell r="D202">
            <v>1</v>
          </cell>
          <cell r="E202">
            <v>384</v>
          </cell>
          <cell r="F202">
            <v>0.45100000000000001</v>
          </cell>
          <cell r="L202">
            <v>0.02</v>
          </cell>
          <cell r="M202">
            <v>4.8000000000000001E-2</v>
          </cell>
          <cell r="O202">
            <v>0.879</v>
          </cell>
          <cell r="Q202">
            <v>0.35199999999999998</v>
          </cell>
          <cell r="BQ202">
            <v>2</v>
          </cell>
        </row>
        <row r="203">
          <cell r="A203">
            <v>198</v>
          </cell>
          <cell r="B203" t="str">
            <v>Bª t«ng t­êng &gt;45cm cao&lt;=4m hoÆc &gt;4m ®¸ 2x4 M300</v>
          </cell>
          <cell r="C203" t="str">
            <v>m3</v>
          </cell>
          <cell r="D203">
            <v>1</v>
          </cell>
          <cell r="E203">
            <v>466.38</v>
          </cell>
          <cell r="F203">
            <v>0.41099999999999998</v>
          </cell>
          <cell r="L203">
            <v>0.02</v>
          </cell>
          <cell r="M203">
            <v>4.8000000000000001E-2</v>
          </cell>
          <cell r="O203">
            <v>0.879</v>
          </cell>
          <cell r="Q203">
            <v>0.35199999999999998</v>
          </cell>
          <cell r="BQ203">
            <v>2</v>
          </cell>
        </row>
        <row r="204">
          <cell r="A204">
            <v>199</v>
          </cell>
          <cell r="B204" t="str">
            <v>Bª t«ng t­êng trô pin &lt;=45cm cao&lt;=4m hoÆc &gt;4m ®¸ 1x2 M150</v>
          </cell>
          <cell r="C204" t="str">
            <v>m3</v>
          </cell>
          <cell r="D204">
            <v>1</v>
          </cell>
          <cell r="E204">
            <v>288.02999999999997</v>
          </cell>
          <cell r="F204">
            <v>0.49</v>
          </cell>
          <cell r="L204">
            <v>4.9000000000000002E-2</v>
          </cell>
          <cell r="M204">
            <v>0.19900000000000001</v>
          </cell>
          <cell r="P204">
            <v>0.90400000000000003</v>
          </cell>
          <cell r="Q204">
            <v>0.871</v>
          </cell>
        </row>
        <row r="205">
          <cell r="A205">
            <v>200</v>
          </cell>
          <cell r="B205" t="str">
            <v>Bª t«ng t­êng trô pin &lt;=45cm cao&lt;=4m hoÆc &gt;4m ®¸ 1x2 M200</v>
          </cell>
          <cell r="C205" t="str">
            <v>m3</v>
          </cell>
          <cell r="D205">
            <v>1</v>
          </cell>
          <cell r="E205">
            <v>350.55</v>
          </cell>
          <cell r="F205">
            <v>0.46600000000000003</v>
          </cell>
          <cell r="L205">
            <v>4.9000000000000002E-2</v>
          </cell>
          <cell r="M205">
            <v>0.19900000000000001</v>
          </cell>
          <cell r="P205">
            <v>0.88900000000000001</v>
          </cell>
          <cell r="Q205">
            <v>0.871</v>
          </cell>
        </row>
        <row r="206">
          <cell r="A206">
            <v>201</v>
          </cell>
          <cell r="B206" t="str">
            <v>Bª t«ng t­êng trô pin &lt;=45cm cao&lt;=4m hoÆc &gt;4m ®¸ 1x2 M250</v>
          </cell>
          <cell r="C206" t="str">
            <v>m3</v>
          </cell>
          <cell r="D206">
            <v>1</v>
          </cell>
          <cell r="E206">
            <v>415.13</v>
          </cell>
          <cell r="F206">
            <v>0.438</v>
          </cell>
          <cell r="L206">
            <v>4.9000000000000002E-2</v>
          </cell>
          <cell r="M206">
            <v>0.19900000000000001</v>
          </cell>
          <cell r="P206">
            <v>0.879</v>
          </cell>
          <cell r="Q206">
            <v>0.871</v>
          </cell>
        </row>
        <row r="207">
          <cell r="A207">
            <v>202</v>
          </cell>
          <cell r="B207" t="str">
            <v>Bª t«ng t­êng trô pin &lt;=45cm cao&lt;=4m hoÆc &gt;4m ®¸ 1x2 M300</v>
          </cell>
          <cell r="C207" t="str">
            <v>m3</v>
          </cell>
          <cell r="D207">
            <v>1</v>
          </cell>
          <cell r="E207">
            <v>437.68</v>
          </cell>
          <cell r="F207">
            <v>0.45200000000000001</v>
          </cell>
          <cell r="L207">
            <v>4.9000000000000002E-2</v>
          </cell>
          <cell r="M207">
            <v>0.19900000000000001</v>
          </cell>
          <cell r="P207">
            <v>0.88300000000000001</v>
          </cell>
          <cell r="Q207">
            <v>0.871</v>
          </cell>
        </row>
        <row r="208">
          <cell r="A208">
            <v>203</v>
          </cell>
          <cell r="B208" t="str">
            <v>Bª t«ng t­êng trô pin &lt;=45cm cao&lt;=4m hoÆc &gt;4m ®¸ 2x4 M150</v>
          </cell>
          <cell r="C208" t="str">
            <v>m3</v>
          </cell>
          <cell r="D208">
            <v>1</v>
          </cell>
          <cell r="E208">
            <v>272.64999999999998</v>
          </cell>
          <cell r="F208">
            <v>0.49399999999999999</v>
          </cell>
          <cell r="L208">
            <v>4.9000000000000002E-2</v>
          </cell>
          <cell r="M208">
            <v>0.19900000000000001</v>
          </cell>
          <cell r="O208">
            <v>0.90600000000000003</v>
          </cell>
          <cell r="Q208">
            <v>0.871</v>
          </cell>
        </row>
        <row r="209">
          <cell r="A209">
            <v>204</v>
          </cell>
          <cell r="B209" t="str">
            <v>Bª t«ng t­êng trô pin &lt;=45cm cao&lt;=4m hoÆc &gt;4m ®¸ 2x4 M200</v>
          </cell>
          <cell r="C209" t="str">
            <v>m3</v>
          </cell>
          <cell r="D209">
            <v>1</v>
          </cell>
          <cell r="E209">
            <v>331.08</v>
          </cell>
          <cell r="F209">
            <v>0.46899999999999997</v>
          </cell>
          <cell r="L209">
            <v>4.9000000000000002E-2</v>
          </cell>
          <cell r="M209">
            <v>0.19900000000000001</v>
          </cell>
          <cell r="O209">
            <v>0.89600000000000002</v>
          </cell>
          <cell r="Q209">
            <v>0.871</v>
          </cell>
        </row>
        <row r="210">
          <cell r="A210">
            <v>205</v>
          </cell>
          <cell r="B210" t="str">
            <v>Bª t«ng t­êng trô pin &lt;=45cm cao&lt;=4m hoÆc &gt;4m ®¸ 2x4 M250</v>
          </cell>
          <cell r="C210" t="str">
            <v>m3</v>
          </cell>
          <cell r="D210">
            <v>1</v>
          </cell>
          <cell r="E210">
            <v>384</v>
          </cell>
          <cell r="F210">
            <v>0.45100000000000001</v>
          </cell>
          <cell r="L210">
            <v>4.9000000000000002E-2</v>
          </cell>
          <cell r="M210">
            <v>0.19900000000000001</v>
          </cell>
          <cell r="O210">
            <v>0.879</v>
          </cell>
          <cell r="Q210">
            <v>0.871</v>
          </cell>
        </row>
        <row r="211">
          <cell r="A211">
            <v>206</v>
          </cell>
          <cell r="B211" t="str">
            <v>Bª t«ng t­êng trô pin &lt;=45cm cao&lt;=4m hoÆc &gt;4m ®¸ 2x4 M300</v>
          </cell>
          <cell r="C211" t="str">
            <v>m3</v>
          </cell>
          <cell r="D211">
            <v>1</v>
          </cell>
          <cell r="E211">
            <v>466.38</v>
          </cell>
          <cell r="F211">
            <v>0.41099999999999998</v>
          </cell>
          <cell r="L211">
            <v>4.9000000000000002E-2</v>
          </cell>
          <cell r="M211">
            <v>0.19900000000000001</v>
          </cell>
          <cell r="O211">
            <v>0.879</v>
          </cell>
          <cell r="Q211">
            <v>0.871</v>
          </cell>
        </row>
        <row r="212">
          <cell r="A212">
            <v>207</v>
          </cell>
          <cell r="B212" t="str">
            <v>Bª t«ng t­êng trô pin &gt;45cm cao&lt;=4m hoÆc &gt;4m ®¸ 1x2 M150</v>
          </cell>
          <cell r="C212" t="str">
            <v>m3</v>
          </cell>
          <cell r="D212">
            <v>1</v>
          </cell>
          <cell r="E212">
            <v>288.02999999999997</v>
          </cell>
          <cell r="F212">
            <v>0.49</v>
          </cell>
          <cell r="L212">
            <v>4.9000000000000002E-2</v>
          </cell>
          <cell r="M212">
            <v>0.19900000000000001</v>
          </cell>
          <cell r="P212">
            <v>0.90400000000000003</v>
          </cell>
          <cell r="Q212">
            <v>0.35199999999999998</v>
          </cell>
        </row>
        <row r="213">
          <cell r="A213">
            <v>208</v>
          </cell>
          <cell r="B213" t="str">
            <v>Bª t«ng t­êng trô pin &gt;45cm cao&lt;=4m hoÆc &gt;4m ®¸ 1x2 M200</v>
          </cell>
          <cell r="C213" t="str">
            <v>m3</v>
          </cell>
          <cell r="D213">
            <v>1</v>
          </cell>
          <cell r="E213">
            <v>350.55</v>
          </cell>
          <cell r="F213">
            <v>0.46600000000000003</v>
          </cell>
          <cell r="L213">
            <v>4.9000000000000002E-2</v>
          </cell>
          <cell r="M213">
            <v>0.19900000000000001</v>
          </cell>
          <cell r="P213">
            <v>0.88900000000000001</v>
          </cell>
          <cell r="Q213">
            <v>0.35199999999999998</v>
          </cell>
        </row>
        <row r="214">
          <cell r="A214">
            <v>209</v>
          </cell>
          <cell r="B214" t="str">
            <v>Bª t«ng t­êng trô pin &gt;45cm cao&lt;=4m hoÆc &gt;4m ®¸ 1x2 M250</v>
          </cell>
          <cell r="C214" t="str">
            <v>m3</v>
          </cell>
          <cell r="D214">
            <v>1</v>
          </cell>
          <cell r="E214">
            <v>415.13</v>
          </cell>
          <cell r="F214">
            <v>0.438</v>
          </cell>
          <cell r="L214">
            <v>4.9000000000000002E-2</v>
          </cell>
          <cell r="M214">
            <v>0.19900000000000001</v>
          </cell>
          <cell r="P214">
            <v>0.879</v>
          </cell>
          <cell r="Q214">
            <v>0.35199999999999998</v>
          </cell>
        </row>
        <row r="215">
          <cell r="A215">
            <v>210</v>
          </cell>
          <cell r="B215" t="str">
            <v>Bª t«ng t­êng trô pin &gt;45cm cao&lt;=4m hoÆc &gt;4m ®¸ 1x2 M300</v>
          </cell>
          <cell r="C215" t="str">
            <v>m3</v>
          </cell>
          <cell r="D215">
            <v>1</v>
          </cell>
          <cell r="E215">
            <v>437.68</v>
          </cell>
          <cell r="F215">
            <v>0.45200000000000001</v>
          </cell>
          <cell r="L215">
            <v>4.9000000000000002E-2</v>
          </cell>
          <cell r="M215">
            <v>0.19900000000000001</v>
          </cell>
          <cell r="P215">
            <v>0.88300000000000001</v>
          </cell>
          <cell r="Q215">
            <v>0.35199999999999998</v>
          </cell>
        </row>
        <row r="216">
          <cell r="A216">
            <v>211</v>
          </cell>
          <cell r="B216" t="str">
            <v>Bª t«ng t­êng trô pin &gt;45cm cao&lt;=4m hoÆc &gt;4m ®¸ 2x4 M150</v>
          </cell>
          <cell r="C216" t="str">
            <v>m3</v>
          </cell>
          <cell r="D216">
            <v>1</v>
          </cell>
          <cell r="E216">
            <v>272.64999999999998</v>
          </cell>
          <cell r="F216">
            <v>0.49399999999999999</v>
          </cell>
          <cell r="L216">
            <v>4.9000000000000002E-2</v>
          </cell>
          <cell r="M216">
            <v>0.19900000000000001</v>
          </cell>
          <cell r="O216">
            <v>0.90600000000000003</v>
          </cell>
          <cell r="Q216">
            <v>0.35199999999999998</v>
          </cell>
          <cell r="BQ216">
            <v>2</v>
          </cell>
        </row>
        <row r="217">
          <cell r="A217">
            <v>212</v>
          </cell>
          <cell r="B217" t="str">
            <v>Bª t«ng t­êng trô pin &gt;45cm cao&lt;=4m hoÆc &gt;4m ®¸ 2x4 M200</v>
          </cell>
          <cell r="C217" t="str">
            <v>m3</v>
          </cell>
          <cell r="D217">
            <v>1</v>
          </cell>
          <cell r="E217">
            <v>331.08</v>
          </cell>
          <cell r="F217">
            <v>0.46899999999999997</v>
          </cell>
          <cell r="L217">
            <v>4.9000000000000002E-2</v>
          </cell>
          <cell r="M217">
            <v>0.19900000000000001</v>
          </cell>
          <cell r="O217">
            <v>0.89600000000000002</v>
          </cell>
          <cell r="Q217">
            <v>0.35199999999999998</v>
          </cell>
          <cell r="BQ217">
            <v>2</v>
          </cell>
        </row>
        <row r="218">
          <cell r="A218">
            <v>213</v>
          </cell>
          <cell r="B218" t="str">
            <v>Bª t«ng t­êng trô pin &gt;45cm cao&lt;=4m hoÆc &gt;4m ®¸ 2x4 M250</v>
          </cell>
          <cell r="C218" t="str">
            <v>m3</v>
          </cell>
          <cell r="D218">
            <v>1</v>
          </cell>
          <cell r="E218">
            <v>384</v>
          </cell>
          <cell r="F218">
            <v>0.45100000000000001</v>
          </cell>
          <cell r="L218">
            <v>4.9000000000000002E-2</v>
          </cell>
          <cell r="M218">
            <v>0.19900000000000001</v>
          </cell>
          <cell r="O218">
            <v>0.879</v>
          </cell>
          <cell r="Q218">
            <v>0.35199999999999998</v>
          </cell>
          <cell r="BQ218">
            <v>2</v>
          </cell>
        </row>
        <row r="219">
          <cell r="A219">
            <v>214</v>
          </cell>
          <cell r="B219" t="str">
            <v>Bª t«ng t­êng trô pin &gt;45cm cao&lt;=4m hoÆc &gt;4m ®¸ 2x4 M300</v>
          </cell>
          <cell r="C219" t="str">
            <v>m3</v>
          </cell>
          <cell r="D219">
            <v>1</v>
          </cell>
          <cell r="E219">
            <v>466.38</v>
          </cell>
          <cell r="F219">
            <v>0.41099999999999998</v>
          </cell>
          <cell r="L219">
            <v>4.9000000000000002E-2</v>
          </cell>
          <cell r="M219">
            <v>0.19900000000000001</v>
          </cell>
          <cell r="O219">
            <v>0.879</v>
          </cell>
          <cell r="Q219">
            <v>0.35199999999999998</v>
          </cell>
          <cell r="BQ219">
            <v>2</v>
          </cell>
        </row>
        <row r="220">
          <cell r="A220">
            <v>215</v>
          </cell>
          <cell r="B220" t="str">
            <v>Bª t«ng cét tiÕt diÖn , chiÒu cao tuú ý ®¸ 1x2 M150</v>
          </cell>
          <cell r="C220" t="str">
            <v>m3</v>
          </cell>
          <cell r="D220">
            <v>1</v>
          </cell>
          <cell r="E220">
            <v>288.02999999999997</v>
          </cell>
          <cell r="F220">
            <v>0.49</v>
          </cell>
          <cell r="L220">
            <v>0.02</v>
          </cell>
          <cell r="M220">
            <v>4.8000000000000001E-2</v>
          </cell>
          <cell r="P220">
            <v>0.90400000000000003</v>
          </cell>
          <cell r="Q220">
            <v>0.35199999999999998</v>
          </cell>
          <cell r="BQ220">
            <v>1</v>
          </cell>
        </row>
        <row r="221">
          <cell r="A221">
            <v>216</v>
          </cell>
          <cell r="B221" t="str">
            <v>Bª t«ng cét tiÕt diÖn , chiÒu cao tuú ý ®¸ 1x2 M200</v>
          </cell>
          <cell r="C221" t="str">
            <v>m3</v>
          </cell>
          <cell r="D221">
            <v>1</v>
          </cell>
          <cell r="E221">
            <v>350.55</v>
          </cell>
          <cell r="F221">
            <v>0.46600000000000003</v>
          </cell>
          <cell r="L221">
            <v>0.02</v>
          </cell>
          <cell r="M221">
            <v>4.8000000000000001E-2</v>
          </cell>
          <cell r="P221">
            <v>0.88900000000000001</v>
          </cell>
          <cell r="Q221">
            <v>0.35199999999999998</v>
          </cell>
          <cell r="BQ221">
            <v>1</v>
          </cell>
        </row>
        <row r="222">
          <cell r="A222">
            <v>217</v>
          </cell>
          <cell r="B222" t="str">
            <v>Bª t«ng cét tiÕt diÖn , chiÒu cao tuú ý ®¸ 1x2 M250</v>
          </cell>
          <cell r="C222" t="str">
            <v>m3</v>
          </cell>
          <cell r="D222">
            <v>1</v>
          </cell>
          <cell r="E222">
            <v>415.13</v>
          </cell>
          <cell r="F222">
            <v>0.438</v>
          </cell>
          <cell r="L222">
            <v>0.02</v>
          </cell>
          <cell r="M222">
            <v>4.8000000000000001E-2</v>
          </cell>
          <cell r="P222">
            <v>0.879</v>
          </cell>
          <cell r="Q222">
            <v>0.35199999999999998</v>
          </cell>
          <cell r="BQ222">
            <v>1</v>
          </cell>
        </row>
        <row r="223">
          <cell r="A223">
            <v>218</v>
          </cell>
          <cell r="B223" t="str">
            <v>Bª t«ng cét tiÕt diÖn , chiÒu cao tuú ý ®¸ 1x2 M300</v>
          </cell>
          <cell r="C223" t="str">
            <v>m3</v>
          </cell>
          <cell r="D223">
            <v>1</v>
          </cell>
          <cell r="E223">
            <v>437.68</v>
          </cell>
          <cell r="F223">
            <v>0.45200000000000001</v>
          </cell>
          <cell r="L223">
            <v>0.02</v>
          </cell>
          <cell r="M223">
            <v>4.8000000000000001E-2</v>
          </cell>
          <cell r="P223">
            <v>0.88300000000000001</v>
          </cell>
          <cell r="Q223">
            <v>0.35199999999999998</v>
          </cell>
          <cell r="BQ223">
            <v>1</v>
          </cell>
        </row>
        <row r="224">
          <cell r="A224">
            <v>219</v>
          </cell>
          <cell r="B224" t="str">
            <v>Bª t«ng cét tiÕt diÖn , chiÒu cao tuú ý ®¸ 2x4 M150</v>
          </cell>
          <cell r="C224" t="str">
            <v>m3</v>
          </cell>
          <cell r="D224">
            <v>1</v>
          </cell>
          <cell r="E224">
            <v>272.64999999999998</v>
          </cell>
          <cell r="F224">
            <v>0.49399999999999999</v>
          </cell>
          <cell r="L224">
            <v>0.02</v>
          </cell>
          <cell r="M224">
            <v>4.8000000000000001E-2</v>
          </cell>
          <cell r="O224">
            <v>0.90600000000000003</v>
          </cell>
          <cell r="Q224">
            <v>0.35199999999999998</v>
          </cell>
          <cell r="BQ224">
            <v>1</v>
          </cell>
        </row>
        <row r="225">
          <cell r="A225">
            <v>220</v>
          </cell>
          <cell r="B225" t="str">
            <v>Bª t«ng cét tiÕt diÖn , chiÒu cao tuú ý ®¸ 2x4 M200</v>
          </cell>
          <cell r="C225" t="str">
            <v>m3</v>
          </cell>
          <cell r="D225">
            <v>1</v>
          </cell>
          <cell r="E225">
            <v>331.08</v>
          </cell>
          <cell r="F225">
            <v>0.46899999999999997</v>
          </cell>
          <cell r="L225">
            <v>0.02</v>
          </cell>
          <cell r="M225">
            <v>4.8000000000000001E-2</v>
          </cell>
          <cell r="O225">
            <v>0.89600000000000002</v>
          </cell>
          <cell r="Q225">
            <v>0.35199999999999998</v>
          </cell>
          <cell r="BQ225">
            <v>1</v>
          </cell>
        </row>
        <row r="226">
          <cell r="A226">
            <v>221</v>
          </cell>
          <cell r="B226" t="str">
            <v>Bª t«ng cét tiÕt diÖn , chiÒu cao tuú ý ®¸ 2x4 M250</v>
          </cell>
          <cell r="C226" t="str">
            <v>m3</v>
          </cell>
          <cell r="D226">
            <v>1</v>
          </cell>
          <cell r="E226">
            <v>384</v>
          </cell>
          <cell r="F226">
            <v>0.45100000000000001</v>
          </cell>
          <cell r="L226">
            <v>0.02</v>
          </cell>
          <cell r="M226">
            <v>4.8000000000000001E-2</v>
          </cell>
          <cell r="O226">
            <v>0.879</v>
          </cell>
          <cell r="Q226">
            <v>0.35199999999999998</v>
          </cell>
          <cell r="BQ226">
            <v>1</v>
          </cell>
        </row>
        <row r="227">
          <cell r="A227">
            <v>222</v>
          </cell>
          <cell r="B227" t="str">
            <v>Bª t«ng cét tiÕt diÖn , chiÒu cao tuú ý ®¸ 2x4 M300</v>
          </cell>
          <cell r="C227" t="str">
            <v>m3</v>
          </cell>
          <cell r="D227">
            <v>1</v>
          </cell>
          <cell r="E227">
            <v>466.38</v>
          </cell>
          <cell r="F227">
            <v>0.41099999999999998</v>
          </cell>
          <cell r="L227">
            <v>0.02</v>
          </cell>
          <cell r="M227">
            <v>4.8000000000000001E-2</v>
          </cell>
          <cell r="O227">
            <v>0.879</v>
          </cell>
          <cell r="Q227">
            <v>0.35199999999999998</v>
          </cell>
          <cell r="BQ227">
            <v>1</v>
          </cell>
        </row>
        <row r="228">
          <cell r="A228">
            <v>223</v>
          </cell>
          <cell r="B228" t="str">
            <v>Bª t«ng xµ dÇm ,gi»ng,sµn m¸i ®¸ 1x2 M150</v>
          </cell>
          <cell r="C228" t="str">
            <v>m3</v>
          </cell>
          <cell r="D228">
            <v>1</v>
          </cell>
          <cell r="E228">
            <v>288.02999999999997</v>
          </cell>
          <cell r="F228">
            <v>0.49</v>
          </cell>
          <cell r="P228">
            <v>0.90400000000000003</v>
          </cell>
          <cell r="BQ22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ma-pt"/>
      <sheetName val="DI-ESTI"/>
      <sheetName val="NS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>
        <row r="11">
          <cell r="A11">
            <v>2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3973-5299-482B-9DD3-B528B3ED2025}">
  <sheetPr>
    <pageSetUpPr fitToPage="1"/>
  </sheetPr>
  <dimension ref="A1:J57"/>
  <sheetViews>
    <sheetView tabSelected="1" topLeftCell="B1" zoomScaleNormal="100" workbookViewId="0">
      <selection activeCell="J15" sqref="J15"/>
    </sheetView>
  </sheetViews>
  <sheetFormatPr defaultColWidth="10.28515625" defaultRowHeight="15.75"/>
  <cols>
    <col min="1" max="1" width="1.7109375" style="872" customWidth="1"/>
    <col min="2" max="2" width="37.42578125" style="872" customWidth="1"/>
    <col min="3" max="5" width="9.28515625" style="872" customWidth="1"/>
    <col min="6" max="7" width="7" style="872" customWidth="1"/>
    <col min="8" max="8" width="7" style="873" customWidth="1"/>
    <col min="9" max="16384" width="10.28515625" style="872"/>
  </cols>
  <sheetData>
    <row r="1" spans="1:10" ht="18" customHeight="1">
      <c r="A1" s="832" t="s">
        <v>680</v>
      </c>
      <c r="B1" s="832"/>
      <c r="E1" s="873"/>
      <c r="F1" s="873"/>
      <c r="G1" s="873"/>
    </row>
    <row r="2" spans="1:10" ht="18" customHeight="1">
      <c r="A2" s="832"/>
      <c r="B2" s="832"/>
      <c r="E2" s="873"/>
      <c r="F2" s="873"/>
      <c r="G2" s="873"/>
    </row>
    <row r="3" spans="1:10" ht="18" customHeight="1">
      <c r="A3" s="833"/>
      <c r="B3" s="834"/>
      <c r="C3" s="835"/>
      <c r="D3" s="835"/>
      <c r="E3" s="835"/>
      <c r="F3" s="835"/>
      <c r="G3" s="835"/>
      <c r="H3" s="836" t="s">
        <v>289</v>
      </c>
    </row>
    <row r="4" spans="1:10" ht="15.95" customHeight="1">
      <c r="A4" s="837"/>
      <c r="B4" s="838"/>
      <c r="C4" s="28" t="s">
        <v>340</v>
      </c>
      <c r="D4" s="28" t="s">
        <v>19</v>
      </c>
      <c r="E4" s="28" t="s">
        <v>20</v>
      </c>
      <c r="F4" s="878" t="s">
        <v>681</v>
      </c>
      <c r="G4" s="878"/>
      <c r="H4" s="878"/>
      <c r="I4" s="839"/>
    </row>
    <row r="5" spans="1:10" ht="15.95" customHeight="1">
      <c r="A5" s="833"/>
      <c r="B5" s="840"/>
      <c r="C5" s="30" t="s">
        <v>22</v>
      </c>
      <c r="D5" s="30" t="s">
        <v>23</v>
      </c>
      <c r="E5" s="30" t="s">
        <v>24</v>
      </c>
      <c r="F5" s="30" t="s">
        <v>25</v>
      </c>
      <c r="G5" s="30" t="s">
        <v>26</v>
      </c>
      <c r="H5" s="30" t="s">
        <v>27</v>
      </c>
      <c r="I5" s="839"/>
    </row>
    <row r="6" spans="1:10" ht="15.95" customHeight="1">
      <c r="A6" s="833"/>
      <c r="B6" s="840"/>
      <c r="C6" s="30" t="s">
        <v>28</v>
      </c>
      <c r="D6" s="30" t="s">
        <v>28</v>
      </c>
      <c r="E6" s="30" t="s">
        <v>28</v>
      </c>
      <c r="F6" s="30" t="s">
        <v>28</v>
      </c>
      <c r="G6" s="30" t="s">
        <v>28</v>
      </c>
      <c r="H6" s="30" t="s">
        <v>28</v>
      </c>
      <c r="I6" s="839"/>
    </row>
    <row r="7" spans="1:10" ht="15.95" customHeight="1">
      <c r="A7" s="833"/>
      <c r="B7" s="840"/>
      <c r="C7" s="32">
        <v>2025</v>
      </c>
      <c r="D7" s="32">
        <v>2025</v>
      </c>
      <c r="E7" s="32">
        <v>2025</v>
      </c>
      <c r="F7" s="32">
        <v>2025</v>
      </c>
      <c r="G7" s="32">
        <v>2025</v>
      </c>
      <c r="H7" s="32">
        <v>2025</v>
      </c>
      <c r="I7" s="839"/>
    </row>
    <row r="8" spans="1:10" ht="13.5" customHeight="1">
      <c r="A8" s="833"/>
      <c r="B8" s="841"/>
      <c r="C8" s="842"/>
      <c r="D8" s="842"/>
      <c r="E8" s="842"/>
      <c r="F8" s="842"/>
      <c r="G8" s="843"/>
      <c r="H8" s="874"/>
    </row>
    <row r="9" spans="1:10" ht="20.100000000000001" customHeight="1">
      <c r="A9" s="879" t="s">
        <v>257</v>
      </c>
      <c r="B9" s="879"/>
      <c r="C9" s="844">
        <v>3099631.8264578367</v>
      </c>
      <c r="D9" s="844">
        <v>3239371.8373194742</v>
      </c>
      <c r="E9" s="844">
        <v>9148525.5789371468</v>
      </c>
      <c r="F9" s="845">
        <v>100</v>
      </c>
      <c r="G9" s="845">
        <v>100</v>
      </c>
      <c r="H9" s="845">
        <v>100</v>
      </c>
    </row>
    <row r="10" spans="1:10" ht="20.100000000000001" customHeight="1">
      <c r="A10" s="843"/>
      <c r="B10" s="846" t="s">
        <v>602</v>
      </c>
      <c r="C10" s="844">
        <v>345023.10328622954</v>
      </c>
      <c r="D10" s="844">
        <v>366180.8993833483</v>
      </c>
      <c r="E10" s="844">
        <v>1033634.1538960529</v>
      </c>
      <c r="F10" s="845">
        <v>11.131099517729217</v>
      </c>
      <c r="G10" s="845">
        <v>11.304071214200492</v>
      </c>
      <c r="H10" s="845">
        <v>11.298368736879434</v>
      </c>
      <c r="I10" s="875"/>
      <c r="J10" s="875"/>
    </row>
    <row r="11" spans="1:10" ht="20.100000000000001" customHeight="1">
      <c r="A11" s="833"/>
      <c r="B11" s="847" t="s">
        <v>682</v>
      </c>
      <c r="C11" s="848">
        <v>249773.90667865248</v>
      </c>
      <c r="D11" s="848">
        <v>263171.07281836035</v>
      </c>
      <c r="E11" s="848">
        <v>762640.76366780302</v>
      </c>
      <c r="F11" s="849">
        <v>8.0581798311216328</v>
      </c>
      <c r="G11" s="849">
        <v>8.124139062594617</v>
      </c>
      <c r="H11" s="849">
        <v>8.3362150227097551</v>
      </c>
      <c r="I11" s="875"/>
      <c r="J11" s="875"/>
    </row>
    <row r="12" spans="1:10" ht="20.100000000000001" customHeight="1">
      <c r="A12" s="833"/>
      <c r="B12" s="847" t="s">
        <v>683</v>
      </c>
      <c r="C12" s="848">
        <v>16935.784723716522</v>
      </c>
      <c r="D12" s="848">
        <v>16356.023600945751</v>
      </c>
      <c r="E12" s="848">
        <v>45427.933569779307</v>
      </c>
      <c r="F12" s="849">
        <v>0.54</v>
      </c>
      <c r="G12" s="849">
        <v>0.50491343452809934</v>
      </c>
      <c r="H12" s="849">
        <v>0.49656016346906262</v>
      </c>
    </row>
    <row r="13" spans="1:10" ht="20.100000000000001" customHeight="1">
      <c r="A13" s="833"/>
      <c r="B13" s="847" t="s">
        <v>443</v>
      </c>
      <c r="C13" s="848">
        <v>78313.411883860506</v>
      </c>
      <c r="D13" s="848">
        <v>86653.802964042203</v>
      </c>
      <c r="E13" s="848">
        <v>225565.4566584705</v>
      </c>
      <c r="F13" s="849">
        <v>2.5265391591153796</v>
      </c>
      <c r="G13" s="849">
        <v>2.6750187170777768</v>
      </c>
      <c r="H13" s="849">
        <v>2.46</v>
      </c>
    </row>
    <row r="14" spans="1:10" ht="20.100000000000001" customHeight="1">
      <c r="A14" s="843"/>
      <c r="B14" s="846" t="s">
        <v>603</v>
      </c>
      <c r="C14" s="844">
        <v>1156160.8179607638</v>
      </c>
      <c r="D14" s="844">
        <v>1260429.4497495638</v>
      </c>
      <c r="E14" s="844">
        <v>3438358.0327876043</v>
      </c>
      <c r="F14" s="845">
        <v>37.29994020876952</v>
      </c>
      <c r="G14" s="845">
        <v>38.909687218635206</v>
      </c>
      <c r="H14" s="845">
        <v>37.583739621429402</v>
      </c>
    </row>
    <row r="15" spans="1:10" ht="20.100000000000001" customHeight="1">
      <c r="A15" s="833"/>
      <c r="B15" s="847" t="s">
        <v>684</v>
      </c>
      <c r="C15" s="848">
        <v>973314</v>
      </c>
      <c r="D15" s="848">
        <v>1053920.7253677344</v>
      </c>
      <c r="E15" s="848">
        <v>2910336.9601951232</v>
      </c>
      <c r="F15" s="849">
        <v>31.400933406577252</v>
      </c>
      <c r="G15" s="849">
        <v>32.54</v>
      </c>
      <c r="H15" s="849">
        <v>31.812087478835458</v>
      </c>
      <c r="I15" s="875"/>
      <c r="J15" s="875"/>
    </row>
    <row r="16" spans="1:10" ht="20.100000000000001" customHeight="1">
      <c r="A16" s="833"/>
      <c r="B16" s="850" t="s">
        <v>71</v>
      </c>
      <c r="C16" s="848">
        <v>71159.270464393252</v>
      </c>
      <c r="D16" s="848">
        <v>66956.128845932908</v>
      </c>
      <c r="E16" s="848">
        <v>208462.76197117218</v>
      </c>
      <c r="F16" s="849">
        <v>2.2957329918021867</v>
      </c>
      <c r="G16" s="849">
        <v>2.0669479210308248</v>
      </c>
      <c r="H16" s="849">
        <v>2.2786487305792815</v>
      </c>
      <c r="I16" s="875"/>
      <c r="J16" s="875"/>
    </row>
    <row r="17" spans="1:8" ht="20.100000000000001" customHeight="1">
      <c r="A17" s="833"/>
      <c r="B17" s="850" t="s">
        <v>77</v>
      </c>
      <c r="C17" s="848">
        <v>748613.57634188805</v>
      </c>
      <c r="D17" s="848">
        <v>816828.60639845778</v>
      </c>
      <c r="E17" s="848">
        <v>2232356.6884410591</v>
      </c>
      <c r="F17" s="849">
        <v>24.151693435067752</v>
      </c>
      <c r="G17" s="849">
        <v>25.215648200311875</v>
      </c>
      <c r="H17" s="849">
        <v>24.401272851886247</v>
      </c>
    </row>
    <row r="18" spans="1:8" ht="27" customHeight="1">
      <c r="A18" s="833"/>
      <c r="B18" s="851" t="s">
        <v>685</v>
      </c>
      <c r="C18" s="848">
        <v>138422.83944114961</v>
      </c>
      <c r="D18" s="848">
        <v>153704.26267002855</v>
      </c>
      <c r="E18" s="848">
        <v>424601.44390670833</v>
      </c>
      <c r="F18" s="849">
        <v>4.4657832668899573</v>
      </c>
      <c r="G18" s="849">
        <v>4.744878648979558</v>
      </c>
      <c r="H18" s="849">
        <v>4.6412008169302998</v>
      </c>
    </row>
    <row r="19" spans="1:8" ht="27" customHeight="1">
      <c r="A19" s="833"/>
      <c r="B19" s="851" t="s">
        <v>686</v>
      </c>
      <c r="C19" s="848">
        <v>15117.639427668657</v>
      </c>
      <c r="D19" s="848">
        <v>16431.727453315067</v>
      </c>
      <c r="E19" s="848">
        <v>44916.065876183726</v>
      </c>
      <c r="F19" s="849">
        <v>0.48772371281735832</v>
      </c>
      <c r="G19" s="849">
        <v>0.50725042627128736</v>
      </c>
      <c r="H19" s="849">
        <v>0.49096507943963097</v>
      </c>
    </row>
    <row r="20" spans="1:8" ht="20.100000000000001" customHeight="1">
      <c r="A20" s="833"/>
      <c r="B20" s="847" t="s">
        <v>262</v>
      </c>
      <c r="C20" s="848">
        <v>182847.49228566425</v>
      </c>
      <c r="D20" s="848">
        <v>206508</v>
      </c>
      <c r="E20" s="848">
        <v>528021.07259248092</v>
      </c>
      <c r="F20" s="849">
        <v>5.899006802192269</v>
      </c>
      <c r="G20" s="849">
        <v>6.3749620220416556</v>
      </c>
      <c r="H20" s="849">
        <v>5.7716521425939451</v>
      </c>
    </row>
    <row r="21" spans="1:8" ht="20.100000000000001" customHeight="1">
      <c r="A21" s="843"/>
      <c r="B21" s="852" t="s">
        <v>263</v>
      </c>
      <c r="C21" s="844">
        <v>1348505.5694596115</v>
      </c>
      <c r="D21" s="844">
        <v>1356845.1581319866</v>
      </c>
      <c r="E21" s="844">
        <v>3926710.0976977833</v>
      </c>
      <c r="F21" s="845">
        <v>43.505346601136239</v>
      </c>
      <c r="G21" s="845">
        <v>41.886057738118545</v>
      </c>
      <c r="H21" s="845">
        <v>42.921780824861386</v>
      </c>
    </row>
    <row r="22" spans="1:8" ht="27" customHeight="1">
      <c r="A22" s="833"/>
      <c r="B22" s="853" t="s">
        <v>687</v>
      </c>
      <c r="C22" s="848">
        <v>312968.65928892983</v>
      </c>
      <c r="D22" s="848">
        <v>301420.93236677052</v>
      </c>
      <c r="E22" s="848">
        <v>911412.86709560757</v>
      </c>
      <c r="F22" s="849">
        <v>10.0969623752567</v>
      </c>
      <c r="G22" s="849">
        <v>9.3049192097746722</v>
      </c>
      <c r="H22" s="849">
        <v>9.9624016922898875</v>
      </c>
    </row>
    <row r="23" spans="1:8" ht="20.100000000000001" customHeight="1">
      <c r="A23" s="833"/>
      <c r="B23" s="847" t="s">
        <v>688</v>
      </c>
      <c r="C23" s="848">
        <v>185114.87548655309</v>
      </c>
      <c r="D23" s="848">
        <v>160402.84001140716</v>
      </c>
      <c r="E23" s="848">
        <v>502224.31010668568</v>
      </c>
      <c r="F23" s="849">
        <v>5.9721568834869219</v>
      </c>
      <c r="G23" s="849">
        <v>4.9516649544047961</v>
      </c>
      <c r="H23" s="849">
        <v>5.4896748746373714</v>
      </c>
    </row>
    <row r="24" spans="1:8" ht="20.100000000000001" customHeight="1">
      <c r="A24" s="833"/>
      <c r="B24" s="847" t="s">
        <v>266</v>
      </c>
      <c r="C24" s="848">
        <v>77328.32891432778</v>
      </c>
      <c r="D24" s="848">
        <v>88770.87537495885</v>
      </c>
      <c r="E24" s="848">
        <v>246858.70172415365</v>
      </c>
      <c r="F24" s="849">
        <v>2.4947585146812807</v>
      </c>
      <c r="G24" s="849">
        <v>2.7403731288969673</v>
      </c>
      <c r="H24" s="849">
        <v>2.6983441167011861</v>
      </c>
    </row>
    <row r="25" spans="1:8" ht="20.100000000000001" customHeight="1">
      <c r="A25" s="833"/>
      <c r="B25" s="847" t="s">
        <v>267</v>
      </c>
      <c r="C25" s="848">
        <v>99196.192118610517</v>
      </c>
      <c r="D25" s="848">
        <v>105269.9408369445</v>
      </c>
      <c r="E25" s="848">
        <v>301361.10381753475</v>
      </c>
      <c r="F25" s="849">
        <v>3.2002572457764722</v>
      </c>
      <c r="G25" s="849">
        <v>3.2497022917891889</v>
      </c>
      <c r="H25" s="849">
        <v>3.2940947830037781</v>
      </c>
    </row>
    <row r="26" spans="1:8" ht="20.100000000000001" customHeight="1">
      <c r="A26" s="833"/>
      <c r="B26" s="847" t="s">
        <v>689</v>
      </c>
      <c r="C26" s="848">
        <v>131371.25778650664</v>
      </c>
      <c r="D26" s="848">
        <v>160053.34713824946</v>
      </c>
      <c r="E26" s="848">
        <v>424711.2379561204</v>
      </c>
      <c r="F26" s="849">
        <v>4.2382858720557675</v>
      </c>
      <c r="G26" s="849">
        <v>4.9408760456067595</v>
      </c>
      <c r="H26" s="849">
        <v>4.6424009452839314</v>
      </c>
    </row>
    <row r="27" spans="1:8" ht="20.100000000000001" customHeight="1">
      <c r="A27" s="833"/>
      <c r="B27" s="853" t="s">
        <v>690</v>
      </c>
      <c r="C27" s="848">
        <v>101130.48281172034</v>
      </c>
      <c r="D27" s="848">
        <v>108968.16448185447</v>
      </c>
      <c r="E27" s="848">
        <v>305133.73088076559</v>
      </c>
      <c r="F27" s="849">
        <v>3.2626611311863165</v>
      </c>
      <c r="G27" s="849">
        <v>3.363867130857809</v>
      </c>
      <c r="H27" s="849">
        <v>3.3353323248423958</v>
      </c>
    </row>
    <row r="28" spans="1:8" ht="20.100000000000001" customHeight="1">
      <c r="A28" s="833"/>
      <c r="B28" s="847" t="s">
        <v>691</v>
      </c>
      <c r="C28" s="848">
        <v>63698.523903397596</v>
      </c>
      <c r="D28" s="848">
        <v>67477.414545653868</v>
      </c>
      <c r="E28" s="848">
        <v>185526.65144135774</v>
      </c>
      <c r="F28" s="849">
        <v>2.055035161262694</v>
      </c>
      <c r="G28" s="849">
        <v>2.0830401057474863</v>
      </c>
      <c r="H28" s="849">
        <v>2.0279404570775847</v>
      </c>
    </row>
    <row r="29" spans="1:8" ht="20.100000000000001" customHeight="1">
      <c r="A29" s="833"/>
      <c r="B29" s="847" t="s">
        <v>692</v>
      </c>
      <c r="C29" s="848">
        <v>43366.393395047693</v>
      </c>
      <c r="D29" s="848">
        <v>38938.148731232519</v>
      </c>
      <c r="E29" s="848">
        <v>120861.38954818064</v>
      </c>
      <c r="F29" s="849">
        <v>1.3990820788740406</v>
      </c>
      <c r="G29" s="849">
        <v>1.202027759908328</v>
      </c>
      <c r="H29" s="849">
        <v>1.321102384262252</v>
      </c>
    </row>
    <row r="30" spans="1:8" ht="42" customHeight="1">
      <c r="A30" s="833"/>
      <c r="B30" s="853" t="s">
        <v>693</v>
      </c>
      <c r="C30" s="848">
        <v>67033.664485602567</v>
      </c>
      <c r="D30" s="848">
        <v>60330.005804388362</v>
      </c>
      <c r="E30" s="848">
        <v>177067.86614619385</v>
      </c>
      <c r="F30" s="849">
        <v>2.1626331202763058</v>
      </c>
      <c r="G30" s="849">
        <v>1.8623982930687708</v>
      </c>
      <c r="H30" s="849">
        <v>1.9354798171397272</v>
      </c>
    </row>
    <row r="31" spans="1:8" ht="20.100000000000001" customHeight="1">
      <c r="A31" s="833"/>
      <c r="B31" s="853" t="s">
        <v>271</v>
      </c>
      <c r="C31" s="848">
        <v>126607.56096073562</v>
      </c>
      <c r="D31" s="848">
        <v>120554.8178789721</v>
      </c>
      <c r="E31" s="848">
        <v>350978.81626731943</v>
      </c>
      <c r="F31" s="849">
        <v>4.0845999799085435</v>
      </c>
      <c r="G31" s="849">
        <v>3.7215492364942331</v>
      </c>
      <c r="H31" s="849">
        <v>3.8364522593169079</v>
      </c>
    </row>
    <row r="32" spans="1:8" ht="18" customHeight="1">
      <c r="A32" s="833"/>
      <c r="B32" s="847" t="s">
        <v>272</v>
      </c>
      <c r="C32" s="848">
        <v>94680.916633712099</v>
      </c>
      <c r="D32" s="848">
        <v>101548.16063429601</v>
      </c>
      <c r="E32" s="848">
        <v>267715.73492838669</v>
      </c>
      <c r="F32" s="849">
        <v>3.0545858971228372</v>
      </c>
      <c r="G32" s="849">
        <v>3.1348102574826795</v>
      </c>
      <c r="H32" s="849">
        <v>2.9263265716254274</v>
      </c>
    </row>
    <row r="33" spans="1:8" ht="18" customHeight="1">
      <c r="A33" s="833"/>
      <c r="B33" s="847" t="s">
        <v>273</v>
      </c>
      <c r="C33" s="848">
        <v>19470.922766527634</v>
      </c>
      <c r="D33" s="848">
        <v>19009.380223012195</v>
      </c>
      <c r="E33" s="848">
        <v>57287.737590143035</v>
      </c>
      <c r="F33" s="849">
        <v>0.62816888768297374</v>
      </c>
      <c r="G33" s="849">
        <v>0.58682303784989798</v>
      </c>
      <c r="H33" s="849">
        <v>0.62619639739585864</v>
      </c>
    </row>
    <row r="34" spans="1:8" ht="20.100000000000001" customHeight="1">
      <c r="A34" s="833"/>
      <c r="B34" s="847" t="s">
        <v>275</v>
      </c>
      <c r="C34" s="848">
        <v>22673.336323667958</v>
      </c>
      <c r="D34" s="848">
        <v>20150.948232892024</v>
      </c>
      <c r="E34" s="848">
        <v>63994.439395690519</v>
      </c>
      <c r="F34" s="849">
        <v>0.73148482120143754</v>
      </c>
      <c r="G34" s="849">
        <v>0.62206345072032843</v>
      </c>
      <c r="H34" s="849">
        <v>0.69950549783701033</v>
      </c>
    </row>
    <row r="35" spans="1:8" ht="42" customHeight="1">
      <c r="A35" s="833"/>
      <c r="B35" s="853" t="s">
        <v>694</v>
      </c>
      <c r="C35" s="848">
        <v>3864.4545842719053</v>
      </c>
      <c r="D35" s="848">
        <v>3950.1818713545981</v>
      </c>
      <c r="E35" s="848">
        <v>11575.510799644171</v>
      </c>
      <c r="F35" s="849">
        <v>0.12467463236393737</v>
      </c>
      <c r="G35" s="849">
        <v>0.12194283551663238</v>
      </c>
      <c r="H35" s="849">
        <v>0.12652870344806955</v>
      </c>
    </row>
    <row r="36" spans="1:8" ht="20.100000000000001" customHeight="1">
      <c r="A36" s="843"/>
      <c r="B36" s="846" t="s">
        <v>695</v>
      </c>
      <c r="C36" s="844">
        <v>249942.33575123153</v>
      </c>
      <c r="D36" s="844">
        <v>255916.33005457523</v>
      </c>
      <c r="E36" s="844">
        <v>749823.29455570702</v>
      </c>
      <c r="F36" s="845">
        <v>8.0636136723650136</v>
      </c>
      <c r="G36" s="845">
        <v>7.9001838290457478</v>
      </c>
      <c r="H36" s="845">
        <v>8.1961108168297834</v>
      </c>
    </row>
    <row r="37" spans="1:8" ht="15">
      <c r="A37" s="843"/>
      <c r="B37" s="843"/>
      <c r="C37" s="30"/>
      <c r="D37" s="30"/>
      <c r="E37" s="30"/>
      <c r="F37" s="30"/>
      <c r="G37" s="30"/>
      <c r="H37" s="30"/>
    </row>
    <row r="38" spans="1:8" ht="15">
      <c r="A38" s="843"/>
      <c r="B38" s="843"/>
      <c r="C38" s="843"/>
      <c r="D38" s="843"/>
      <c r="E38" s="843"/>
      <c r="F38" s="843"/>
      <c r="G38" s="843"/>
      <c r="H38" s="874"/>
    </row>
    <row r="39" spans="1:8" ht="15">
      <c r="A39" s="843"/>
      <c r="B39" s="843"/>
      <c r="C39" s="843"/>
      <c r="D39" s="843"/>
      <c r="E39" s="843"/>
      <c r="F39" s="843"/>
      <c r="G39" s="843"/>
      <c r="H39" s="874"/>
    </row>
    <row r="40" spans="1:8" ht="15">
      <c r="A40" s="843"/>
      <c r="B40" s="843"/>
      <c r="C40" s="843"/>
      <c r="D40" s="843"/>
      <c r="E40" s="843"/>
      <c r="F40" s="843"/>
      <c r="G40" s="843"/>
      <c r="H40" s="874"/>
    </row>
    <row r="41" spans="1:8" ht="15">
      <c r="A41" s="843"/>
      <c r="B41" s="843"/>
      <c r="C41" s="843"/>
      <c r="D41" s="843"/>
      <c r="E41" s="843"/>
      <c r="F41" s="843"/>
      <c r="G41" s="843"/>
      <c r="H41" s="874"/>
    </row>
    <row r="42" spans="1:8" ht="15">
      <c r="A42" s="843"/>
      <c r="B42" s="843"/>
      <c r="C42" s="843"/>
      <c r="D42" s="843"/>
      <c r="E42" s="843"/>
      <c r="F42" s="843"/>
      <c r="G42" s="843"/>
      <c r="H42" s="874"/>
    </row>
    <row r="43" spans="1:8" ht="15">
      <c r="A43" s="843"/>
      <c r="B43" s="843"/>
      <c r="C43" s="843"/>
      <c r="D43" s="843"/>
      <c r="E43" s="843"/>
      <c r="F43" s="843"/>
      <c r="G43" s="843"/>
      <c r="H43" s="874"/>
    </row>
    <row r="44" spans="1:8" ht="15">
      <c r="A44" s="843"/>
      <c r="B44" s="843"/>
      <c r="C44" s="843"/>
      <c r="D44" s="843"/>
      <c r="E44" s="843"/>
      <c r="F44" s="843"/>
      <c r="G44" s="843"/>
      <c r="H44" s="874"/>
    </row>
    <row r="45" spans="1:8" ht="15">
      <c r="A45" s="843"/>
      <c r="B45" s="843"/>
      <c r="C45" s="843"/>
      <c r="D45" s="843"/>
      <c r="E45" s="843"/>
      <c r="F45" s="843"/>
      <c r="G45" s="843"/>
      <c r="H45" s="874"/>
    </row>
    <row r="46" spans="1:8" ht="15">
      <c r="A46" s="843"/>
      <c r="B46" s="843"/>
      <c r="C46" s="843"/>
      <c r="D46" s="843"/>
      <c r="E46" s="843"/>
      <c r="F46" s="843"/>
      <c r="G46" s="843"/>
      <c r="H46" s="874"/>
    </row>
    <row r="47" spans="1:8" ht="15">
      <c r="A47" s="843"/>
      <c r="B47" s="843"/>
      <c r="C47" s="843"/>
      <c r="D47" s="843"/>
      <c r="E47" s="843"/>
      <c r="F47" s="843"/>
      <c r="G47" s="843"/>
      <c r="H47" s="874"/>
    </row>
    <row r="48" spans="1:8" ht="15">
      <c r="A48" s="843"/>
      <c r="B48" s="843"/>
      <c r="C48" s="843"/>
      <c r="D48" s="843"/>
      <c r="E48" s="843"/>
      <c r="F48" s="843"/>
      <c r="G48" s="843"/>
      <c r="H48" s="874"/>
    </row>
    <row r="49" spans="1:8" ht="15">
      <c r="A49" s="843"/>
      <c r="B49" s="843"/>
      <c r="C49" s="843"/>
      <c r="D49" s="843"/>
      <c r="E49" s="843"/>
      <c r="F49" s="843"/>
      <c r="G49" s="843"/>
      <c r="H49" s="874"/>
    </row>
    <row r="50" spans="1:8" ht="15">
      <c r="A50" s="843"/>
      <c r="B50" s="843"/>
      <c r="C50" s="843"/>
      <c r="D50" s="843"/>
      <c r="E50" s="843"/>
      <c r="F50" s="843"/>
      <c r="G50" s="843"/>
      <c r="H50" s="874"/>
    </row>
    <row r="51" spans="1:8" ht="15">
      <c r="A51" s="843"/>
      <c r="B51" s="843"/>
      <c r="C51" s="843"/>
      <c r="D51" s="843"/>
      <c r="E51" s="843"/>
      <c r="F51" s="843"/>
      <c r="G51" s="843"/>
      <c r="H51" s="874"/>
    </row>
    <row r="52" spans="1:8" ht="15">
      <c r="A52" s="843"/>
      <c r="B52" s="843"/>
      <c r="C52" s="843"/>
      <c r="D52" s="843"/>
      <c r="E52" s="843"/>
      <c r="F52" s="843"/>
      <c r="G52" s="843"/>
      <c r="H52" s="874"/>
    </row>
    <row r="53" spans="1:8" ht="15">
      <c r="A53" s="843"/>
      <c r="B53" s="843"/>
      <c r="C53" s="843"/>
      <c r="D53" s="843"/>
      <c r="E53" s="843"/>
      <c r="F53" s="843"/>
      <c r="G53" s="843"/>
      <c r="H53" s="874"/>
    </row>
    <row r="54" spans="1:8" ht="15">
      <c r="A54" s="843"/>
      <c r="B54" s="843"/>
      <c r="C54" s="843"/>
      <c r="D54" s="843"/>
      <c r="E54" s="843"/>
      <c r="F54" s="843"/>
      <c r="G54" s="843"/>
      <c r="H54" s="874"/>
    </row>
    <row r="55" spans="1:8" ht="15">
      <c r="A55" s="843"/>
      <c r="B55" s="843"/>
      <c r="C55" s="843"/>
      <c r="D55" s="843"/>
      <c r="E55" s="843"/>
      <c r="F55" s="843"/>
      <c r="G55" s="843"/>
      <c r="H55" s="874"/>
    </row>
    <row r="56" spans="1:8" ht="15">
      <c r="A56" s="843"/>
      <c r="B56" s="843"/>
      <c r="C56" s="843"/>
      <c r="D56" s="843"/>
      <c r="E56" s="843"/>
      <c r="F56" s="843"/>
      <c r="G56" s="843"/>
      <c r="H56" s="874"/>
    </row>
    <row r="57" spans="1:8" ht="15">
      <c r="A57" s="843"/>
      <c r="B57" s="843"/>
      <c r="C57" s="843"/>
      <c r="D57" s="843"/>
      <c r="E57" s="843"/>
      <c r="F57" s="843"/>
      <c r="G57" s="843"/>
      <c r="H57" s="874"/>
    </row>
  </sheetData>
  <mergeCells count="2">
    <mergeCell ref="F4:H4"/>
    <mergeCell ref="A9:B9"/>
  </mergeCells>
  <pageMargins left="0.86614173228346503" right="0.17" top="0.74803149606299202" bottom="0.511811023622047" header="0.43307086614173201" footer="0.31496062992126"/>
  <pageSetup paperSize="9" firstPageNumber="50" orientation="portrait" useFirstPageNumber="1" r:id="rId1"/>
  <headerFooter alignWithMargins="0">
    <oddHeader>&amp;C&amp;"Times New Roman,Regular"&amp;13&amp;P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BD1F-3C4A-43BA-B879-E3971D439C9B}">
  <sheetPr>
    <pageSetUpPr fitToPage="1"/>
  </sheetPr>
  <dimension ref="A1:K52"/>
  <sheetViews>
    <sheetView workbookViewId="0">
      <selection activeCell="J11" sqref="J11"/>
    </sheetView>
  </sheetViews>
  <sheetFormatPr defaultColWidth="10.28515625" defaultRowHeight="15.75"/>
  <cols>
    <col min="1" max="1" width="1.7109375" style="872" customWidth="1"/>
    <col min="2" max="2" width="38.28515625" style="872" customWidth="1"/>
    <col min="3" max="3" width="8.7109375" style="872" customWidth="1"/>
    <col min="4" max="4" width="8.140625" style="872" customWidth="1"/>
    <col min="5" max="5" width="9" style="872" customWidth="1"/>
    <col min="6" max="7" width="8.140625" style="872" customWidth="1"/>
    <col min="8" max="8" width="8.140625" style="873" customWidth="1"/>
    <col min="9" max="16384" width="10.28515625" style="872"/>
  </cols>
  <sheetData>
    <row r="1" spans="1:11" ht="18" customHeight="1">
      <c r="A1" s="832" t="s">
        <v>696</v>
      </c>
      <c r="B1" s="832"/>
      <c r="F1" s="873"/>
      <c r="G1" s="873"/>
    </row>
    <row r="2" spans="1:11" ht="18" customHeight="1">
      <c r="A2" s="832"/>
      <c r="B2" s="832"/>
      <c r="F2" s="873"/>
      <c r="G2" s="873"/>
    </row>
    <row r="3" spans="1:11" ht="18" customHeight="1">
      <c r="A3" s="833"/>
      <c r="B3" s="834"/>
      <c r="C3" s="835"/>
      <c r="D3" s="835"/>
      <c r="E3" s="835"/>
      <c r="F3" s="835"/>
      <c r="G3" s="835"/>
      <c r="H3" s="836" t="s">
        <v>289</v>
      </c>
    </row>
    <row r="4" spans="1:11" ht="18" customHeight="1">
      <c r="A4" s="837"/>
      <c r="B4" s="838"/>
      <c r="C4" s="28" t="s">
        <v>340</v>
      </c>
      <c r="D4" s="28" t="s">
        <v>19</v>
      </c>
      <c r="E4" s="28" t="s">
        <v>20</v>
      </c>
      <c r="F4" s="878" t="s">
        <v>21</v>
      </c>
      <c r="G4" s="878"/>
      <c r="H4" s="878"/>
    </row>
    <row r="5" spans="1:11" ht="18" customHeight="1">
      <c r="A5" s="833"/>
      <c r="B5" s="840"/>
      <c r="C5" s="30" t="s">
        <v>22</v>
      </c>
      <c r="D5" s="30" t="s">
        <v>23</v>
      </c>
      <c r="E5" s="30" t="s">
        <v>24</v>
      </c>
      <c r="F5" s="30" t="s">
        <v>25</v>
      </c>
      <c r="G5" s="30" t="s">
        <v>26</v>
      </c>
      <c r="H5" s="30" t="s">
        <v>27</v>
      </c>
    </row>
    <row r="6" spans="1:11" ht="18" customHeight="1">
      <c r="A6" s="833"/>
      <c r="B6" s="840"/>
      <c r="C6" s="30" t="s">
        <v>28</v>
      </c>
      <c r="D6" s="30" t="s">
        <v>28</v>
      </c>
      <c r="E6" s="30" t="s">
        <v>28</v>
      </c>
      <c r="F6" s="30" t="s">
        <v>28</v>
      </c>
      <c r="G6" s="30" t="s">
        <v>28</v>
      </c>
      <c r="H6" s="30" t="s">
        <v>28</v>
      </c>
    </row>
    <row r="7" spans="1:11" ht="18" customHeight="1">
      <c r="A7" s="833"/>
      <c r="B7" s="841"/>
      <c r="C7" s="32">
        <v>2025</v>
      </c>
      <c r="D7" s="32">
        <v>2025</v>
      </c>
      <c r="E7" s="32">
        <v>2025</v>
      </c>
      <c r="F7" s="32">
        <v>2025</v>
      </c>
      <c r="G7" s="32">
        <v>2025</v>
      </c>
      <c r="H7" s="32">
        <v>2025</v>
      </c>
    </row>
    <row r="8" spans="1:11" ht="18" customHeight="1">
      <c r="A8" s="833"/>
      <c r="B8" s="841"/>
      <c r="C8" s="30"/>
      <c r="D8" s="30"/>
      <c r="E8" s="30"/>
      <c r="F8" s="30"/>
      <c r="G8" s="30"/>
      <c r="H8" s="30"/>
    </row>
    <row r="9" spans="1:11" ht="20.100000000000001" customHeight="1">
      <c r="A9" s="879" t="s">
        <v>257</v>
      </c>
      <c r="B9" s="879"/>
      <c r="C9" s="844">
        <v>1646867.0494199805</v>
      </c>
      <c r="D9" s="844">
        <v>1696892.2489201822</v>
      </c>
      <c r="E9" s="844">
        <v>4848291.7420588508</v>
      </c>
      <c r="F9" s="870">
        <v>108.19140806236804</v>
      </c>
      <c r="G9" s="870">
        <v>108.22550995271412</v>
      </c>
      <c r="H9" s="854">
        <v>107.84626951898373</v>
      </c>
      <c r="J9" s="845"/>
      <c r="K9" s="876"/>
    </row>
    <row r="10" spans="1:11" ht="20.100000000000001" customHeight="1">
      <c r="A10" s="843"/>
      <c r="B10" s="846" t="s">
        <v>602</v>
      </c>
      <c r="C10" s="844">
        <v>157081.99768284603</v>
      </c>
      <c r="D10" s="844">
        <v>167814.34672156197</v>
      </c>
      <c r="E10" s="844">
        <v>477982.61823410465</v>
      </c>
      <c r="F10" s="870">
        <v>103.95008727532134</v>
      </c>
      <c r="G10" s="870">
        <v>103.73822584265706</v>
      </c>
      <c r="H10" s="854">
        <v>103.82707755905894</v>
      </c>
      <c r="J10" s="845"/>
      <c r="K10" s="876"/>
    </row>
    <row r="11" spans="1:11" ht="20.100000000000001" customHeight="1">
      <c r="A11" s="833"/>
      <c r="B11" s="847" t="s">
        <v>682</v>
      </c>
      <c r="C11" s="848">
        <v>111359.11501303871</v>
      </c>
      <c r="D11" s="848">
        <v>117735.96606423499</v>
      </c>
      <c r="E11" s="848">
        <v>346864.5889341415</v>
      </c>
      <c r="F11" s="871">
        <v>103.51200103241634</v>
      </c>
      <c r="G11" s="871">
        <v>103.32915353507457</v>
      </c>
      <c r="H11" s="855">
        <v>103.45606507141795</v>
      </c>
      <c r="J11" s="849"/>
      <c r="K11" s="876"/>
    </row>
    <row r="12" spans="1:11" ht="20.100000000000001" customHeight="1">
      <c r="A12" s="833"/>
      <c r="B12" s="847" t="s">
        <v>683</v>
      </c>
      <c r="C12" s="848">
        <v>8416.7619228404383</v>
      </c>
      <c r="D12" s="848">
        <v>7801.7918763312082</v>
      </c>
      <c r="E12" s="848">
        <v>22772.293429651399</v>
      </c>
      <c r="F12" s="871">
        <v>107.31185663250184</v>
      </c>
      <c r="G12" s="871">
        <v>104.50883715967836</v>
      </c>
      <c r="H12" s="855">
        <v>106.46108053724804</v>
      </c>
      <c r="J12" s="849"/>
      <c r="K12" s="876"/>
    </row>
    <row r="13" spans="1:11" ht="20.100000000000001" customHeight="1">
      <c r="A13" s="833"/>
      <c r="B13" s="847" t="s">
        <v>443</v>
      </c>
      <c r="C13" s="848">
        <v>37306.120746966888</v>
      </c>
      <c r="D13" s="848">
        <v>42276</v>
      </c>
      <c r="E13" s="848">
        <v>108345.73587031174</v>
      </c>
      <c r="F13" s="871">
        <v>104.5318510053483</v>
      </c>
      <c r="G13" s="871">
        <v>104.75058298190345</v>
      </c>
      <c r="H13" s="855">
        <v>104.4833187733055</v>
      </c>
      <c r="J13" s="849"/>
      <c r="K13" s="876"/>
    </row>
    <row r="14" spans="1:11" ht="20.100000000000001" customHeight="1">
      <c r="A14" s="843"/>
      <c r="B14" s="846" t="s">
        <v>603</v>
      </c>
      <c r="C14" s="844">
        <v>599040.4051266429</v>
      </c>
      <c r="D14" s="844">
        <v>644214.12963522749</v>
      </c>
      <c r="E14" s="844">
        <v>1770841.9720844668</v>
      </c>
      <c r="F14" s="870">
        <v>108.81835067398357</v>
      </c>
      <c r="G14" s="870">
        <v>109.45886113753546</v>
      </c>
      <c r="H14" s="854">
        <v>108.68692707056434</v>
      </c>
      <c r="J14" s="845"/>
      <c r="K14" s="876"/>
    </row>
    <row r="15" spans="1:11" ht="20.100000000000001" customHeight="1">
      <c r="A15" s="833"/>
      <c r="B15" s="847" t="s">
        <v>684</v>
      </c>
      <c r="C15" s="848">
        <v>491466.12015265477</v>
      </c>
      <c r="D15" s="848">
        <v>526739.23244194733</v>
      </c>
      <c r="E15" s="848">
        <v>1463040.1709570123</v>
      </c>
      <c r="F15" s="871">
        <v>108.37696189447941</v>
      </c>
      <c r="G15" s="871">
        <v>109.80335709336559</v>
      </c>
      <c r="H15" s="855">
        <v>108.55233738394716</v>
      </c>
      <c r="J15" s="849"/>
      <c r="K15" s="876"/>
    </row>
    <row r="16" spans="1:11" ht="20.100000000000001" customHeight="1">
      <c r="A16" s="833"/>
      <c r="B16" s="850" t="s">
        <v>71</v>
      </c>
      <c r="C16" s="848">
        <v>36867.59197727115</v>
      </c>
      <c r="D16" s="848">
        <v>34669.238804288223</v>
      </c>
      <c r="E16" s="848">
        <v>107161.0000195934</v>
      </c>
      <c r="F16" s="871">
        <v>97.43465760625844</v>
      </c>
      <c r="G16" s="871">
        <v>107.77709916306779</v>
      </c>
      <c r="H16" s="855">
        <v>99.218654844821614</v>
      </c>
      <c r="J16" s="849"/>
      <c r="K16" s="876"/>
    </row>
    <row r="17" spans="1:11" ht="20.100000000000001" customHeight="1">
      <c r="A17" s="833"/>
      <c r="B17" s="850" t="s">
        <v>77</v>
      </c>
      <c r="C17" s="848">
        <v>387403.368993902</v>
      </c>
      <c r="D17" s="848">
        <v>419519.08373164892</v>
      </c>
      <c r="E17" s="848">
        <v>1155314.7736567415</v>
      </c>
      <c r="F17" s="871">
        <v>110.33864753883984</v>
      </c>
      <c r="G17" s="871">
        <v>109.98062421066655</v>
      </c>
      <c r="H17" s="855">
        <v>109.92384717658996</v>
      </c>
      <c r="J17" s="849"/>
      <c r="K17" s="876"/>
    </row>
    <row r="18" spans="1:11" ht="27" customHeight="1">
      <c r="A18" s="833"/>
      <c r="B18" s="851" t="s">
        <v>685</v>
      </c>
      <c r="C18" s="848">
        <v>57903.387713739517</v>
      </c>
      <c r="D18" s="848">
        <v>62438.651476002749</v>
      </c>
      <c r="E18" s="848">
        <v>172967.41966736555</v>
      </c>
      <c r="F18" s="871">
        <v>103.61514519999994</v>
      </c>
      <c r="G18" s="871">
        <v>110.00712794503514</v>
      </c>
      <c r="H18" s="855">
        <v>106.05176544723203</v>
      </c>
      <c r="J18" s="849"/>
      <c r="K18" s="876"/>
    </row>
    <row r="19" spans="1:11" ht="27" customHeight="1">
      <c r="A19" s="833"/>
      <c r="B19" s="851" t="s">
        <v>686</v>
      </c>
      <c r="C19" s="848">
        <v>9291.77146774211</v>
      </c>
      <c r="D19" s="848">
        <v>10112.258430007487</v>
      </c>
      <c r="E19" s="848">
        <v>27596.977613312025</v>
      </c>
      <c r="F19" s="871">
        <v>107.38164810896933</v>
      </c>
      <c r="G19" s="871">
        <v>108.30348368272841</v>
      </c>
      <c r="H19" s="855">
        <v>107.55631411327127</v>
      </c>
      <c r="J19" s="849"/>
      <c r="K19" s="876"/>
    </row>
    <row r="20" spans="1:11" ht="20.100000000000001" customHeight="1">
      <c r="A20" s="833"/>
      <c r="B20" s="847" t="s">
        <v>262</v>
      </c>
      <c r="C20" s="848">
        <v>107574.28497398816</v>
      </c>
      <c r="D20" s="848">
        <v>117474.89719328021</v>
      </c>
      <c r="E20" s="848">
        <v>307801.80112745438</v>
      </c>
      <c r="F20" s="871">
        <v>110.88148965545533</v>
      </c>
      <c r="G20" s="871">
        <v>107.9404019159274</v>
      </c>
      <c r="H20" s="855">
        <v>109.33124764693606</v>
      </c>
      <c r="J20" s="849"/>
      <c r="K20" s="876"/>
    </row>
    <row r="21" spans="1:11" ht="20.100000000000001" customHeight="1">
      <c r="A21" s="843"/>
      <c r="B21" s="852" t="s">
        <v>263</v>
      </c>
      <c r="C21" s="844">
        <v>746857.86051863688</v>
      </c>
      <c r="D21" s="844">
        <v>738714.13897792017</v>
      </c>
      <c r="E21" s="844">
        <v>2167537.6325820768</v>
      </c>
      <c r="F21" s="870">
        <v>109.05635410247861</v>
      </c>
      <c r="G21" s="870">
        <v>108.55614339416155</v>
      </c>
      <c r="H21" s="854">
        <v>108.48871321270039</v>
      </c>
      <c r="J21" s="845"/>
      <c r="K21" s="876"/>
    </row>
    <row r="22" spans="1:11" ht="27" customHeight="1">
      <c r="A22" s="833"/>
      <c r="B22" s="853" t="s">
        <v>687</v>
      </c>
      <c r="C22" s="848">
        <v>158390.81041622575</v>
      </c>
      <c r="D22" s="848">
        <v>152249.27116257802</v>
      </c>
      <c r="E22" s="848">
        <v>461292.60844882962</v>
      </c>
      <c r="F22" s="871">
        <v>108.48772901024495</v>
      </c>
      <c r="G22" s="871">
        <v>108.9842052906392</v>
      </c>
      <c r="H22" s="855">
        <v>108.27576059650661</v>
      </c>
      <c r="J22" s="849"/>
      <c r="K22" s="876"/>
    </row>
    <row r="23" spans="1:11" ht="20.100000000000001" customHeight="1">
      <c r="A23" s="833"/>
      <c r="B23" s="847" t="s">
        <v>688</v>
      </c>
      <c r="C23" s="848">
        <v>112143.98218902394</v>
      </c>
      <c r="D23" s="848">
        <v>96915.397389134683</v>
      </c>
      <c r="E23" s="848">
        <v>303892.2490256679</v>
      </c>
      <c r="F23" s="871">
        <v>110.96626054300587</v>
      </c>
      <c r="G23" s="871">
        <v>110.65800639094041</v>
      </c>
      <c r="H23" s="855">
        <v>110.67595005403386</v>
      </c>
      <c r="J23" s="849"/>
      <c r="K23" s="876"/>
    </row>
    <row r="24" spans="1:11" ht="20.100000000000001" customHeight="1">
      <c r="A24" s="833"/>
      <c r="B24" s="847" t="s">
        <v>266</v>
      </c>
      <c r="C24" s="848">
        <v>39256.461065454729</v>
      </c>
      <c r="D24" s="848">
        <v>44211.368765361432</v>
      </c>
      <c r="E24" s="848">
        <v>124747.40490539972</v>
      </c>
      <c r="F24" s="871">
        <v>109.71805237070306</v>
      </c>
      <c r="G24" s="871">
        <v>110.45588500845707</v>
      </c>
      <c r="H24" s="855">
        <v>110.14573310883907</v>
      </c>
      <c r="J24" s="849"/>
      <c r="K24" s="876"/>
    </row>
    <row r="25" spans="1:11" ht="20.100000000000001" customHeight="1">
      <c r="A25" s="833"/>
      <c r="B25" s="847" t="s">
        <v>267</v>
      </c>
      <c r="C25" s="848">
        <v>93910.720303599839</v>
      </c>
      <c r="D25" s="848">
        <v>96456.923203589424</v>
      </c>
      <c r="E25" s="848">
        <v>280940.70455292455</v>
      </c>
      <c r="F25" s="871">
        <v>108.16925389553829</v>
      </c>
      <c r="G25" s="871">
        <v>107.94002898045059</v>
      </c>
      <c r="H25" s="855">
        <v>107.61743750734769</v>
      </c>
      <c r="J25" s="849"/>
      <c r="K25" s="876"/>
    </row>
    <row r="26" spans="1:11" ht="20.100000000000001" customHeight="1">
      <c r="A26" s="833"/>
      <c r="B26" s="847" t="s">
        <v>689</v>
      </c>
      <c r="C26" s="848">
        <v>82711.531587592675</v>
      </c>
      <c r="D26" s="848">
        <v>93454.438170614376</v>
      </c>
      <c r="E26" s="848">
        <v>257024.09778703228</v>
      </c>
      <c r="F26" s="871">
        <v>107.05298957614855</v>
      </c>
      <c r="G26" s="871">
        <v>107.71207081771502</v>
      </c>
      <c r="H26" s="855">
        <v>107.05960758717394</v>
      </c>
      <c r="J26" s="849"/>
      <c r="K26" s="876"/>
    </row>
    <row r="27" spans="1:11" ht="20.100000000000001" customHeight="1">
      <c r="A27" s="833"/>
      <c r="B27" s="853" t="s">
        <v>690</v>
      </c>
      <c r="C27" s="848">
        <v>51309.063028150835</v>
      </c>
      <c r="D27" s="848">
        <v>54108.196734619953</v>
      </c>
      <c r="E27" s="848">
        <v>155949.63300532071</v>
      </c>
      <c r="F27" s="871">
        <v>104.38864096212377</v>
      </c>
      <c r="G27" s="871">
        <v>105.24327765462225</v>
      </c>
      <c r="H27" s="855">
        <v>104.67198320210981</v>
      </c>
      <c r="J27" s="849"/>
      <c r="K27" s="876"/>
    </row>
    <row r="28" spans="1:11" ht="20.100000000000001" customHeight="1">
      <c r="A28" s="833"/>
      <c r="B28" s="847" t="s">
        <v>691</v>
      </c>
      <c r="C28" s="848">
        <v>42799.662546053507</v>
      </c>
      <c r="D28" s="848">
        <v>44887.886487154152</v>
      </c>
      <c r="E28" s="848">
        <v>124304.95777271623</v>
      </c>
      <c r="F28" s="871">
        <v>106.95704311982715</v>
      </c>
      <c r="G28" s="871">
        <v>107.64241234981364</v>
      </c>
      <c r="H28" s="855">
        <v>106.94837897949547</v>
      </c>
      <c r="J28" s="849"/>
      <c r="K28" s="876"/>
    </row>
    <row r="29" spans="1:11" ht="20.100000000000001" customHeight="1">
      <c r="A29" s="833"/>
      <c r="B29" s="847" t="s">
        <v>692</v>
      </c>
      <c r="C29" s="848">
        <v>30949.589662267648</v>
      </c>
      <c r="D29" s="848">
        <v>26797.470188983596</v>
      </c>
      <c r="E29" s="848">
        <v>84281.369022890794</v>
      </c>
      <c r="F29" s="871">
        <v>114.09599985053529</v>
      </c>
      <c r="G29" s="871">
        <v>113.71901429709999</v>
      </c>
      <c r="H29" s="855">
        <v>113.47268508298318</v>
      </c>
      <c r="J29" s="849"/>
      <c r="K29" s="876"/>
    </row>
    <row r="30" spans="1:11" ht="42" customHeight="1">
      <c r="A30" s="833"/>
      <c r="B30" s="853" t="s">
        <v>693</v>
      </c>
      <c r="C30" s="848">
        <v>35078.772681584596</v>
      </c>
      <c r="D30" s="848">
        <v>31483.690392973171</v>
      </c>
      <c r="E30" s="848">
        <v>92063.796301233204</v>
      </c>
      <c r="F30" s="871">
        <v>115.49555000000001</v>
      </c>
      <c r="G30" s="871">
        <v>106.55434867818914</v>
      </c>
      <c r="H30" s="855">
        <v>110.76815104713521</v>
      </c>
      <c r="J30" s="849"/>
      <c r="K30" s="876"/>
    </row>
    <row r="31" spans="1:11" ht="20.100000000000001" customHeight="1">
      <c r="A31" s="833"/>
      <c r="B31" s="853" t="s">
        <v>271</v>
      </c>
      <c r="C31" s="848">
        <v>53282.666624622972</v>
      </c>
      <c r="D31" s="848">
        <v>50636.530542334251</v>
      </c>
      <c r="E31" s="848">
        <v>147861.35449981299</v>
      </c>
      <c r="F31" s="871">
        <v>111.47106865393452</v>
      </c>
      <c r="G31" s="871">
        <v>107.60927093349429</v>
      </c>
      <c r="H31" s="855">
        <v>109.47334536534099</v>
      </c>
      <c r="J31" s="849"/>
      <c r="K31" s="876"/>
    </row>
    <row r="32" spans="1:11" ht="18" customHeight="1">
      <c r="A32" s="833"/>
      <c r="B32" s="847" t="s">
        <v>272</v>
      </c>
      <c r="C32" s="848">
        <v>21506.742237199029</v>
      </c>
      <c r="D32" s="848">
        <v>22936.087723237568</v>
      </c>
      <c r="E32" s="848">
        <v>60703.219551193608</v>
      </c>
      <c r="F32" s="871">
        <v>105.57497168767863</v>
      </c>
      <c r="G32" s="871">
        <v>105.72794987642476</v>
      </c>
      <c r="H32" s="855">
        <v>105.17499845876972</v>
      </c>
      <c r="J32" s="849"/>
      <c r="K32" s="876"/>
    </row>
    <row r="33" spans="1:11" ht="18" customHeight="1">
      <c r="A33" s="833"/>
      <c r="B33" s="847" t="s">
        <v>273</v>
      </c>
      <c r="C33" s="848">
        <v>12565.241223762358</v>
      </c>
      <c r="D33" s="848">
        <v>12804.800351446111</v>
      </c>
      <c r="E33" s="848">
        <v>37655.102541878383</v>
      </c>
      <c r="F33" s="871">
        <v>111.22894447444669</v>
      </c>
      <c r="G33" s="871">
        <v>112.87040374108095</v>
      </c>
      <c r="H33" s="855">
        <v>111.13247644970518</v>
      </c>
      <c r="J33" s="849"/>
      <c r="K33" s="876"/>
    </row>
    <row r="34" spans="1:11" ht="20.100000000000001" customHeight="1">
      <c r="A34" s="833"/>
      <c r="B34" s="847" t="s">
        <v>275</v>
      </c>
      <c r="C34" s="848">
        <v>11214.839624805849</v>
      </c>
      <c r="D34" s="848">
        <v>10006.12738675537</v>
      </c>
      <c r="E34" s="848">
        <v>31608.369203377064</v>
      </c>
      <c r="F34" s="871">
        <v>110.29318325614233</v>
      </c>
      <c r="G34" s="871">
        <v>109.93460322618232</v>
      </c>
      <c r="H34" s="855">
        <v>109.70693580306892</v>
      </c>
      <c r="J34" s="849"/>
      <c r="K34" s="876"/>
    </row>
    <row r="35" spans="1:11" ht="42" customHeight="1">
      <c r="A35" s="833"/>
      <c r="B35" s="853" t="s">
        <v>694</v>
      </c>
      <c r="C35" s="848">
        <v>1737.7773282931948</v>
      </c>
      <c r="D35" s="848">
        <v>1765.9504791380787</v>
      </c>
      <c r="E35" s="848">
        <v>5212.7659637996094</v>
      </c>
      <c r="F35" s="871">
        <v>107.60630167018994</v>
      </c>
      <c r="G35" s="871">
        <v>107.76279250040879</v>
      </c>
      <c r="H35" s="855">
        <v>107.39000000000001</v>
      </c>
      <c r="J35" s="849"/>
      <c r="K35" s="876"/>
    </row>
    <row r="36" spans="1:11" ht="20.100000000000001" customHeight="1">
      <c r="A36" s="843"/>
      <c r="B36" s="846" t="s">
        <v>695</v>
      </c>
      <c r="C36" s="844">
        <v>143886.78609185491</v>
      </c>
      <c r="D36" s="844">
        <v>146149.63358547265</v>
      </c>
      <c r="E36" s="844">
        <v>431929.51915820356</v>
      </c>
      <c r="F36" s="870">
        <v>106.00656123070516</v>
      </c>
      <c r="G36" s="870">
        <v>106.58476475752423</v>
      </c>
      <c r="H36" s="854">
        <v>105.87799266665401</v>
      </c>
      <c r="J36" s="845"/>
      <c r="K36" s="876"/>
    </row>
    <row r="37" spans="1:11">
      <c r="A37" s="873"/>
      <c r="B37" s="873"/>
      <c r="C37" s="856"/>
      <c r="D37" s="856"/>
      <c r="E37" s="856"/>
      <c r="F37" s="856"/>
      <c r="G37" s="857"/>
      <c r="H37" s="877"/>
    </row>
    <row r="38" spans="1:11">
      <c r="A38" s="873"/>
      <c r="B38" s="873"/>
      <c r="F38" s="873"/>
      <c r="G38" s="873"/>
    </row>
    <row r="39" spans="1:11">
      <c r="A39" s="873"/>
      <c r="B39" s="873"/>
      <c r="F39" s="873"/>
      <c r="G39" s="873"/>
    </row>
    <row r="40" spans="1:11">
      <c r="A40" s="873"/>
      <c r="B40" s="873"/>
      <c r="D40" s="876"/>
      <c r="F40" s="873"/>
      <c r="G40" s="873"/>
    </row>
    <row r="41" spans="1:11">
      <c r="A41" s="873"/>
      <c r="B41" s="873"/>
      <c r="D41" s="876"/>
      <c r="F41" s="873"/>
      <c r="G41" s="873"/>
    </row>
    <row r="42" spans="1:11">
      <c r="A42" s="873"/>
      <c r="B42" s="873"/>
      <c r="D42" s="876"/>
      <c r="F42" s="873"/>
      <c r="G42" s="873"/>
    </row>
    <row r="43" spans="1:11">
      <c r="A43" s="873"/>
      <c r="B43" s="873"/>
      <c r="D43" s="876"/>
      <c r="F43" s="873"/>
      <c r="G43" s="873"/>
    </row>
    <row r="44" spans="1:11">
      <c r="A44" s="873"/>
      <c r="B44" s="873"/>
      <c r="D44" s="876"/>
      <c r="F44" s="873"/>
      <c r="G44" s="873"/>
    </row>
    <row r="45" spans="1:11">
      <c r="A45" s="873"/>
      <c r="B45" s="873"/>
      <c r="D45" s="876"/>
      <c r="F45" s="873"/>
      <c r="G45" s="873"/>
    </row>
    <row r="46" spans="1:11">
      <c r="A46" s="873"/>
      <c r="B46" s="873"/>
      <c r="D46" s="876"/>
      <c r="F46" s="873"/>
      <c r="G46" s="873"/>
    </row>
    <row r="47" spans="1:11">
      <c r="A47" s="873"/>
      <c r="B47" s="873"/>
      <c r="D47" s="876"/>
      <c r="F47" s="873"/>
      <c r="G47" s="873"/>
    </row>
    <row r="48" spans="1:11">
      <c r="A48" s="873"/>
      <c r="B48" s="873"/>
      <c r="D48" s="876"/>
      <c r="F48" s="873"/>
      <c r="G48" s="873"/>
    </row>
    <row r="49" spans="4:4">
      <c r="D49" s="876"/>
    </row>
    <row r="50" spans="4:4">
      <c r="D50" s="876"/>
    </row>
    <row r="51" spans="4:4">
      <c r="D51" s="876"/>
    </row>
    <row r="52" spans="4:4">
      <c r="D52" s="876"/>
    </row>
  </sheetData>
  <mergeCells count="2">
    <mergeCell ref="F4:H4"/>
    <mergeCell ref="A9:B9"/>
  </mergeCells>
  <pageMargins left="0.86614173228346503" right="0.17" top="0.74803149606299202" bottom="0.511811023622047" header="0.43307086614173201" footer="0.31496062992126"/>
  <pageSetup paperSize="9" firstPageNumber="51" orientation="portrait" useFirstPageNumber="1" r:id="rId1"/>
  <headerFooter alignWithMargins="0">
    <oddHeader>&amp;C&amp;"Times New Roman,Regular"&amp;13&amp;P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5"/>
  <sheetViews>
    <sheetView zoomScalePageLayoutView="90" workbookViewId="0">
      <selection activeCell="D13" sqref="D13"/>
    </sheetView>
  </sheetViews>
  <sheetFormatPr defaultColWidth="11.42578125" defaultRowHeight="12.75"/>
  <cols>
    <col min="1" max="1" width="2.7109375" style="4" customWidth="1"/>
    <col min="2" max="2" width="37.42578125" style="4" customWidth="1"/>
    <col min="3" max="5" width="15.140625" style="4" customWidth="1"/>
    <col min="6" max="16384" width="11.42578125" style="4"/>
  </cols>
  <sheetData>
    <row r="1" spans="1:8" ht="21" customHeight="1">
      <c r="A1" s="1" t="s">
        <v>37</v>
      </c>
      <c r="B1" s="2"/>
      <c r="C1" s="2"/>
      <c r="D1" s="2"/>
      <c r="E1" s="2"/>
      <c r="F1" s="3"/>
      <c r="G1" s="3"/>
      <c r="H1" s="3"/>
    </row>
    <row r="2" spans="1:8" ht="21" customHeight="1">
      <c r="A2" s="2"/>
      <c r="B2" s="2"/>
      <c r="C2" s="2"/>
      <c r="D2" s="2"/>
      <c r="E2" s="2"/>
      <c r="F2" s="3"/>
      <c r="G2" s="3"/>
      <c r="H2" s="3"/>
    </row>
    <row r="3" spans="1:8" ht="21" customHeight="1">
      <c r="A3" s="5"/>
      <c r="B3" s="5"/>
      <c r="C3" s="6"/>
      <c r="D3" s="5"/>
      <c r="E3" s="7" t="s">
        <v>0</v>
      </c>
    </row>
    <row r="4" spans="1:8" ht="18" customHeight="1">
      <c r="A4" s="8"/>
      <c r="B4" s="8"/>
      <c r="C4" s="9" t="s">
        <v>1</v>
      </c>
      <c r="D4" s="9" t="s">
        <v>2</v>
      </c>
      <c r="E4" s="9" t="s">
        <v>3</v>
      </c>
    </row>
    <row r="5" spans="1:8" ht="18" customHeight="1">
      <c r="A5" s="5"/>
      <c r="B5" s="5"/>
      <c r="C5" s="10" t="s">
        <v>4</v>
      </c>
      <c r="D5" s="10" t="s">
        <v>5</v>
      </c>
      <c r="E5" s="10" t="s">
        <v>6</v>
      </c>
    </row>
    <row r="6" spans="1:8" ht="18" customHeight="1">
      <c r="A6" s="5"/>
      <c r="B6" s="5"/>
      <c r="C6" s="11"/>
      <c r="D6" s="11"/>
      <c r="E6" s="11" t="s">
        <v>7</v>
      </c>
    </row>
    <row r="7" spans="1:8">
      <c r="A7" s="5"/>
      <c r="B7" s="5"/>
      <c r="C7" s="5"/>
      <c r="D7" s="5"/>
      <c r="E7" s="12"/>
    </row>
    <row r="8" spans="1:8" ht="21.75" customHeight="1">
      <c r="A8" s="13" t="s">
        <v>8</v>
      </c>
      <c r="B8" s="14"/>
      <c r="C8" s="15">
        <v>1878.6000000000001</v>
      </c>
      <c r="D8" s="15">
        <v>1824.1</v>
      </c>
      <c r="E8" s="16">
        <v>97.098903438730957</v>
      </c>
      <c r="F8" s="17"/>
    </row>
    <row r="9" spans="1:8" ht="21.75" customHeight="1">
      <c r="A9" s="13"/>
      <c r="B9" s="42" t="s">
        <v>10</v>
      </c>
      <c r="C9" s="19">
        <v>173.9</v>
      </c>
      <c r="D9" s="19">
        <v>131.80000000000001</v>
      </c>
      <c r="E9" s="20">
        <v>75.790684301322614</v>
      </c>
      <c r="F9" s="17"/>
    </row>
    <row r="10" spans="1:8" ht="21.75" customHeight="1">
      <c r="A10" s="18"/>
      <c r="B10" s="42" t="s">
        <v>11</v>
      </c>
      <c r="C10" s="19">
        <v>1704.7</v>
      </c>
      <c r="D10" s="19">
        <v>1692.3</v>
      </c>
      <c r="E10" s="20">
        <v>99.272599284331548</v>
      </c>
      <c r="F10" s="17"/>
    </row>
    <row r="11" spans="1:8" ht="21.75" customHeight="1">
      <c r="A11" s="13" t="s">
        <v>9</v>
      </c>
      <c r="B11" s="14"/>
      <c r="C11" s="15">
        <f>C12+C13</f>
        <v>1468.3000000000002</v>
      </c>
      <c r="D11" s="15">
        <f>D12+D13</f>
        <v>1461.1</v>
      </c>
      <c r="E11" s="16">
        <f t="shared" ref="E11" si="0">D11/C11*100</f>
        <v>99.509636995164456</v>
      </c>
      <c r="F11" s="17"/>
    </row>
    <row r="12" spans="1:8" ht="21.75" customHeight="1">
      <c r="A12" s="18"/>
      <c r="B12" s="21" t="s">
        <v>10</v>
      </c>
      <c r="C12" s="19">
        <v>996.2</v>
      </c>
      <c r="D12" s="19">
        <v>979.8</v>
      </c>
      <c r="E12" s="20">
        <v>98.353744228066645</v>
      </c>
      <c r="F12" s="17"/>
    </row>
    <row r="13" spans="1:8" ht="21.75" customHeight="1">
      <c r="A13" s="18"/>
      <c r="B13" s="21" t="s">
        <v>11</v>
      </c>
      <c r="C13" s="19">
        <v>472.1</v>
      </c>
      <c r="D13" s="19">
        <v>481.3</v>
      </c>
      <c r="E13" s="20">
        <v>101.94873967379792</v>
      </c>
      <c r="F13" s="17"/>
      <c r="H13" s="17"/>
    </row>
    <row r="14" spans="1:8" ht="21.75" customHeight="1">
      <c r="A14" s="13" t="s">
        <v>38</v>
      </c>
      <c r="B14" s="21"/>
      <c r="C14" s="19"/>
      <c r="D14" s="19"/>
      <c r="E14" s="20"/>
      <c r="F14" s="17"/>
      <c r="H14" s="17"/>
    </row>
    <row r="15" spans="1:8" ht="21.75" customHeight="1">
      <c r="A15" s="18" t="s">
        <v>12</v>
      </c>
      <c r="B15" s="21"/>
      <c r="C15" s="19"/>
      <c r="D15" s="19"/>
      <c r="E15" s="20"/>
      <c r="F15" s="17"/>
      <c r="H15" s="17"/>
    </row>
    <row r="16" spans="1:8" ht="21.75" customHeight="1">
      <c r="A16" s="13"/>
      <c r="B16" s="21" t="s">
        <v>13</v>
      </c>
      <c r="C16" s="19">
        <v>806</v>
      </c>
      <c r="D16" s="19">
        <v>803.2</v>
      </c>
      <c r="E16" s="20">
        <v>99.652605459057071</v>
      </c>
      <c r="F16" s="17"/>
    </row>
    <row r="17" spans="1:6" ht="21.75" customHeight="1">
      <c r="A17" s="13"/>
      <c r="B17" s="21" t="s">
        <v>14</v>
      </c>
      <c r="C17" s="19">
        <v>75.8</v>
      </c>
      <c r="D17" s="19">
        <v>73.2</v>
      </c>
      <c r="E17" s="20">
        <v>96.569920844327186</v>
      </c>
      <c r="F17" s="17"/>
    </row>
    <row r="18" spans="1:6" ht="21.75" customHeight="1">
      <c r="A18" s="18"/>
      <c r="B18" s="21" t="s">
        <v>15</v>
      </c>
      <c r="C18" s="19">
        <v>27.9</v>
      </c>
      <c r="D18" s="19">
        <v>28.1</v>
      </c>
      <c r="E18" s="20">
        <v>100.71684587813621</v>
      </c>
      <c r="F18" s="17"/>
    </row>
    <row r="19" spans="1:6" ht="21.75" customHeight="1">
      <c r="A19" s="13"/>
      <c r="B19" s="4" t="s">
        <v>16</v>
      </c>
      <c r="C19" s="19">
        <v>135.30000000000001</v>
      </c>
      <c r="D19" s="19">
        <v>132.1</v>
      </c>
      <c r="E19" s="20">
        <v>97.63488543976348</v>
      </c>
      <c r="F19" s="17"/>
    </row>
    <row r="20" spans="1:6" ht="20.100000000000001" customHeight="1">
      <c r="A20" s="13"/>
      <c r="B20" s="22" t="s">
        <v>39</v>
      </c>
      <c r="C20" s="19">
        <v>925.8</v>
      </c>
      <c r="D20" s="19">
        <v>936.4</v>
      </c>
      <c r="E20" s="20">
        <v>101.1449557139771</v>
      </c>
      <c r="F20" s="17"/>
    </row>
    <row r="21" spans="1:6" ht="20.100000000000001" customHeight="1">
      <c r="A21" s="23"/>
      <c r="B21" s="23" t="s">
        <v>40</v>
      </c>
      <c r="C21" s="19">
        <v>98.5</v>
      </c>
      <c r="D21" s="19">
        <v>99.4</v>
      </c>
      <c r="E21" s="20">
        <v>100.91370558375634</v>
      </c>
    </row>
    <row r="22" spans="1:6" ht="20.100000000000001" customHeight="1">
      <c r="A22" s="23"/>
      <c r="B22" s="23"/>
      <c r="C22" s="23"/>
      <c r="D22" s="23"/>
      <c r="E22" s="23"/>
    </row>
    <row r="23" spans="1:6" ht="20.100000000000001" customHeight="1">
      <c r="A23" s="23"/>
      <c r="B23" s="23"/>
      <c r="C23" s="23"/>
      <c r="D23" s="23"/>
      <c r="E23" s="23"/>
    </row>
    <row r="24" spans="1:6" ht="20.100000000000001" customHeight="1">
      <c r="A24" s="23"/>
      <c r="B24" s="23"/>
      <c r="C24" s="23"/>
      <c r="D24" s="23"/>
      <c r="E24" s="23"/>
    </row>
    <row r="25" spans="1:6" ht="20.100000000000001" customHeight="1">
      <c r="A25" s="23"/>
      <c r="B25" s="23"/>
      <c r="C25" s="23"/>
      <c r="D25" s="23"/>
      <c r="E25" s="23"/>
    </row>
  </sheetData>
  <pageMargins left="0.86614173228346503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1"/>
  <sheetViews>
    <sheetView workbookViewId="0">
      <selection activeCell="D13" sqref="D13"/>
    </sheetView>
  </sheetViews>
  <sheetFormatPr defaultColWidth="13.28515625" defaultRowHeight="15"/>
  <cols>
    <col min="1" max="1" width="37.7109375" style="26" customWidth="1"/>
    <col min="2" max="2" width="9.28515625" style="26" customWidth="1"/>
    <col min="3" max="3" width="8.42578125" style="26" customWidth="1"/>
    <col min="4" max="4" width="9.28515625" style="26" customWidth="1"/>
    <col min="5" max="7" width="8.7109375" style="26" customWidth="1"/>
    <col min="8" max="16384" width="13.28515625" style="26"/>
  </cols>
  <sheetData>
    <row r="1" spans="1:7" ht="18" customHeight="1">
      <c r="A1" s="24" t="s">
        <v>17</v>
      </c>
      <c r="B1" s="24"/>
      <c r="C1" s="24"/>
      <c r="D1" s="25"/>
      <c r="E1" s="25"/>
      <c r="F1" s="25"/>
      <c r="G1" s="25"/>
    </row>
    <row r="2" spans="1:7" ht="18" customHeight="1">
      <c r="A2" s="24"/>
      <c r="B2" s="24"/>
      <c r="C2" s="24"/>
      <c r="D2" s="25"/>
      <c r="E2" s="25"/>
      <c r="F2" s="25"/>
      <c r="G2" s="25"/>
    </row>
    <row r="3" spans="1:7" ht="18" customHeight="1">
      <c r="A3" s="24"/>
      <c r="B3" s="24"/>
      <c r="C3" s="24"/>
      <c r="D3" s="25"/>
      <c r="E3" s="25"/>
      <c r="F3" s="25"/>
      <c r="G3" s="25"/>
    </row>
    <row r="4" spans="1:7" ht="18" customHeight="1">
      <c r="A4" s="27"/>
      <c r="B4" s="28" t="s">
        <v>18</v>
      </c>
      <c r="C4" s="28" t="s">
        <v>19</v>
      </c>
      <c r="D4" s="28" t="s">
        <v>20</v>
      </c>
      <c r="E4" s="878" t="s">
        <v>21</v>
      </c>
      <c r="F4" s="878"/>
      <c r="G4" s="878"/>
    </row>
    <row r="5" spans="1:7" ht="18" customHeight="1">
      <c r="A5" s="29"/>
      <c r="B5" s="30" t="s">
        <v>22</v>
      </c>
      <c r="C5" s="30" t="s">
        <v>23</v>
      </c>
      <c r="D5" s="30" t="s">
        <v>24</v>
      </c>
      <c r="E5" s="30" t="s">
        <v>25</v>
      </c>
      <c r="F5" s="30" t="s">
        <v>26</v>
      </c>
      <c r="G5" s="30" t="s">
        <v>27</v>
      </c>
    </row>
    <row r="6" spans="1:7" ht="18" customHeight="1">
      <c r="A6" s="31"/>
      <c r="B6" s="30" t="s">
        <v>28</v>
      </c>
      <c r="C6" s="30" t="s">
        <v>28</v>
      </c>
      <c r="D6" s="30" t="s">
        <v>28</v>
      </c>
      <c r="E6" s="30" t="s">
        <v>28</v>
      </c>
      <c r="F6" s="30" t="s">
        <v>28</v>
      </c>
      <c r="G6" s="30" t="s">
        <v>28</v>
      </c>
    </row>
    <row r="7" spans="1:7" ht="18" customHeight="1">
      <c r="A7" s="22"/>
      <c r="B7" s="32">
        <v>2025</v>
      </c>
      <c r="C7" s="32">
        <v>2025</v>
      </c>
      <c r="D7" s="32">
        <v>2025</v>
      </c>
      <c r="E7" s="32">
        <v>2025</v>
      </c>
      <c r="F7" s="32">
        <v>2025</v>
      </c>
      <c r="G7" s="32">
        <v>2025</v>
      </c>
    </row>
    <row r="8" spans="1:7" ht="20.100000000000001" customHeight="1">
      <c r="A8" s="22"/>
      <c r="B8" s="33"/>
      <c r="C8" s="33"/>
      <c r="D8" s="25"/>
      <c r="E8" s="25"/>
      <c r="F8" s="25"/>
      <c r="G8" s="25"/>
    </row>
    <row r="9" spans="1:7" ht="20.100000000000001" customHeight="1">
      <c r="A9" s="34" t="s">
        <v>29</v>
      </c>
      <c r="B9" s="33"/>
      <c r="C9" s="33"/>
      <c r="D9" s="25"/>
      <c r="E9" s="25"/>
      <c r="F9" s="25"/>
      <c r="G9" s="25"/>
    </row>
    <row r="10" spans="1:7" ht="20.100000000000001" customHeight="1">
      <c r="A10" s="35" t="s">
        <v>30</v>
      </c>
      <c r="B10" s="36">
        <v>1333.81</v>
      </c>
      <c r="C10" s="36">
        <v>1339.11</v>
      </c>
      <c r="D10" s="36">
        <v>4038.0299999999997</v>
      </c>
      <c r="E10" s="36">
        <v>106.40601191853278</v>
      </c>
      <c r="F10" s="36">
        <v>102.02121013576316</v>
      </c>
      <c r="G10" s="36">
        <v>104.61217616580309</v>
      </c>
    </row>
    <row r="11" spans="1:7" ht="20.100000000000001" customHeight="1">
      <c r="A11" s="37" t="s">
        <v>31</v>
      </c>
      <c r="B11" s="36">
        <v>652.24</v>
      </c>
      <c r="C11" s="36">
        <v>647.04</v>
      </c>
      <c r="D11" s="36">
        <v>1926.32</v>
      </c>
      <c r="E11" s="36">
        <v>105.00810615439843</v>
      </c>
      <c r="F11" s="36">
        <v>106.60796725838402</v>
      </c>
      <c r="G11" s="36">
        <v>105.57492053052724</v>
      </c>
    </row>
    <row r="12" spans="1:7" ht="20.100000000000001" customHeight="1">
      <c r="A12" s="37" t="s">
        <v>32</v>
      </c>
      <c r="B12" s="36">
        <v>29.425680822501704</v>
      </c>
      <c r="C12" s="36">
        <v>28.325680822501702</v>
      </c>
      <c r="D12" s="36">
        <v>90.577042467505109</v>
      </c>
      <c r="E12" s="36">
        <v>100.9203920407419</v>
      </c>
      <c r="F12" s="36">
        <v>99.648205435695871</v>
      </c>
      <c r="G12" s="36">
        <v>100.08512979834818</v>
      </c>
    </row>
    <row r="13" spans="1:7" ht="20.100000000000001" customHeight="1">
      <c r="A13" s="37" t="s">
        <v>33</v>
      </c>
      <c r="B13" s="36">
        <v>126.57819832319201</v>
      </c>
      <c r="C13" s="36">
        <v>123.57819832319201</v>
      </c>
      <c r="D13" s="36">
        <v>385.03459496957601</v>
      </c>
      <c r="E13" s="36">
        <v>102.525009236976</v>
      </c>
      <c r="F13" s="36">
        <v>101.145867281736</v>
      </c>
      <c r="G13" s="36">
        <v>101.83406373170483</v>
      </c>
    </row>
    <row r="14" spans="1:7" ht="20.100000000000001" customHeight="1">
      <c r="A14" s="34" t="s">
        <v>34</v>
      </c>
      <c r="B14" s="38"/>
      <c r="C14" s="38"/>
      <c r="D14" s="38"/>
      <c r="E14" s="36"/>
      <c r="F14" s="36"/>
      <c r="G14" s="36"/>
    </row>
    <row r="15" spans="1:7" ht="20.100000000000001" customHeight="1">
      <c r="A15" s="39" t="s">
        <v>35</v>
      </c>
      <c r="B15" s="36">
        <v>5258.2400000000007</v>
      </c>
      <c r="C15" s="36">
        <v>5205.8400000000011</v>
      </c>
      <c r="D15" s="36">
        <v>15710.720000000001</v>
      </c>
      <c r="E15" s="36">
        <v>104.62535168670335</v>
      </c>
      <c r="F15" s="36">
        <v>106.19568676409395</v>
      </c>
      <c r="G15" s="36">
        <v>104.92910430316509</v>
      </c>
    </row>
    <row r="16" spans="1:7" ht="20.100000000000001" customHeight="1">
      <c r="A16" s="39" t="s">
        <v>36</v>
      </c>
      <c r="B16" s="36">
        <v>329.84783999999985</v>
      </c>
      <c r="C16" s="36">
        <v>316.54783999999984</v>
      </c>
      <c r="D16" s="36">
        <v>997.34351999999956</v>
      </c>
      <c r="E16" s="36">
        <v>105.96630336226194</v>
      </c>
      <c r="F16" s="36">
        <v>105.99368138741603</v>
      </c>
      <c r="G16" s="36">
        <v>105.84140082776182</v>
      </c>
    </row>
    <row r="17" spans="1:7" ht="20.100000000000001" customHeight="1">
      <c r="A17" s="39"/>
      <c r="B17" s="36"/>
      <c r="C17" s="36"/>
      <c r="D17" s="36"/>
      <c r="E17" s="40"/>
      <c r="F17" s="40"/>
      <c r="G17" s="40"/>
    </row>
    <row r="18" spans="1:7" ht="20.100000000000001" customHeight="1">
      <c r="A18" s="39"/>
      <c r="B18" s="36"/>
      <c r="C18" s="36"/>
      <c r="D18" s="36"/>
      <c r="E18" s="40"/>
      <c r="F18" s="40"/>
      <c r="G18" s="40"/>
    </row>
    <row r="19" spans="1:7" ht="18" customHeight="1">
      <c r="A19" s="25"/>
      <c r="B19" s="41"/>
      <c r="C19" s="41"/>
      <c r="D19" s="41"/>
      <c r="E19" s="41"/>
      <c r="F19" s="41"/>
      <c r="G19" s="41"/>
    </row>
    <row r="20" spans="1:7" ht="18" customHeight="1">
      <c r="A20" s="25"/>
      <c r="B20" s="41"/>
      <c r="C20" s="41"/>
      <c r="D20" s="41"/>
      <c r="E20" s="41"/>
      <c r="F20" s="41"/>
      <c r="G20" s="41"/>
    </row>
    <row r="21" spans="1:7" ht="18" customHeight="1">
      <c r="A21" s="38"/>
      <c r="B21" s="38"/>
      <c r="C21" s="38"/>
      <c r="D21" s="38"/>
      <c r="E21" s="38"/>
      <c r="F21" s="38"/>
      <c r="G21" s="38"/>
    </row>
    <row r="22" spans="1:7" ht="18" customHeight="1">
      <c r="A22" s="38"/>
      <c r="B22" s="38"/>
      <c r="C22" s="38"/>
      <c r="D22" s="38"/>
      <c r="E22" s="38"/>
      <c r="F22" s="38"/>
      <c r="G22" s="38"/>
    </row>
    <row r="23" spans="1:7" ht="18" customHeight="1">
      <c r="A23" s="38"/>
      <c r="B23" s="38"/>
      <c r="C23" s="38"/>
      <c r="D23" s="38"/>
      <c r="E23" s="38"/>
      <c r="F23" s="38"/>
      <c r="G23" s="38"/>
    </row>
    <row r="24" spans="1:7" ht="18" customHeight="1">
      <c r="A24" s="38"/>
      <c r="B24" s="38"/>
      <c r="C24" s="38"/>
      <c r="D24" s="38"/>
      <c r="E24" s="38"/>
      <c r="F24" s="38"/>
      <c r="G24" s="38"/>
    </row>
    <row r="25" spans="1:7" ht="18" customHeight="1">
      <c r="A25" s="38"/>
      <c r="B25" s="38"/>
      <c r="C25" s="38"/>
      <c r="D25" s="38"/>
      <c r="E25" s="38"/>
      <c r="F25" s="38"/>
      <c r="G25" s="38"/>
    </row>
    <row r="26" spans="1:7" ht="18" customHeight="1">
      <c r="A26" s="38"/>
      <c r="B26" s="38"/>
      <c r="C26" s="38"/>
      <c r="D26" s="38"/>
      <c r="E26" s="38"/>
      <c r="F26" s="38"/>
      <c r="G26" s="38"/>
    </row>
    <row r="27" spans="1:7" ht="18" customHeight="1">
      <c r="A27" s="38"/>
      <c r="B27" s="38"/>
      <c r="C27" s="38"/>
      <c r="D27" s="38"/>
      <c r="E27" s="38"/>
      <c r="F27" s="38"/>
      <c r="G27" s="38"/>
    </row>
    <row r="28" spans="1:7" ht="18" customHeight="1">
      <c r="A28" s="38"/>
      <c r="B28" s="38"/>
      <c r="C28" s="38"/>
      <c r="D28" s="38"/>
      <c r="E28" s="38"/>
      <c r="F28" s="38"/>
      <c r="G28" s="38"/>
    </row>
    <row r="29" spans="1:7" ht="18" customHeight="1">
      <c r="A29" s="38"/>
      <c r="B29" s="38"/>
      <c r="C29" s="38"/>
      <c r="D29" s="38"/>
      <c r="E29" s="38"/>
      <c r="F29" s="38"/>
      <c r="G29" s="38"/>
    </row>
    <row r="30" spans="1:7" ht="18" customHeight="1">
      <c r="A30" s="38"/>
      <c r="B30" s="38"/>
      <c r="C30" s="38"/>
      <c r="D30" s="38"/>
      <c r="E30" s="38"/>
      <c r="F30" s="38"/>
      <c r="G30" s="38"/>
    </row>
    <row r="31" spans="1:7" ht="18" customHeight="1"/>
    <row r="32" spans="1:7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</sheetData>
  <mergeCells count="1">
    <mergeCell ref="E4:G4"/>
  </mergeCells>
  <pageMargins left="0.73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66"/>
  <sheetViews>
    <sheetView zoomScale="85" zoomScaleNormal="85" workbookViewId="0">
      <pane xSplit="1" ySplit="6" topLeftCell="C7" activePane="bottomRight" state="frozen"/>
      <selection activeCell="D13" sqref="D13"/>
      <selection pane="topRight" activeCell="D13" sqref="D13"/>
      <selection pane="bottomLeft" activeCell="D13" sqref="D13"/>
      <selection pane="bottomRight" activeCell="D13" sqref="D13"/>
    </sheetView>
  </sheetViews>
  <sheetFormatPr defaultColWidth="13.28515625" defaultRowHeight="15"/>
  <cols>
    <col min="1" max="1" width="31" style="26" customWidth="1"/>
    <col min="2" max="2" width="9.28515625" style="26" hidden="1" customWidth="1"/>
    <col min="3" max="4" width="8.42578125" style="26" customWidth="1"/>
    <col min="5" max="5" width="9.28515625" style="26" hidden="1" customWidth="1"/>
    <col min="6" max="6" width="9.28515625" style="26" customWidth="1"/>
    <col min="7" max="7" width="8.7109375" style="26" hidden="1" customWidth="1"/>
    <col min="8" max="9" width="8.140625" style="26" customWidth="1"/>
    <col min="10" max="10" width="7.42578125" style="26" hidden="1" customWidth="1"/>
    <col min="11" max="13" width="8.7109375" style="26" customWidth="1"/>
    <col min="14" max="16384" width="13.28515625" style="26"/>
  </cols>
  <sheetData>
    <row r="1" spans="1:11" ht="18" customHeight="1">
      <c r="A1" s="43" t="s">
        <v>639</v>
      </c>
      <c r="B1" s="24"/>
      <c r="C1" s="24"/>
      <c r="D1" s="24"/>
      <c r="E1" s="25"/>
      <c r="F1" s="25"/>
      <c r="G1" s="25"/>
      <c r="H1" s="25"/>
      <c r="I1" s="25"/>
      <c r="J1" s="25"/>
      <c r="K1" s="44"/>
    </row>
    <row r="2" spans="1:11" ht="18" customHeight="1">
      <c r="A2" s="45"/>
      <c r="B2" s="45"/>
      <c r="C2" s="45"/>
      <c r="D2" s="45"/>
      <c r="E2" s="25"/>
      <c r="F2" s="25"/>
      <c r="G2" s="25"/>
      <c r="H2" s="25"/>
      <c r="I2" s="25"/>
      <c r="J2" s="25"/>
    </row>
    <row r="3" spans="1:11" ht="18" customHeight="1">
      <c r="A3" s="27"/>
      <c r="B3" s="28" t="s">
        <v>18</v>
      </c>
      <c r="C3" s="28" t="s">
        <v>18</v>
      </c>
      <c r="D3" s="28" t="s">
        <v>19</v>
      </c>
      <c r="E3" s="28" t="s">
        <v>20</v>
      </c>
      <c r="F3" s="28" t="s">
        <v>20</v>
      </c>
      <c r="G3" s="878" t="s">
        <v>21</v>
      </c>
      <c r="H3" s="878"/>
      <c r="I3" s="878"/>
      <c r="J3" s="878"/>
      <c r="K3" s="878"/>
    </row>
    <row r="4" spans="1:11" ht="18" customHeight="1">
      <c r="A4" s="29"/>
      <c r="B4" s="30" t="s">
        <v>41</v>
      </c>
      <c r="C4" s="30" t="s">
        <v>22</v>
      </c>
      <c r="D4" s="30" t="s">
        <v>42</v>
      </c>
      <c r="E4" s="30" t="s">
        <v>43</v>
      </c>
      <c r="F4" s="30" t="s">
        <v>24</v>
      </c>
      <c r="G4" s="30" t="s">
        <v>44</v>
      </c>
      <c r="H4" s="30" t="s">
        <v>25</v>
      </c>
      <c r="I4" s="30" t="s">
        <v>26</v>
      </c>
      <c r="J4" s="30" t="s">
        <v>45</v>
      </c>
      <c r="K4" s="30" t="s">
        <v>27</v>
      </c>
    </row>
    <row r="5" spans="1:11" ht="18" customHeight="1">
      <c r="A5" s="31"/>
      <c r="B5" s="30" t="s">
        <v>28</v>
      </c>
      <c r="C5" s="30" t="s">
        <v>28</v>
      </c>
      <c r="D5" s="30" t="s">
        <v>28</v>
      </c>
      <c r="E5" s="30" t="s">
        <v>28</v>
      </c>
      <c r="F5" s="30" t="s">
        <v>28</v>
      </c>
      <c r="G5" s="30" t="s">
        <v>28</v>
      </c>
      <c r="H5" s="30" t="s">
        <v>28</v>
      </c>
      <c r="I5" s="30" t="s">
        <v>28</v>
      </c>
      <c r="J5" s="30" t="s">
        <v>28</v>
      </c>
      <c r="K5" s="30" t="s">
        <v>28</v>
      </c>
    </row>
    <row r="6" spans="1:11" ht="18" customHeight="1">
      <c r="A6" s="22"/>
      <c r="B6" s="32">
        <v>2025</v>
      </c>
      <c r="C6" s="32">
        <v>2025</v>
      </c>
      <c r="D6" s="32">
        <v>2025</v>
      </c>
      <c r="E6" s="32">
        <v>2025</v>
      </c>
      <c r="F6" s="32">
        <v>2025</v>
      </c>
      <c r="G6" s="32">
        <v>2025</v>
      </c>
      <c r="H6" s="32">
        <v>2025</v>
      </c>
      <c r="I6" s="32">
        <v>2025</v>
      </c>
      <c r="J6" s="32">
        <v>2025</v>
      </c>
      <c r="K6" s="32">
        <v>2025</v>
      </c>
    </row>
    <row r="7" spans="1:11" ht="27.75" customHeight="1">
      <c r="A7" s="46" t="s">
        <v>46</v>
      </c>
      <c r="B7" s="47">
        <v>44.89</v>
      </c>
      <c r="C7" s="47">
        <v>105.7</v>
      </c>
      <c r="D7" s="47">
        <v>71.240000000000009</v>
      </c>
      <c r="E7" s="47">
        <v>150.59</v>
      </c>
      <c r="F7" s="47">
        <v>221.83</v>
      </c>
      <c r="G7" s="48">
        <v>117.79</v>
      </c>
      <c r="H7" s="48">
        <v>116.14</v>
      </c>
      <c r="I7" s="48">
        <v>100.81</v>
      </c>
      <c r="J7" s="48">
        <v>116.63</v>
      </c>
      <c r="K7" s="47">
        <v>111</v>
      </c>
    </row>
    <row r="8" spans="1:11" ht="23.25" customHeight="1">
      <c r="A8" s="49" t="s">
        <v>47</v>
      </c>
      <c r="B8" s="47">
        <v>24.21</v>
      </c>
      <c r="C8" s="47">
        <v>24.389999999999993</v>
      </c>
      <c r="D8" s="47">
        <v>21.480000000000004</v>
      </c>
      <c r="E8" s="47">
        <v>48.599999999999994</v>
      </c>
      <c r="F8" s="47">
        <v>70.08</v>
      </c>
      <c r="G8" s="48">
        <v>104.4</v>
      </c>
      <c r="H8" s="48">
        <v>100.91</v>
      </c>
      <c r="I8" s="48">
        <v>99.49</v>
      </c>
      <c r="J8" s="48">
        <v>102.62</v>
      </c>
      <c r="K8" s="47">
        <v>101.6</v>
      </c>
    </row>
    <row r="9" spans="1:11" ht="20.100000000000001" customHeight="1">
      <c r="A9" s="22" t="s">
        <v>48</v>
      </c>
      <c r="B9" s="47">
        <v>4229.95</v>
      </c>
      <c r="C9" s="47">
        <v>7030</v>
      </c>
      <c r="D9" s="47">
        <v>6703.6</v>
      </c>
      <c r="E9" s="47">
        <v>11259.95</v>
      </c>
      <c r="F9" s="47">
        <v>17963.629999999997</v>
      </c>
      <c r="G9" s="48">
        <v>112.15</v>
      </c>
      <c r="H9" s="48">
        <v>108.36</v>
      </c>
      <c r="I9" s="48">
        <v>106.92</v>
      </c>
      <c r="J9" s="48">
        <v>109.75</v>
      </c>
      <c r="K9" s="47">
        <v>108.7</v>
      </c>
    </row>
    <row r="10" spans="1:11" ht="20.100000000000001" customHeight="1">
      <c r="A10" s="25" t="s">
        <v>49</v>
      </c>
      <c r="B10" s="47">
        <v>215.99</v>
      </c>
      <c r="C10" s="47">
        <v>647.78</v>
      </c>
      <c r="D10" s="47">
        <v>134.52999999999997</v>
      </c>
      <c r="E10" s="47">
        <v>863.77</v>
      </c>
      <c r="F10" s="47">
        <v>998.3</v>
      </c>
      <c r="G10" s="48">
        <v>85.6</v>
      </c>
      <c r="H10" s="48">
        <v>63.59</v>
      </c>
      <c r="I10" s="48">
        <v>76.98</v>
      </c>
      <c r="J10" s="48">
        <v>67.959999999999994</v>
      </c>
      <c r="K10" s="47">
        <v>69</v>
      </c>
    </row>
    <row r="11" spans="1:11" ht="20.100000000000001" customHeight="1">
      <c r="A11" s="50" t="s">
        <v>50</v>
      </c>
      <c r="B11" s="47">
        <v>48.92</v>
      </c>
      <c r="C11" s="47">
        <v>240.36999999999995</v>
      </c>
      <c r="D11" s="47">
        <v>25.410000000000025</v>
      </c>
      <c r="E11" s="47">
        <v>289.28999999999996</v>
      </c>
      <c r="F11" s="47">
        <v>314.7</v>
      </c>
      <c r="G11" s="48">
        <v>69.81</v>
      </c>
      <c r="H11" s="48">
        <v>38.01</v>
      </c>
      <c r="I11" s="48">
        <v>66.900000000000006</v>
      </c>
      <c r="J11" s="48">
        <v>41.18</v>
      </c>
      <c r="K11" s="47">
        <v>42.5</v>
      </c>
    </row>
    <row r="12" spans="1:11" ht="20.100000000000001" customHeight="1">
      <c r="A12" s="50" t="s">
        <v>51</v>
      </c>
      <c r="B12" s="47">
        <v>167.07720000000003</v>
      </c>
      <c r="C12" s="47">
        <v>407.40279999999996</v>
      </c>
      <c r="D12" s="47">
        <v>109.12</v>
      </c>
      <c r="E12" s="47">
        <v>574.48</v>
      </c>
      <c r="F12" s="47">
        <v>683.6</v>
      </c>
      <c r="G12" s="48">
        <v>91.68</v>
      </c>
      <c r="H12" s="48">
        <v>105.44</v>
      </c>
      <c r="I12" s="48">
        <v>79.78</v>
      </c>
      <c r="J12" s="48">
        <v>101.03</v>
      </c>
      <c r="K12" s="47">
        <v>96.9</v>
      </c>
    </row>
    <row r="13" spans="1:11" ht="20.100000000000001" customHeight="1">
      <c r="K13" s="40"/>
    </row>
    <row r="14" spans="1:11" ht="20.100000000000001" customHeight="1">
      <c r="K14" s="40"/>
    </row>
    <row r="15" spans="1:11" ht="18" customHeight="1"/>
    <row r="16" spans="1:11" ht="18" customHeight="1"/>
    <row r="17" spans="1:15" ht="18" customHeight="1"/>
    <row r="18" spans="1:15" ht="18" customHeight="1"/>
    <row r="19" spans="1:15" ht="18" customHeight="1"/>
    <row r="20" spans="1:15" ht="18" customHeight="1"/>
    <row r="21" spans="1:15" s="25" customFormat="1" ht="18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M21" s="26"/>
      <c r="N21" s="26"/>
      <c r="O21" s="26"/>
    </row>
    <row r="22" spans="1:15" s="25" customFormat="1" ht="18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M22" s="26"/>
      <c r="N22" s="26"/>
      <c r="O22" s="26"/>
    </row>
    <row r="23" spans="1:15" s="25" customFormat="1" ht="18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</row>
    <row r="24" spans="1:15" s="25" customFormat="1" ht="18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</row>
    <row r="25" spans="1:15" s="51" customFormat="1" ht="18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</row>
    <row r="26" spans="1:15" s="51" customFormat="1" ht="18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</row>
    <row r="27" spans="1:15" s="25" customFormat="1" ht="30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</row>
    <row r="28" spans="1:15" s="25" customFormat="1" ht="30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</row>
    <row r="29" spans="1:15" s="25" customFormat="1" ht="19.899999999999999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</row>
    <row r="30" spans="1:15" s="25" customFormat="1" ht="19.899999999999999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</row>
    <row r="31" spans="1:15" s="25" customFormat="1" ht="19.899999999999999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</row>
    <row r="32" spans="1:15" s="52" customFormat="1" ht="19.899999999999999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</sheetData>
  <mergeCells count="1">
    <mergeCell ref="G3:K3"/>
  </mergeCells>
  <pageMargins left="0.86614173228346503" right="0.17" top="0.74803149606299202" bottom="0.511811023622047" header="0.43307086614173201" footer="0.31496062992126"/>
  <pageSetup paperSize="9" firstPageNumber="38" orientation="portrait" r:id="rId1"/>
  <headerFooter alignWithMargins="0">
    <oddHeader>&amp;C&amp;"Times New Roman,Regular"&amp;13&amp;P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1"/>
  <sheetViews>
    <sheetView zoomScale="85" zoomScaleNormal="85" workbookViewId="0">
      <pane xSplit="1" ySplit="6" topLeftCell="C7" activePane="bottomRight" state="frozen"/>
      <selection activeCell="D13" sqref="D13"/>
      <selection pane="topRight" activeCell="D13" sqref="D13"/>
      <selection pane="bottomLeft" activeCell="D13" sqref="D13"/>
      <selection pane="bottomRight" activeCell="N13" sqref="N13"/>
    </sheetView>
  </sheetViews>
  <sheetFormatPr defaultColWidth="11.28515625" defaultRowHeight="12.75"/>
  <cols>
    <col min="1" max="1" width="18.140625" style="860" customWidth="1"/>
    <col min="2" max="2" width="9.85546875" style="860" hidden="1" customWidth="1"/>
    <col min="3" max="4" width="9.85546875" style="860" customWidth="1"/>
    <col min="5" max="5" width="9.85546875" style="860" hidden="1" customWidth="1"/>
    <col min="6" max="6" width="9" style="860" bestFit="1" customWidth="1"/>
    <col min="7" max="7" width="1.7109375" style="860" hidden="1" customWidth="1"/>
    <col min="8" max="8" width="9.85546875" style="860" hidden="1" customWidth="1"/>
    <col min="9" max="10" width="9.85546875" style="860" customWidth="1"/>
    <col min="11" max="11" width="9.85546875" style="860" hidden="1" customWidth="1"/>
    <col min="12" max="12" width="9.5703125" style="860" customWidth="1"/>
    <col min="13" max="16384" width="11.28515625" style="860"/>
  </cols>
  <sheetData>
    <row r="1" spans="1:12" ht="20.100000000000001" customHeight="1">
      <c r="A1" s="53" t="s">
        <v>640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2" ht="20.100000000000001" customHeight="1">
      <c r="A2" s="2"/>
      <c r="B2" s="55"/>
      <c r="C2" s="55"/>
      <c r="D2" s="55"/>
      <c r="E2" s="55"/>
      <c r="F2" s="55"/>
      <c r="G2" s="55"/>
      <c r="H2" s="54"/>
      <c r="I2" s="54"/>
      <c r="J2" s="54"/>
      <c r="K2" s="54"/>
    </row>
    <row r="3" spans="1:12" ht="20.100000000000001" customHeight="1">
      <c r="A3" s="56"/>
      <c r="B3" s="861"/>
      <c r="C3" s="861"/>
      <c r="D3" s="861"/>
      <c r="E3" s="861"/>
      <c r="F3" s="862"/>
      <c r="G3" s="861"/>
      <c r="H3" s="57"/>
      <c r="K3" s="57" t="s">
        <v>52</v>
      </c>
    </row>
    <row r="4" spans="1:12" s="863" customFormat="1" ht="18" customHeight="1">
      <c r="B4" s="28" t="s">
        <v>2</v>
      </c>
      <c r="C4" s="28" t="s">
        <v>2</v>
      </c>
      <c r="D4" s="28" t="s">
        <v>19</v>
      </c>
      <c r="E4" s="28" t="s">
        <v>20</v>
      </c>
      <c r="F4" s="28" t="s">
        <v>20</v>
      </c>
      <c r="G4" s="28"/>
      <c r="H4" s="880" t="s">
        <v>21</v>
      </c>
      <c r="I4" s="880"/>
      <c r="J4" s="880"/>
      <c r="K4" s="880"/>
      <c r="L4" s="880"/>
    </row>
    <row r="5" spans="1:12" s="863" customFormat="1" ht="18" customHeight="1">
      <c r="B5" s="30" t="s">
        <v>41</v>
      </c>
      <c r="C5" s="30" t="s">
        <v>22</v>
      </c>
      <c r="D5" s="30" t="s">
        <v>42</v>
      </c>
      <c r="E5" s="30" t="s">
        <v>43</v>
      </c>
      <c r="F5" s="30" t="s">
        <v>24</v>
      </c>
      <c r="G5" s="30"/>
      <c r="H5" s="30" t="s">
        <v>44</v>
      </c>
      <c r="I5" s="30" t="s">
        <v>25</v>
      </c>
      <c r="J5" s="30" t="s">
        <v>26</v>
      </c>
      <c r="K5" s="30" t="s">
        <v>43</v>
      </c>
      <c r="L5" s="30" t="s">
        <v>24</v>
      </c>
    </row>
    <row r="6" spans="1:12" ht="18" customHeight="1">
      <c r="A6" s="864"/>
      <c r="B6" s="32" t="s">
        <v>53</v>
      </c>
      <c r="C6" s="32" t="s">
        <v>53</v>
      </c>
      <c r="D6" s="32" t="s">
        <v>54</v>
      </c>
      <c r="E6" s="32" t="s">
        <v>53</v>
      </c>
      <c r="F6" s="32" t="s">
        <v>53</v>
      </c>
      <c r="G6" s="32"/>
      <c r="H6" s="32" t="s">
        <v>53</v>
      </c>
      <c r="I6" s="32" t="s">
        <v>53</v>
      </c>
      <c r="J6" s="32" t="s">
        <v>53</v>
      </c>
      <c r="K6" s="32" t="s">
        <v>53</v>
      </c>
      <c r="L6" s="32" t="s">
        <v>53</v>
      </c>
    </row>
    <row r="7" spans="1:12" ht="9" customHeight="1">
      <c r="A7" s="864"/>
      <c r="B7" s="865"/>
      <c r="C7" s="865"/>
      <c r="D7" s="865"/>
      <c r="E7" s="865"/>
      <c r="F7" s="865"/>
      <c r="G7" s="865"/>
    </row>
    <row r="8" spans="1:12" ht="20.100000000000001" customHeight="1">
      <c r="A8" s="58" t="s">
        <v>55</v>
      </c>
      <c r="B8" s="59">
        <v>1995.4</v>
      </c>
      <c r="C8" s="59">
        <v>2555.5</v>
      </c>
      <c r="D8" s="59">
        <v>2710.8677042648187</v>
      </c>
      <c r="E8" s="59">
        <v>4550.8999999999996</v>
      </c>
      <c r="F8" s="866">
        <v>7261.7677042648183</v>
      </c>
      <c r="G8" s="866"/>
      <c r="H8" s="59">
        <v>102.92464022282974</v>
      </c>
      <c r="I8" s="59">
        <v>103.29843566837786</v>
      </c>
      <c r="J8" s="59">
        <v>103.25148368938564</v>
      </c>
      <c r="K8" s="59">
        <v>103.13420659021889</v>
      </c>
      <c r="L8" s="59">
        <v>103.17795575886701</v>
      </c>
    </row>
    <row r="9" spans="1:12" ht="20.100000000000001" customHeight="1">
      <c r="A9" s="867" t="s">
        <v>56</v>
      </c>
      <c r="B9" s="60">
        <v>1482.3</v>
      </c>
      <c r="C9" s="60">
        <v>1799.5</v>
      </c>
      <c r="D9" s="60">
        <v>1830.1087022838074</v>
      </c>
      <c r="E9" s="60">
        <v>3281.8</v>
      </c>
      <c r="F9" s="868">
        <v>5111.9087022838075</v>
      </c>
      <c r="G9" s="868"/>
      <c r="H9" s="60">
        <v>102.9947192884936</v>
      </c>
      <c r="I9" s="60">
        <v>102.85795941697629</v>
      </c>
      <c r="J9" s="60">
        <v>102.58456851366633</v>
      </c>
      <c r="K9" s="60">
        <v>102.91968513814409</v>
      </c>
      <c r="L9" s="60">
        <v>102.79945909232022</v>
      </c>
    </row>
    <row r="10" spans="1:12" ht="20.100000000000001" customHeight="1">
      <c r="A10" s="867" t="s">
        <v>57</v>
      </c>
      <c r="B10" s="60">
        <v>202.4</v>
      </c>
      <c r="C10" s="60">
        <v>403.1</v>
      </c>
      <c r="D10" s="60">
        <v>498.75058156578598</v>
      </c>
      <c r="E10" s="60">
        <v>605.5</v>
      </c>
      <c r="F10" s="868">
        <v>1104.2505815657901</v>
      </c>
      <c r="G10" s="868"/>
      <c r="H10" s="60">
        <v>104.59948320413437</v>
      </c>
      <c r="I10" s="60">
        <v>106.16276007374243</v>
      </c>
      <c r="J10" s="60">
        <v>105.80177801565247</v>
      </c>
      <c r="K10" s="60">
        <v>105.63503140265178</v>
      </c>
      <c r="L10" s="60">
        <v>105.71027968272885</v>
      </c>
    </row>
    <row r="11" spans="1:12" ht="20.100000000000001" customHeight="1">
      <c r="A11" s="867" t="s">
        <v>58</v>
      </c>
      <c r="B11" s="60">
        <v>310.7</v>
      </c>
      <c r="C11" s="60">
        <v>352.9</v>
      </c>
      <c r="D11" s="60">
        <v>382.00942041522512</v>
      </c>
      <c r="E11" s="60">
        <v>663.59999999999991</v>
      </c>
      <c r="F11" s="868">
        <v>1045.609420415225</v>
      </c>
      <c r="G11" s="868"/>
      <c r="H11" s="60">
        <v>101.53594771241829</v>
      </c>
      <c r="I11" s="60">
        <v>102.37888018566869</v>
      </c>
      <c r="J11" s="60">
        <v>103.21789257368961</v>
      </c>
      <c r="K11" s="60">
        <v>101.98248040571688</v>
      </c>
      <c r="L11" s="60">
        <v>102.43038993095857</v>
      </c>
    </row>
    <row r="12" spans="1:12" ht="20.100000000000001" customHeight="1">
      <c r="A12" s="61" t="s">
        <v>59</v>
      </c>
      <c r="B12" s="59">
        <v>1113.5999999999999</v>
      </c>
      <c r="C12" s="59">
        <v>1465.6</v>
      </c>
      <c r="D12" s="59">
        <v>1705.0691220505714</v>
      </c>
      <c r="E12" s="59">
        <v>2579.1999999999998</v>
      </c>
      <c r="F12" s="59">
        <v>4284.2691220505712</v>
      </c>
      <c r="G12" s="62"/>
      <c r="H12" s="59">
        <v>105.0566037735849</v>
      </c>
      <c r="I12" s="59">
        <v>104.72311539835655</v>
      </c>
      <c r="J12" s="59">
        <v>105.48559280194085</v>
      </c>
      <c r="K12" s="59">
        <v>104.86684285423866</v>
      </c>
      <c r="L12" s="59">
        <v>105.11222360829686</v>
      </c>
    </row>
    <row r="13" spans="1:12" ht="20.100000000000001" customHeight="1">
      <c r="A13" s="867" t="s">
        <v>56</v>
      </c>
      <c r="B13" s="60">
        <v>806.7</v>
      </c>
      <c r="C13" s="60">
        <v>942.8</v>
      </c>
      <c r="D13" s="60">
        <v>1041.450540484786</v>
      </c>
      <c r="E13" s="60">
        <v>1749.5</v>
      </c>
      <c r="F13" s="60">
        <v>2790.950540484786</v>
      </c>
      <c r="G13" s="869"/>
      <c r="H13" s="60">
        <v>105.40964327714623</v>
      </c>
      <c r="I13" s="60">
        <v>104.17679558011048</v>
      </c>
      <c r="J13" s="60">
        <v>104.82642581628447</v>
      </c>
      <c r="K13" s="60">
        <v>104.74166317428006</v>
      </c>
      <c r="L13" s="60">
        <v>104.77327654046047</v>
      </c>
    </row>
    <row r="14" spans="1:12" ht="20.100000000000001" customHeight="1">
      <c r="A14" s="867" t="s">
        <v>57</v>
      </c>
      <c r="B14" s="60">
        <v>170</v>
      </c>
      <c r="C14" s="60">
        <v>363.5</v>
      </c>
      <c r="D14" s="60">
        <v>465.26288156578551</v>
      </c>
      <c r="E14" s="60">
        <v>533.5</v>
      </c>
      <c r="F14" s="60">
        <v>998.76288156578551</v>
      </c>
      <c r="G14" s="869"/>
      <c r="H14" s="60">
        <v>105.52451893234016</v>
      </c>
      <c r="I14" s="60">
        <v>106.75477239353893</v>
      </c>
      <c r="J14" s="60">
        <v>106.29720849115503</v>
      </c>
      <c r="K14" s="60">
        <v>106.35964912280701</v>
      </c>
      <c r="L14" s="60">
        <v>106.33055270582194</v>
      </c>
    </row>
    <row r="15" spans="1:12" ht="20.100000000000001" customHeight="1">
      <c r="A15" s="867" t="s">
        <v>58</v>
      </c>
      <c r="B15" s="60">
        <v>136.9</v>
      </c>
      <c r="C15" s="60">
        <v>159.30000000000001</v>
      </c>
      <c r="D15" s="60">
        <v>198.34569999999999</v>
      </c>
      <c r="E15" s="60">
        <v>296.20000000000005</v>
      </c>
      <c r="F15" s="60">
        <v>494.54570000000001</v>
      </c>
      <c r="G15" s="869"/>
      <c r="H15" s="60">
        <v>102.47005988023955</v>
      </c>
      <c r="I15" s="60">
        <v>103.44155844155844</v>
      </c>
      <c r="J15" s="60">
        <v>107.10350971922242</v>
      </c>
      <c r="K15" s="60">
        <v>102.990264255911</v>
      </c>
      <c r="L15" s="60">
        <v>104.60145939086294</v>
      </c>
    </row>
    <row r="16" spans="1:12" ht="20.100000000000001" customHeight="1">
      <c r="A16" s="61" t="s">
        <v>60</v>
      </c>
      <c r="B16" s="59">
        <v>881.8</v>
      </c>
      <c r="C16" s="59">
        <v>1089.9000000000001</v>
      </c>
      <c r="D16" s="59">
        <v>1005.7985822142462</v>
      </c>
      <c r="E16" s="59">
        <v>1971.7</v>
      </c>
      <c r="F16" s="59">
        <v>2977.4985822142462</v>
      </c>
      <c r="G16" s="866"/>
      <c r="H16" s="59">
        <v>100.35279390007965</v>
      </c>
      <c r="I16" s="59">
        <v>101.44266567386448</v>
      </c>
      <c r="J16" s="59">
        <v>99.672835419110697</v>
      </c>
      <c r="K16" s="59">
        <v>100.95233218985203</v>
      </c>
      <c r="L16" s="59">
        <v>100.5164601382164</v>
      </c>
    </row>
    <row r="17" spans="1:12" ht="20.100000000000001" customHeight="1">
      <c r="A17" s="867" t="s">
        <v>56</v>
      </c>
      <c r="B17" s="60">
        <v>675.6</v>
      </c>
      <c r="C17" s="60">
        <v>856.7</v>
      </c>
      <c r="D17" s="60">
        <v>788.6581617990214</v>
      </c>
      <c r="E17" s="60">
        <v>1532.3000000000002</v>
      </c>
      <c r="F17" s="60">
        <v>2320.9581617990216</v>
      </c>
      <c r="G17" s="868"/>
      <c r="H17" s="60">
        <v>100.25226294702479</v>
      </c>
      <c r="I17" s="60">
        <v>101.44464179988159</v>
      </c>
      <c r="J17" s="60">
        <v>99.767003390135528</v>
      </c>
      <c r="K17" s="60">
        <v>100.91543730242361</v>
      </c>
      <c r="L17" s="60">
        <v>100.52224703534243</v>
      </c>
    </row>
    <row r="18" spans="1:12" ht="20.100000000000001" customHeight="1">
      <c r="A18" s="867" t="s">
        <v>57</v>
      </c>
      <c r="B18" s="60">
        <v>32.4</v>
      </c>
      <c r="C18" s="60">
        <v>39.6</v>
      </c>
      <c r="D18" s="60">
        <v>33.486699999999999</v>
      </c>
      <c r="E18" s="60">
        <v>72</v>
      </c>
      <c r="F18" s="60">
        <v>105.4867</v>
      </c>
      <c r="G18" s="868"/>
      <c r="H18" s="60">
        <v>100</v>
      </c>
      <c r="I18" s="60">
        <v>101.0204081632653</v>
      </c>
      <c r="J18" s="60">
        <v>99.367062314540007</v>
      </c>
      <c r="K18" s="60">
        <v>100.55865921787711</v>
      </c>
      <c r="L18" s="60">
        <v>100.17730294396961</v>
      </c>
    </row>
    <row r="19" spans="1:12" ht="20.100000000000001" customHeight="1">
      <c r="A19" s="867" t="s">
        <v>58</v>
      </c>
      <c r="B19" s="60">
        <v>173.8</v>
      </c>
      <c r="C19" s="60">
        <v>193.6</v>
      </c>
      <c r="D19" s="60">
        <v>183.643720415225</v>
      </c>
      <c r="E19" s="60">
        <v>367.4</v>
      </c>
      <c r="F19" s="60">
        <v>551.04372041522504</v>
      </c>
      <c r="G19" s="869"/>
      <c r="H19" s="60">
        <v>100.81206496519721</v>
      </c>
      <c r="I19" s="60">
        <v>101.52071316203461</v>
      </c>
      <c r="J19" s="60">
        <v>99.325971019591705</v>
      </c>
      <c r="K19" s="60">
        <v>101.18424676397686</v>
      </c>
      <c r="L19" s="60">
        <v>100.55724825095346</v>
      </c>
    </row>
    <row r="20" spans="1:12" ht="20.100000000000001" customHeight="1">
      <c r="A20" s="63"/>
      <c r="B20" s="63"/>
      <c r="C20" s="63"/>
      <c r="D20" s="63"/>
      <c r="E20" s="63"/>
      <c r="F20" s="63"/>
      <c r="G20" s="63"/>
    </row>
    <row r="21" spans="1:12" ht="20.100000000000001" customHeight="1">
      <c r="A21" s="63"/>
      <c r="B21" s="63"/>
      <c r="C21" s="63"/>
      <c r="D21" s="63"/>
      <c r="E21" s="63"/>
      <c r="F21" s="63"/>
      <c r="G21" s="63"/>
    </row>
    <row r="22" spans="1:12" ht="20.100000000000001" customHeight="1">
      <c r="A22" s="63"/>
      <c r="B22" s="63"/>
      <c r="C22" s="63"/>
      <c r="D22" s="63"/>
      <c r="E22" s="63"/>
      <c r="F22" s="63"/>
      <c r="G22" s="63"/>
    </row>
    <row r="23" spans="1:12" ht="20.100000000000001" customHeight="1">
      <c r="A23" s="63"/>
      <c r="B23" s="63"/>
      <c r="C23" s="63"/>
      <c r="D23" s="63"/>
      <c r="E23" s="63"/>
      <c r="F23" s="63"/>
      <c r="G23" s="63"/>
    </row>
    <row r="24" spans="1:12" ht="20.100000000000001" customHeight="1">
      <c r="A24" s="63"/>
      <c r="B24" s="63"/>
      <c r="C24" s="63"/>
      <c r="D24" s="63"/>
      <c r="E24" s="63"/>
      <c r="F24" s="63"/>
      <c r="G24" s="63"/>
    </row>
    <row r="25" spans="1:12" ht="20.100000000000001" customHeight="1">
      <c r="A25" s="63"/>
      <c r="B25" s="63"/>
      <c r="C25" s="63"/>
      <c r="D25" s="63"/>
    </row>
    <row r="26" spans="1:12" ht="20.100000000000001" customHeight="1">
      <c r="A26" s="63"/>
      <c r="B26" s="63"/>
      <c r="C26" s="63"/>
      <c r="D26" s="63"/>
    </row>
    <row r="27" spans="1:12" ht="20.100000000000001" customHeight="1">
      <c r="A27" s="63"/>
      <c r="B27" s="63"/>
      <c r="C27" s="63"/>
      <c r="D27" s="63"/>
    </row>
    <row r="28" spans="1:12" ht="20.100000000000001" customHeight="1">
      <c r="A28" s="63"/>
      <c r="B28" s="63"/>
      <c r="C28" s="63"/>
      <c r="D28" s="63"/>
    </row>
    <row r="29" spans="1:12" ht="20.100000000000001" customHeight="1">
      <c r="A29" s="63"/>
    </row>
    <row r="30" spans="1:12" ht="20.100000000000001" customHeight="1"/>
    <row r="31" spans="1:12" ht="20.100000000000001" customHeight="1"/>
    <row r="32" spans="1:12" ht="20.100000000000001" customHeight="1"/>
    <row r="33" s="860" customFormat="1" ht="20.100000000000001" customHeight="1"/>
    <row r="34" s="860" customFormat="1" ht="20.100000000000001" customHeight="1"/>
    <row r="35" s="860" customFormat="1" ht="20.100000000000001" customHeight="1"/>
    <row r="36" s="860" customFormat="1" ht="20.100000000000001" customHeight="1"/>
    <row r="37" s="860" customFormat="1" ht="20.100000000000001" customHeight="1"/>
    <row r="38" s="860" customFormat="1" ht="20.100000000000001" customHeight="1"/>
    <row r="39" s="860" customFormat="1" ht="20.100000000000001" customHeight="1"/>
    <row r="40" s="860" customFormat="1" ht="20.100000000000001" customHeight="1"/>
    <row r="41" s="860" customFormat="1" ht="20.100000000000001" customHeight="1"/>
  </sheetData>
  <mergeCells count="1">
    <mergeCell ref="H4:L4"/>
  </mergeCells>
  <pageMargins left="0.86614173228346503" right="0.17" top="0.74803149606299202" bottom="0.511811023622047" header="0.43307086614173201" footer="0.31496062992126"/>
  <pageSetup paperSize="9" firstPageNumber="38" orientation="portrait" r:id="rId1"/>
  <headerFooter alignWithMargins="0">
    <oddHeader>&amp;C&amp;"Times New Roman,Regular"&amp;13&amp;P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O56"/>
  <sheetViews>
    <sheetView workbookViewId="0">
      <selection activeCell="D13" sqref="D13"/>
    </sheetView>
  </sheetViews>
  <sheetFormatPr defaultColWidth="15.5703125" defaultRowHeight="16.5" customHeight="1"/>
  <cols>
    <col min="1" max="1" width="45.85546875" style="65" customWidth="1"/>
    <col min="2" max="2" width="12.28515625" style="65" customWidth="1"/>
    <col min="3" max="3" width="9.5703125" style="65" customWidth="1"/>
    <col min="4" max="4" width="9.7109375" style="65" customWidth="1"/>
    <col min="5" max="5" width="11.140625" style="65" customWidth="1"/>
    <col min="6" max="16384" width="15.5703125" style="65"/>
  </cols>
  <sheetData>
    <row r="1" spans="1:119" ht="20.100000000000001" customHeight="1">
      <c r="A1" s="881" t="s">
        <v>641</v>
      </c>
      <c r="B1" s="881"/>
      <c r="C1" s="881"/>
      <c r="D1" s="881"/>
      <c r="E1" s="881"/>
      <c r="F1" s="64"/>
      <c r="G1" s="64"/>
      <c r="H1" s="64"/>
    </row>
    <row r="2" spans="1:119" ht="10.15" customHeight="1">
      <c r="A2" s="66"/>
      <c r="C2" s="67"/>
      <c r="D2" s="67"/>
      <c r="E2" s="68" t="s">
        <v>61</v>
      </c>
    </row>
    <row r="3" spans="1:119" ht="15.6" customHeight="1">
      <c r="A3" s="69"/>
      <c r="B3" s="70" t="s">
        <v>62</v>
      </c>
      <c r="C3" s="70" t="s">
        <v>63</v>
      </c>
      <c r="D3" s="70" t="s">
        <v>63</v>
      </c>
      <c r="E3" s="70" t="s">
        <v>24</v>
      </c>
    </row>
    <row r="4" spans="1:119" ht="15.6" customHeight="1">
      <c r="A4" s="71"/>
      <c r="B4" s="72" t="s">
        <v>53</v>
      </c>
      <c r="C4" s="72" t="s">
        <v>53</v>
      </c>
      <c r="D4" s="72" t="s">
        <v>53</v>
      </c>
      <c r="E4" s="72" t="s">
        <v>53</v>
      </c>
    </row>
    <row r="5" spans="1:119" ht="15.6" customHeight="1">
      <c r="A5" s="71"/>
      <c r="B5" s="72" t="s">
        <v>64</v>
      </c>
      <c r="C5" s="72" t="s">
        <v>64</v>
      </c>
      <c r="D5" s="72" t="s">
        <v>64</v>
      </c>
      <c r="E5" s="72" t="s">
        <v>64</v>
      </c>
    </row>
    <row r="6" spans="1:119" ht="15.6" customHeight="1">
      <c r="A6" s="71"/>
      <c r="B6" s="72" t="s">
        <v>65</v>
      </c>
      <c r="C6" s="72" t="s">
        <v>66</v>
      </c>
      <c r="D6" s="72" t="s">
        <v>65</v>
      </c>
      <c r="E6" s="72" t="s">
        <v>67</v>
      </c>
    </row>
    <row r="7" spans="1:119" ht="15.6" customHeight="1">
      <c r="A7" s="71"/>
      <c r="B7" s="73" t="s">
        <v>68</v>
      </c>
      <c r="C7" s="73" t="s">
        <v>69</v>
      </c>
      <c r="D7" s="73" t="s">
        <v>68</v>
      </c>
      <c r="E7" s="73" t="s">
        <v>68</v>
      </c>
    </row>
    <row r="8" spans="1:119" ht="6" customHeight="1">
      <c r="A8" s="71"/>
      <c r="B8" s="72"/>
      <c r="C8" s="72"/>
      <c r="D8" s="72"/>
      <c r="E8" s="72"/>
    </row>
    <row r="9" spans="1:119" s="72" customFormat="1" ht="18.75" customHeight="1">
      <c r="A9" s="74" t="s">
        <v>70</v>
      </c>
      <c r="B9" s="75">
        <v>108.66</v>
      </c>
      <c r="C9" s="75">
        <v>100.12</v>
      </c>
      <c r="D9" s="75">
        <v>113.59</v>
      </c>
      <c r="E9" s="75">
        <v>109.05</v>
      </c>
      <c r="G9" s="76"/>
    </row>
    <row r="10" spans="1:119" s="79" customFormat="1" ht="15" customHeight="1">
      <c r="A10" s="77" t="s">
        <v>71</v>
      </c>
      <c r="B10" s="75">
        <v>100.14</v>
      </c>
      <c r="C10" s="75">
        <v>104.27</v>
      </c>
      <c r="D10" s="75">
        <v>122.42</v>
      </c>
      <c r="E10" s="75">
        <v>100.07</v>
      </c>
      <c r="F10" s="78"/>
      <c r="G10" s="76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</row>
    <row r="11" spans="1:119" ht="15" customHeight="1">
      <c r="A11" s="80" t="s">
        <v>72</v>
      </c>
      <c r="B11" s="81">
        <v>87.4</v>
      </c>
      <c r="C11" s="81">
        <v>115.42</v>
      </c>
      <c r="D11" s="81">
        <v>162.99</v>
      </c>
      <c r="E11" s="81">
        <v>105.83</v>
      </c>
      <c r="G11" s="76"/>
    </row>
    <row r="12" spans="1:119" ht="15" customHeight="1">
      <c r="A12" s="80" t="s">
        <v>73</v>
      </c>
      <c r="B12" s="81">
        <v>98.86</v>
      </c>
      <c r="C12" s="81">
        <v>106.8</v>
      </c>
      <c r="D12" s="81">
        <v>115.22</v>
      </c>
      <c r="E12" s="81">
        <v>95.29</v>
      </c>
      <c r="G12" s="76"/>
    </row>
    <row r="13" spans="1:119" ht="15" customHeight="1">
      <c r="A13" s="80" t="s">
        <v>74</v>
      </c>
      <c r="B13" s="81">
        <v>107.46</v>
      </c>
      <c r="C13" s="81">
        <v>99.2</v>
      </c>
      <c r="D13" s="81">
        <v>120.55</v>
      </c>
      <c r="E13" s="81">
        <v>99.94</v>
      </c>
      <c r="G13" s="76"/>
    </row>
    <row r="14" spans="1:119" s="82" customFormat="1" ht="15" customHeight="1">
      <c r="A14" s="80" t="s">
        <v>75</v>
      </c>
      <c r="B14" s="81">
        <v>110.8</v>
      </c>
      <c r="C14" s="81">
        <v>100.5</v>
      </c>
      <c r="D14" s="81">
        <v>116</v>
      </c>
      <c r="E14" s="81">
        <v>110.52</v>
      </c>
      <c r="G14" s="76"/>
    </row>
    <row r="15" spans="1:119" s="82" customFormat="1" ht="15" customHeight="1">
      <c r="A15" s="80" t="s">
        <v>76</v>
      </c>
      <c r="B15" s="81">
        <v>137.08000000000001</v>
      </c>
      <c r="C15" s="81">
        <v>68.430000000000007</v>
      </c>
      <c r="D15" s="81">
        <v>93.34</v>
      </c>
      <c r="E15" s="81">
        <v>99.83</v>
      </c>
      <c r="G15" s="76"/>
    </row>
    <row r="16" spans="1:119" ht="15" customHeight="1">
      <c r="A16" s="83" t="s">
        <v>77</v>
      </c>
      <c r="B16" s="75">
        <v>109.94</v>
      </c>
      <c r="C16" s="75">
        <v>100.26</v>
      </c>
      <c r="D16" s="75">
        <v>112.69</v>
      </c>
      <c r="E16" s="75">
        <v>110.36</v>
      </c>
      <c r="G16" s="76"/>
    </row>
    <row r="17" spans="1:119" ht="15" customHeight="1">
      <c r="A17" s="80" t="s">
        <v>78</v>
      </c>
      <c r="B17" s="81">
        <v>110.98</v>
      </c>
      <c r="C17" s="81">
        <v>99.47</v>
      </c>
      <c r="D17" s="81">
        <v>113.13</v>
      </c>
      <c r="E17" s="81">
        <v>110.55</v>
      </c>
      <c r="G17" s="76"/>
    </row>
    <row r="18" spans="1:119" ht="15" customHeight="1">
      <c r="A18" s="80" t="s">
        <v>79</v>
      </c>
      <c r="B18" s="81">
        <v>109.83</v>
      </c>
      <c r="C18" s="81">
        <v>105.63</v>
      </c>
      <c r="D18" s="81">
        <v>112.64</v>
      </c>
      <c r="E18" s="81">
        <v>103.8</v>
      </c>
      <c r="G18" s="76"/>
    </row>
    <row r="19" spans="1:119" ht="15" customHeight="1">
      <c r="A19" s="80" t="s">
        <v>80</v>
      </c>
      <c r="B19" s="81">
        <v>104.53</v>
      </c>
      <c r="C19" s="81">
        <v>100.8</v>
      </c>
      <c r="D19" s="81">
        <v>106.78</v>
      </c>
      <c r="E19" s="81">
        <v>106.19</v>
      </c>
      <c r="G19" s="76"/>
    </row>
    <row r="20" spans="1:119" ht="15" customHeight="1">
      <c r="A20" s="80" t="s">
        <v>81</v>
      </c>
      <c r="B20" s="81">
        <v>106.75</v>
      </c>
      <c r="C20" s="81">
        <v>101.37</v>
      </c>
      <c r="D20" s="81">
        <v>114.82</v>
      </c>
      <c r="E20" s="81">
        <v>108.68</v>
      </c>
      <c r="G20" s="76"/>
    </row>
    <row r="21" spans="1:119" ht="15" customHeight="1">
      <c r="A21" s="80" t="s">
        <v>82</v>
      </c>
      <c r="B21" s="81">
        <v>104.04</v>
      </c>
      <c r="C21" s="81">
        <v>102.23</v>
      </c>
      <c r="D21" s="81">
        <v>114.88</v>
      </c>
      <c r="E21" s="81">
        <v>113.53</v>
      </c>
      <c r="G21" s="76"/>
    </row>
    <row r="22" spans="1:119" ht="15" customHeight="1">
      <c r="A22" s="80" t="s">
        <v>83</v>
      </c>
      <c r="B22" s="81">
        <v>103.45</v>
      </c>
      <c r="C22" s="81">
        <v>103.2</v>
      </c>
      <c r="D22" s="81">
        <v>108.19</v>
      </c>
      <c r="E22" s="81">
        <v>112.46</v>
      </c>
      <c r="G22" s="76"/>
    </row>
    <row r="23" spans="1:119" ht="40.15" customHeight="1">
      <c r="A23" s="80" t="s">
        <v>84</v>
      </c>
      <c r="B23" s="81">
        <v>107.19</v>
      </c>
      <c r="C23" s="81">
        <v>100.58</v>
      </c>
      <c r="D23" s="81">
        <v>114.52</v>
      </c>
      <c r="E23" s="81">
        <v>110.29</v>
      </c>
      <c r="G23" s="76"/>
    </row>
    <row r="24" spans="1:119" ht="15" customHeight="1">
      <c r="A24" s="80" t="s">
        <v>85</v>
      </c>
      <c r="B24" s="81">
        <v>109.97</v>
      </c>
      <c r="C24" s="81">
        <v>100.87</v>
      </c>
      <c r="D24" s="81">
        <v>116.88</v>
      </c>
      <c r="E24" s="81">
        <v>110.34</v>
      </c>
      <c r="G24" s="76"/>
    </row>
    <row r="25" spans="1:119" ht="15" customHeight="1">
      <c r="A25" s="80" t="s">
        <v>86</v>
      </c>
      <c r="B25" s="81">
        <v>111.06</v>
      </c>
      <c r="C25" s="81">
        <v>97.96</v>
      </c>
      <c r="D25" s="81">
        <v>110.72</v>
      </c>
      <c r="E25" s="81">
        <v>109.44</v>
      </c>
      <c r="G25" s="76"/>
    </row>
    <row r="26" spans="1:119" ht="15" customHeight="1">
      <c r="A26" s="80" t="s">
        <v>87</v>
      </c>
      <c r="B26" s="81">
        <v>98.77</v>
      </c>
      <c r="C26" s="81">
        <v>96.51</v>
      </c>
      <c r="D26" s="81">
        <v>122.35</v>
      </c>
      <c r="E26" s="81">
        <v>108.68</v>
      </c>
      <c r="G26" s="76"/>
    </row>
    <row r="27" spans="1:119" s="84" customFormat="1" ht="15" customHeight="1">
      <c r="A27" s="80" t="s">
        <v>88</v>
      </c>
      <c r="B27" s="81">
        <v>108.95</v>
      </c>
      <c r="C27" s="81">
        <v>109.85</v>
      </c>
      <c r="D27" s="81">
        <v>117.86</v>
      </c>
      <c r="E27" s="81">
        <v>108.52</v>
      </c>
      <c r="F27" s="65"/>
      <c r="G27" s="76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</row>
    <row r="28" spans="1:119" ht="15" customHeight="1">
      <c r="A28" s="80" t="s">
        <v>89</v>
      </c>
      <c r="B28" s="81">
        <v>95.93</v>
      </c>
      <c r="C28" s="81">
        <v>103.23</v>
      </c>
      <c r="D28" s="81">
        <v>105.29</v>
      </c>
      <c r="E28" s="81">
        <v>96.85</v>
      </c>
      <c r="G28" s="76"/>
    </row>
    <row r="29" spans="1:119" ht="15" customHeight="1">
      <c r="A29" s="80" t="s">
        <v>90</v>
      </c>
      <c r="B29" s="81">
        <v>118</v>
      </c>
      <c r="C29" s="81">
        <v>95.22</v>
      </c>
      <c r="D29" s="81">
        <v>119.49</v>
      </c>
      <c r="E29" s="81">
        <v>117.32</v>
      </c>
      <c r="G29" s="76"/>
    </row>
    <row r="30" spans="1:119" ht="15" customHeight="1">
      <c r="A30" s="80" t="s">
        <v>91</v>
      </c>
      <c r="B30" s="81">
        <v>116.27</v>
      </c>
      <c r="C30" s="81">
        <v>95.84</v>
      </c>
      <c r="D30" s="81">
        <v>122.94</v>
      </c>
      <c r="E30" s="81">
        <v>115.55</v>
      </c>
      <c r="G30" s="76"/>
    </row>
    <row r="31" spans="1:119" ht="15" customHeight="1">
      <c r="A31" s="80" t="s">
        <v>92</v>
      </c>
      <c r="B31" s="81">
        <v>110.03</v>
      </c>
      <c r="C31" s="81">
        <v>92.69</v>
      </c>
      <c r="D31" s="81">
        <v>118.33</v>
      </c>
      <c r="E31" s="81">
        <v>111.27</v>
      </c>
      <c r="G31" s="76"/>
    </row>
    <row r="32" spans="1:119" ht="27.6" customHeight="1">
      <c r="A32" s="80" t="s">
        <v>93</v>
      </c>
      <c r="B32" s="81">
        <v>116.28</v>
      </c>
      <c r="C32" s="81">
        <v>100.57</v>
      </c>
      <c r="D32" s="81">
        <v>118.07</v>
      </c>
      <c r="E32" s="81">
        <v>112.65</v>
      </c>
      <c r="G32" s="76"/>
    </row>
    <row r="33" spans="1:7" ht="28.15" customHeight="1">
      <c r="A33" s="80" t="s">
        <v>94</v>
      </c>
      <c r="B33" s="81">
        <v>113</v>
      </c>
      <c r="C33" s="81">
        <v>103.48</v>
      </c>
      <c r="D33" s="81">
        <v>107.05</v>
      </c>
      <c r="E33" s="81">
        <v>107.94</v>
      </c>
      <c r="G33" s="76"/>
    </row>
    <row r="34" spans="1:7" ht="15" customHeight="1">
      <c r="A34" s="80" t="s">
        <v>95</v>
      </c>
      <c r="B34" s="81">
        <v>115.72</v>
      </c>
      <c r="C34" s="81">
        <v>101.46</v>
      </c>
      <c r="D34" s="81">
        <v>111.78</v>
      </c>
      <c r="E34" s="81">
        <v>105.88</v>
      </c>
      <c r="G34" s="76"/>
    </row>
    <row r="35" spans="1:7" ht="15" customHeight="1">
      <c r="A35" s="80" t="s">
        <v>96</v>
      </c>
      <c r="B35" s="81">
        <v>98.71</v>
      </c>
      <c r="C35" s="81">
        <v>91.41</v>
      </c>
      <c r="D35" s="81">
        <v>107.74</v>
      </c>
      <c r="E35" s="81">
        <v>104.68</v>
      </c>
      <c r="G35" s="76"/>
    </row>
    <row r="36" spans="1:7" ht="15" customHeight="1">
      <c r="A36" s="80" t="s">
        <v>97</v>
      </c>
      <c r="B36" s="85">
        <v>114.76</v>
      </c>
      <c r="C36" s="85">
        <v>98.46</v>
      </c>
      <c r="D36" s="85">
        <v>116.82</v>
      </c>
      <c r="E36" s="85">
        <v>125.97</v>
      </c>
      <c r="G36" s="76"/>
    </row>
    <row r="37" spans="1:7" s="82" customFormat="1" ht="15" customHeight="1">
      <c r="A37" s="80" t="s">
        <v>98</v>
      </c>
      <c r="B37" s="85">
        <v>101.27</v>
      </c>
      <c r="C37" s="85">
        <v>88.13</v>
      </c>
      <c r="D37" s="85">
        <v>110.06</v>
      </c>
      <c r="E37" s="85">
        <v>109.43</v>
      </c>
      <c r="G37" s="76"/>
    </row>
    <row r="38" spans="1:7" s="82" customFormat="1" ht="15" customHeight="1">
      <c r="A38" s="80" t="s">
        <v>99</v>
      </c>
      <c r="B38" s="81">
        <v>102.13</v>
      </c>
      <c r="C38" s="81">
        <v>100.95</v>
      </c>
      <c r="D38" s="81">
        <v>105.96</v>
      </c>
      <c r="E38" s="81">
        <v>110.4</v>
      </c>
      <c r="G38" s="76"/>
    </row>
    <row r="39" spans="1:7" s="82" customFormat="1" ht="15" customHeight="1">
      <c r="A39" s="80" t="s">
        <v>100</v>
      </c>
      <c r="B39" s="85">
        <v>106.77</v>
      </c>
      <c r="C39" s="85">
        <v>99.78</v>
      </c>
      <c r="D39" s="85">
        <v>108.87</v>
      </c>
      <c r="E39" s="85">
        <v>107.07</v>
      </c>
      <c r="G39" s="76"/>
    </row>
    <row r="40" spans="1:7" s="82" customFormat="1" ht="15" customHeight="1">
      <c r="A40" s="80" t="s">
        <v>101</v>
      </c>
      <c r="B40" s="85">
        <v>116.85</v>
      </c>
      <c r="C40" s="85">
        <v>95.56</v>
      </c>
      <c r="D40" s="85">
        <v>123.02</v>
      </c>
      <c r="E40" s="85">
        <v>115.18</v>
      </c>
      <c r="G40" s="76"/>
    </row>
    <row r="41" spans="1:7" ht="15" customHeight="1">
      <c r="A41" s="86" t="s">
        <v>102</v>
      </c>
      <c r="B41" s="75">
        <v>106.23</v>
      </c>
      <c r="C41" s="75">
        <v>94.79</v>
      </c>
      <c r="D41" s="75">
        <v>115.37</v>
      </c>
      <c r="E41" s="75">
        <v>106.1</v>
      </c>
      <c r="G41" s="76"/>
    </row>
    <row r="42" spans="1:7" ht="28.15" customHeight="1">
      <c r="A42" s="86" t="s">
        <v>103</v>
      </c>
      <c r="B42" s="75">
        <v>100.42</v>
      </c>
      <c r="C42" s="75">
        <v>102.14</v>
      </c>
      <c r="D42" s="75">
        <v>108.68</v>
      </c>
      <c r="E42" s="75">
        <v>108.79</v>
      </c>
      <c r="G42" s="76"/>
    </row>
    <row r="43" spans="1:7" ht="15" customHeight="1">
      <c r="A43" s="80" t="s">
        <v>104</v>
      </c>
      <c r="B43" s="81">
        <v>104.93</v>
      </c>
      <c r="C43" s="87">
        <v>100.91</v>
      </c>
      <c r="D43" s="87">
        <v>106.46</v>
      </c>
      <c r="E43" s="87">
        <v>103.64</v>
      </c>
      <c r="G43" s="76"/>
    </row>
    <row r="44" spans="1:7" ht="15" customHeight="1">
      <c r="A44" s="80" t="s">
        <v>105</v>
      </c>
      <c r="B44" s="87">
        <v>110.1</v>
      </c>
      <c r="C44" s="87">
        <v>101.7</v>
      </c>
      <c r="D44" s="87">
        <v>110.4</v>
      </c>
      <c r="E44" s="87">
        <v>109.5</v>
      </c>
      <c r="G44" s="76"/>
    </row>
    <row r="45" spans="1:7" ht="27" customHeight="1">
      <c r="A45" s="80" t="s">
        <v>106</v>
      </c>
      <c r="B45" s="88">
        <v>94.72</v>
      </c>
      <c r="C45" s="88">
        <v>103.49</v>
      </c>
      <c r="D45" s="88">
        <v>110.78</v>
      </c>
      <c r="E45" s="88">
        <v>114.66</v>
      </c>
      <c r="G45" s="76"/>
    </row>
    <row r="47" spans="1:7" ht="16.5" customHeight="1">
      <c r="B47" s="89"/>
      <c r="C47" s="89"/>
      <c r="D47" s="89"/>
      <c r="E47" s="89"/>
    </row>
    <row r="48" spans="1:7" ht="16.5" customHeight="1">
      <c r="B48" s="90"/>
      <c r="C48" s="90"/>
      <c r="D48" s="90"/>
      <c r="E48" s="90"/>
    </row>
    <row r="49" spans="2:5" ht="16.5" customHeight="1">
      <c r="B49" s="90"/>
      <c r="C49" s="90"/>
      <c r="D49" s="90"/>
      <c r="E49" s="90"/>
    </row>
    <row r="50" spans="2:5" ht="16.5" customHeight="1">
      <c r="B50" s="90"/>
      <c r="C50" s="90"/>
      <c r="D50" s="90"/>
      <c r="E50" s="90"/>
    </row>
    <row r="51" spans="2:5" ht="16.5" customHeight="1">
      <c r="B51" s="90"/>
      <c r="C51" s="90"/>
      <c r="D51" s="90"/>
      <c r="E51" s="90"/>
    </row>
    <row r="52" spans="2:5" ht="16.5" customHeight="1">
      <c r="B52" s="87"/>
      <c r="C52" s="87"/>
      <c r="D52" s="87"/>
      <c r="E52" s="87"/>
    </row>
    <row r="53" spans="2:5" ht="16.5" customHeight="1">
      <c r="B53" s="87"/>
      <c r="C53" s="87"/>
      <c r="D53" s="87"/>
      <c r="E53" s="87"/>
    </row>
    <row r="54" spans="2:5" ht="16.5" customHeight="1">
      <c r="E54" s="91"/>
    </row>
    <row r="55" spans="2:5" ht="16.5" customHeight="1">
      <c r="E55" s="91"/>
    </row>
    <row r="56" spans="2:5" ht="16.5" customHeight="1">
      <c r="E56" s="91"/>
    </row>
  </sheetData>
  <mergeCells count="1">
    <mergeCell ref="A1:E1"/>
  </mergeCells>
  <pageMargins left="0.86614173228346503" right="0.17" top="0.74803149606299202" bottom="0.511811023622047" header="0.43307086614173201" footer="0.31496062992126"/>
  <pageSetup paperSize="9" firstPageNumber="38" orientation="portrait" r:id="rId1"/>
  <headerFooter alignWithMargins="0">
    <oddHeader>&amp;C&amp;"Times New Roman,Regular"&amp;13&amp;P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O52"/>
  <sheetViews>
    <sheetView workbookViewId="0">
      <selection activeCell="D13" sqref="D13"/>
    </sheetView>
  </sheetViews>
  <sheetFormatPr defaultColWidth="16.42578125" defaultRowHeight="16.5" customHeight="1"/>
  <cols>
    <col min="1" max="1" width="52.85546875" style="65" customWidth="1"/>
    <col min="2" max="4" width="12.140625" style="65" customWidth="1"/>
    <col min="5" max="16384" width="16.42578125" style="65"/>
  </cols>
  <sheetData>
    <row r="1" spans="1:119" ht="20.100000000000001" customHeight="1">
      <c r="A1" s="881" t="s">
        <v>107</v>
      </c>
      <c r="B1" s="881"/>
    </row>
    <row r="2" spans="1:119" ht="20.100000000000001" customHeight="1">
      <c r="A2" s="92"/>
      <c r="B2" s="93"/>
      <c r="C2" s="93"/>
      <c r="D2" s="68" t="s">
        <v>61</v>
      </c>
    </row>
    <row r="3" spans="1:119" ht="15" customHeight="1">
      <c r="A3" s="94"/>
      <c r="B3" s="95" t="s">
        <v>2</v>
      </c>
      <c r="C3" s="95" t="s">
        <v>2</v>
      </c>
      <c r="D3" s="95" t="s">
        <v>19</v>
      </c>
    </row>
    <row r="4" spans="1:119" ht="15" customHeight="1">
      <c r="A4" s="96"/>
      <c r="B4" s="97" t="s">
        <v>41</v>
      </c>
      <c r="C4" s="97" t="s">
        <v>22</v>
      </c>
      <c r="D4" s="97" t="s">
        <v>42</v>
      </c>
    </row>
    <row r="5" spans="1:119" ht="15" customHeight="1">
      <c r="A5" s="96"/>
      <c r="B5" s="97" t="s">
        <v>53</v>
      </c>
      <c r="C5" s="97" t="s">
        <v>53</v>
      </c>
      <c r="D5" s="97" t="s">
        <v>53</v>
      </c>
    </row>
    <row r="6" spans="1:119" ht="15" customHeight="1">
      <c r="A6" s="96"/>
      <c r="B6" s="97" t="s">
        <v>64</v>
      </c>
      <c r="C6" s="97" t="s">
        <v>64</v>
      </c>
      <c r="D6" s="97" t="s">
        <v>64</v>
      </c>
    </row>
    <row r="7" spans="1:119" ht="15" customHeight="1">
      <c r="A7" s="96"/>
      <c r="B7" s="97" t="s">
        <v>65</v>
      </c>
      <c r="C7" s="97" t="s">
        <v>65</v>
      </c>
      <c r="D7" s="97" t="s">
        <v>65</v>
      </c>
    </row>
    <row r="8" spans="1:119" ht="15" customHeight="1">
      <c r="A8" s="96"/>
      <c r="B8" s="98" t="s">
        <v>68</v>
      </c>
      <c r="C8" s="98" t="s">
        <v>68</v>
      </c>
      <c r="D8" s="98" t="s">
        <v>68</v>
      </c>
    </row>
    <row r="9" spans="1:119" s="72" customFormat="1" ht="1.9" customHeight="1">
      <c r="A9" s="96"/>
      <c r="B9" s="99"/>
      <c r="C9" s="93"/>
      <c r="D9" s="93"/>
      <c r="E9" s="65"/>
    </row>
    <row r="10" spans="1:119" s="79" customFormat="1" ht="15.6" customHeight="1">
      <c r="A10" s="74" t="s">
        <v>70</v>
      </c>
      <c r="B10" s="100">
        <v>108.3</v>
      </c>
      <c r="C10" s="100">
        <v>109.3</v>
      </c>
      <c r="D10" s="100">
        <v>109.96</v>
      </c>
      <c r="E10" s="72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</row>
    <row r="11" spans="1:119" ht="15.95" customHeight="1">
      <c r="A11" s="77" t="s">
        <v>71</v>
      </c>
      <c r="B11" s="100">
        <v>95.37</v>
      </c>
      <c r="C11" s="100">
        <v>97.7</v>
      </c>
      <c r="D11" s="100">
        <v>108.24</v>
      </c>
      <c r="E11" s="78"/>
    </row>
    <row r="12" spans="1:119" ht="15.95" customHeight="1">
      <c r="A12" s="80" t="s">
        <v>72</v>
      </c>
      <c r="B12" s="101">
        <v>105.69</v>
      </c>
      <c r="C12" s="101">
        <v>102.2</v>
      </c>
      <c r="D12" s="101">
        <v>111.35</v>
      </c>
    </row>
    <row r="13" spans="1:119" ht="15.95" customHeight="1">
      <c r="A13" s="80" t="s">
        <v>73</v>
      </c>
      <c r="B13" s="101">
        <v>89.19</v>
      </c>
      <c r="C13" s="101">
        <v>93.1</v>
      </c>
      <c r="D13" s="101">
        <v>104.76</v>
      </c>
    </row>
    <row r="14" spans="1:119" s="82" customFormat="1" ht="15.95" customHeight="1">
      <c r="A14" s="80" t="s">
        <v>74</v>
      </c>
      <c r="B14" s="101">
        <v>106.29</v>
      </c>
      <c r="C14" s="101">
        <v>92.8</v>
      </c>
      <c r="D14" s="101">
        <v>102.27</v>
      </c>
      <c r="E14" s="65"/>
    </row>
    <row r="15" spans="1:119" ht="15.95" customHeight="1">
      <c r="A15" s="80" t="s">
        <v>75</v>
      </c>
      <c r="B15" s="101">
        <v>105.11</v>
      </c>
      <c r="C15" s="101">
        <v>111.1</v>
      </c>
      <c r="D15" s="101">
        <v>114.79</v>
      </c>
      <c r="E15" s="82"/>
    </row>
    <row r="16" spans="1:119" ht="15.95" customHeight="1">
      <c r="A16" s="80" t="s">
        <v>76</v>
      </c>
      <c r="B16" s="101">
        <v>89.16</v>
      </c>
      <c r="C16" s="101">
        <v>95.3</v>
      </c>
      <c r="D16" s="101">
        <v>116.06</v>
      </c>
    </row>
    <row r="17" spans="1:15" ht="15.95" customHeight="1">
      <c r="A17" s="83" t="s">
        <v>77</v>
      </c>
      <c r="B17" s="100">
        <v>109.94</v>
      </c>
      <c r="C17" s="100">
        <v>111.3</v>
      </c>
      <c r="D17" s="100">
        <v>110.15</v>
      </c>
    </row>
    <row r="18" spans="1:15" ht="15.95" customHeight="1">
      <c r="A18" s="80" t="s">
        <v>78</v>
      </c>
      <c r="B18" s="101">
        <v>108.64</v>
      </c>
      <c r="C18" s="101">
        <v>111.4</v>
      </c>
      <c r="D18" s="101">
        <v>111.36</v>
      </c>
    </row>
    <row r="19" spans="1:15" ht="15.95" customHeight="1">
      <c r="A19" s="80" t="s">
        <v>79</v>
      </c>
      <c r="B19" s="101">
        <v>97.77</v>
      </c>
      <c r="C19" s="101">
        <v>104.9</v>
      </c>
      <c r="D19" s="101">
        <v>108.53</v>
      </c>
    </row>
    <row r="20" spans="1:15" ht="15.95" customHeight="1">
      <c r="A20" s="80" t="s">
        <v>80</v>
      </c>
      <c r="B20" s="101">
        <v>101.66</v>
      </c>
      <c r="C20" s="101">
        <v>109.7</v>
      </c>
      <c r="D20" s="101">
        <v>106.94</v>
      </c>
    </row>
    <row r="21" spans="1:15" ht="15.95" customHeight="1">
      <c r="A21" s="80" t="s">
        <v>81</v>
      </c>
      <c r="B21" s="101">
        <v>110.09</v>
      </c>
      <c r="C21" s="101">
        <v>106.6</v>
      </c>
      <c r="D21" s="101">
        <v>109.42</v>
      </c>
    </row>
    <row r="22" spans="1:15" ht="15.95" customHeight="1">
      <c r="A22" s="80" t="s">
        <v>82</v>
      </c>
      <c r="B22" s="101">
        <v>114.83</v>
      </c>
      <c r="C22" s="101">
        <v>115.9</v>
      </c>
      <c r="D22" s="101">
        <v>110.36</v>
      </c>
    </row>
    <row r="23" spans="1:15" ht="15.95" customHeight="1">
      <c r="A23" s="80" t="s">
        <v>83</v>
      </c>
      <c r="B23" s="101">
        <v>117.96</v>
      </c>
      <c r="C23" s="101">
        <v>114.4</v>
      </c>
      <c r="D23" s="101">
        <v>105.66</v>
      </c>
    </row>
    <row r="24" spans="1:15" ht="40.15" customHeight="1">
      <c r="A24" s="80" t="s">
        <v>108</v>
      </c>
      <c r="B24" s="101">
        <v>116.15</v>
      </c>
      <c r="C24" s="101">
        <v>106.3</v>
      </c>
      <c r="D24" s="101">
        <v>108.8</v>
      </c>
    </row>
    <row r="25" spans="1:15" ht="15.95" customHeight="1">
      <c r="A25" s="80" t="s">
        <v>85</v>
      </c>
      <c r="B25" s="101">
        <v>108.32</v>
      </c>
      <c r="C25" s="101">
        <v>109.9</v>
      </c>
      <c r="D25" s="101">
        <v>112.35</v>
      </c>
    </row>
    <row r="26" spans="1:15" ht="15.95" customHeight="1">
      <c r="A26" s="80" t="s">
        <v>86</v>
      </c>
      <c r="B26" s="101">
        <v>104.48</v>
      </c>
      <c r="C26" s="101">
        <v>111.2</v>
      </c>
      <c r="D26" s="101">
        <v>111.96</v>
      </c>
    </row>
    <row r="27" spans="1:15" ht="15.95" customHeight="1">
      <c r="A27" s="80" t="s">
        <v>87</v>
      </c>
      <c r="B27" s="101">
        <v>106.1</v>
      </c>
      <c r="C27" s="101">
        <v>114.1</v>
      </c>
      <c r="D27" s="101">
        <v>106.64</v>
      </c>
    </row>
    <row r="28" spans="1:15" ht="15.95" customHeight="1">
      <c r="A28" s="80" t="s">
        <v>88</v>
      </c>
      <c r="B28" s="101">
        <v>104.29</v>
      </c>
      <c r="C28" s="101">
        <v>109.4</v>
      </c>
      <c r="D28" s="101">
        <v>111.36</v>
      </c>
    </row>
    <row r="29" spans="1:15" ht="15.95" customHeight="1">
      <c r="A29" s="80" t="s">
        <v>89</v>
      </c>
      <c r="B29" s="101">
        <v>95.9</v>
      </c>
      <c r="C29" s="101">
        <v>91.7</v>
      </c>
      <c r="D29" s="101">
        <v>102.93</v>
      </c>
    </row>
    <row r="30" spans="1:15" ht="15.95" customHeight="1">
      <c r="A30" s="80" t="s">
        <v>90</v>
      </c>
      <c r="B30" s="101">
        <v>115.57</v>
      </c>
      <c r="C30" s="101">
        <v>118.2</v>
      </c>
      <c r="D30" s="101">
        <v>118.25</v>
      </c>
    </row>
    <row r="31" spans="1:15" ht="15.95" customHeight="1">
      <c r="A31" s="80" t="s">
        <v>91</v>
      </c>
      <c r="B31" s="101">
        <v>107.79</v>
      </c>
      <c r="C31" s="101">
        <v>118.9</v>
      </c>
      <c r="D31" s="101">
        <v>119.56</v>
      </c>
      <c r="F31" s="82"/>
      <c r="G31" s="82"/>
      <c r="H31" s="82"/>
      <c r="I31" s="82"/>
      <c r="J31" s="82"/>
      <c r="K31" s="82"/>
      <c r="L31" s="82"/>
      <c r="M31" s="82"/>
      <c r="N31" s="82"/>
      <c r="O31" s="82"/>
    </row>
    <row r="32" spans="1:15" s="82" customFormat="1" ht="15.95" customHeight="1">
      <c r="A32" s="80" t="s">
        <v>92</v>
      </c>
      <c r="B32" s="101">
        <v>103.18</v>
      </c>
      <c r="C32" s="101">
        <v>116.3</v>
      </c>
      <c r="D32" s="101">
        <v>114.64</v>
      </c>
    </row>
    <row r="33" spans="1:15" s="82" customFormat="1" ht="15.95" customHeight="1">
      <c r="A33" s="80" t="s">
        <v>109</v>
      </c>
      <c r="B33" s="101">
        <v>108.98</v>
      </c>
      <c r="C33" s="101">
        <v>112.4</v>
      </c>
      <c r="D33" s="101">
        <v>116.16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4" spans="1:15" ht="15.95" customHeight="1">
      <c r="A34" s="80" t="s">
        <v>110</v>
      </c>
      <c r="B34" s="101">
        <v>110.31</v>
      </c>
      <c r="C34" s="101">
        <v>106.9</v>
      </c>
      <c r="D34" s="101">
        <v>107.21</v>
      </c>
    </row>
    <row r="35" spans="1:15" ht="15.95" customHeight="1">
      <c r="A35" s="80" t="s">
        <v>95</v>
      </c>
      <c r="B35" s="101">
        <v>99.13</v>
      </c>
      <c r="C35" s="101">
        <v>101.5</v>
      </c>
      <c r="D35" s="101">
        <v>115.45</v>
      </c>
    </row>
    <row r="36" spans="1:15" ht="15.95" customHeight="1">
      <c r="A36" s="80" t="s">
        <v>96</v>
      </c>
      <c r="B36" s="101">
        <v>106.95</v>
      </c>
      <c r="C36" s="101">
        <v>106.8</v>
      </c>
      <c r="D36" s="101">
        <v>100.78</v>
      </c>
    </row>
    <row r="37" spans="1:15" ht="15.95" customHeight="1">
      <c r="A37" s="80" t="s">
        <v>97</v>
      </c>
      <c r="B37" s="101">
        <v>137.78</v>
      </c>
      <c r="C37" s="101">
        <v>132.19999999999999</v>
      </c>
      <c r="D37" s="101">
        <v>115.85</v>
      </c>
    </row>
    <row r="38" spans="1:15" ht="15.95" customHeight="1">
      <c r="A38" s="80" t="s">
        <v>98</v>
      </c>
      <c r="B38" s="101">
        <v>109.32</v>
      </c>
      <c r="C38" s="101">
        <v>120.1</v>
      </c>
      <c r="D38" s="101">
        <v>101.49</v>
      </c>
    </row>
    <row r="39" spans="1:15" ht="15.95" customHeight="1">
      <c r="A39" s="80" t="s">
        <v>99</v>
      </c>
      <c r="B39" s="101">
        <v>112.57</v>
      </c>
      <c r="C39" s="101">
        <v>110.3</v>
      </c>
      <c r="D39" s="101">
        <v>108.9</v>
      </c>
    </row>
    <row r="40" spans="1:15" ht="15.95" customHeight="1">
      <c r="A40" s="80" t="s">
        <v>100</v>
      </c>
      <c r="B40" s="102">
        <v>108.39</v>
      </c>
      <c r="C40" s="102">
        <v>106.6</v>
      </c>
      <c r="D40" s="102">
        <v>106.44</v>
      </c>
    </row>
    <row r="41" spans="1:15" ht="15.95" customHeight="1">
      <c r="A41" s="80" t="s">
        <v>101</v>
      </c>
      <c r="B41" s="102">
        <v>112.91</v>
      </c>
      <c r="C41" s="102">
        <v>117.1</v>
      </c>
      <c r="D41" s="102">
        <v>117.91</v>
      </c>
    </row>
    <row r="42" spans="1:15" ht="15.95" customHeight="1">
      <c r="A42" s="86" t="s">
        <v>102</v>
      </c>
      <c r="B42" s="100">
        <v>105.33</v>
      </c>
      <c r="C42" s="103">
        <v>103.1</v>
      </c>
      <c r="D42" s="103">
        <v>109.82</v>
      </c>
    </row>
    <row r="43" spans="1:15" ht="29.45" customHeight="1">
      <c r="A43" s="86" t="s">
        <v>111</v>
      </c>
      <c r="B43" s="100">
        <v>111.06</v>
      </c>
      <c r="C43" s="100">
        <v>110.4</v>
      </c>
      <c r="D43" s="100">
        <v>105.32</v>
      </c>
    </row>
    <row r="44" spans="1:15" ht="15.95" customHeight="1">
      <c r="A44" s="80" t="s">
        <v>104</v>
      </c>
      <c r="B44" s="101">
        <v>102.43</v>
      </c>
      <c r="C44" s="101">
        <v>103.1</v>
      </c>
      <c r="D44" s="101">
        <v>104.92</v>
      </c>
    </row>
    <row r="45" spans="1:15" ht="15.95" customHeight="1">
      <c r="A45" s="80" t="s">
        <v>105</v>
      </c>
      <c r="B45" s="104">
        <v>106.83</v>
      </c>
      <c r="C45" s="104">
        <v>110.2</v>
      </c>
      <c r="D45" s="105">
        <v>111.11</v>
      </c>
    </row>
    <row r="46" spans="1:15" ht="15.95" customHeight="1">
      <c r="A46" s="80" t="s">
        <v>112</v>
      </c>
      <c r="B46" s="87">
        <v>122.89</v>
      </c>
      <c r="C46" s="87">
        <v>119.3</v>
      </c>
      <c r="D46" s="87">
        <v>104.87</v>
      </c>
    </row>
    <row r="47" spans="1:15" ht="15.95" customHeight="1">
      <c r="A47" s="93"/>
    </row>
    <row r="48" spans="1:15" ht="15.95" customHeight="1">
      <c r="A48" s="93"/>
      <c r="B48" s="106"/>
      <c r="C48" s="107"/>
      <c r="D48" s="93"/>
    </row>
    <row r="49" spans="2:4" ht="15.95" customHeight="1">
      <c r="B49" s="108"/>
      <c r="C49" s="107"/>
      <c r="D49" s="93"/>
    </row>
    <row r="50" spans="2:4" ht="15.95" customHeight="1">
      <c r="B50" s="108"/>
      <c r="C50" s="76"/>
    </row>
    <row r="51" spans="2:4" ht="16.5" customHeight="1">
      <c r="B51" s="108"/>
      <c r="C51" s="76"/>
    </row>
    <row r="52" spans="2:4" ht="16.5" customHeight="1">
      <c r="B52" s="108"/>
      <c r="C52" s="76"/>
    </row>
  </sheetData>
  <mergeCells count="1">
    <mergeCell ref="A1:B1"/>
  </mergeCells>
  <pageMargins left="0.86614173228346503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64"/>
  <sheetViews>
    <sheetView workbookViewId="0">
      <pane xSplit="2" ySplit="6" topLeftCell="C28" activePane="bottomRight" state="frozen"/>
      <selection activeCell="D13" sqref="D13"/>
      <selection pane="topRight" activeCell="D13" sqref="D13"/>
      <selection pane="bottomLeft" activeCell="D13" sqref="D13"/>
      <selection pane="bottomRight" activeCell="D13" sqref="D13"/>
    </sheetView>
  </sheetViews>
  <sheetFormatPr defaultRowHeight="18" customHeight="1"/>
  <cols>
    <col min="1" max="1" width="23.28515625" style="111" customWidth="1"/>
    <col min="2" max="2" width="11.85546875" style="111" customWidth="1"/>
    <col min="3" max="5" width="11.140625" style="111" customWidth="1"/>
    <col min="6" max="6" width="12" style="111" customWidth="1"/>
    <col min="7" max="7" width="10.5703125" style="111" customWidth="1"/>
    <col min="8" max="221" width="9.140625" style="111"/>
    <col min="222" max="222" width="37.7109375" style="111" customWidth="1"/>
    <col min="223" max="223" width="11.42578125" style="111" bestFit="1" customWidth="1"/>
    <col min="224" max="224" width="8.85546875" style="111" bestFit="1" customWidth="1"/>
    <col min="225" max="225" width="7.7109375" style="111" bestFit="1" customWidth="1"/>
    <col min="226" max="226" width="8.28515625" style="111" bestFit="1" customWidth="1"/>
    <col min="227" max="228" width="11.85546875" style="111" customWidth="1"/>
    <col min="229" max="477" width="9.140625" style="111"/>
    <col min="478" max="478" width="37.7109375" style="111" customWidth="1"/>
    <col min="479" max="479" width="11.42578125" style="111" bestFit="1" customWidth="1"/>
    <col min="480" max="480" width="8.85546875" style="111" bestFit="1" customWidth="1"/>
    <col min="481" max="481" width="7.7109375" style="111" bestFit="1" customWidth="1"/>
    <col min="482" max="482" width="8.28515625" style="111" bestFit="1" customWidth="1"/>
    <col min="483" max="484" width="11.85546875" style="111" customWidth="1"/>
    <col min="485" max="733" width="9.140625" style="111"/>
    <col min="734" max="734" width="37.7109375" style="111" customWidth="1"/>
    <col min="735" max="735" width="11.42578125" style="111" bestFit="1" customWidth="1"/>
    <col min="736" max="736" width="8.85546875" style="111" bestFit="1" customWidth="1"/>
    <col min="737" max="737" width="7.7109375" style="111" bestFit="1" customWidth="1"/>
    <col min="738" max="738" width="8.28515625" style="111" bestFit="1" customWidth="1"/>
    <col min="739" max="740" width="11.85546875" style="111" customWidth="1"/>
    <col min="741" max="989" width="9.140625" style="111"/>
    <col min="990" max="990" width="37.7109375" style="111" customWidth="1"/>
    <col min="991" max="991" width="11.42578125" style="111" bestFit="1" customWidth="1"/>
    <col min="992" max="992" width="8.85546875" style="111" bestFit="1" customWidth="1"/>
    <col min="993" max="993" width="7.7109375" style="111" bestFit="1" customWidth="1"/>
    <col min="994" max="994" width="8.28515625" style="111" bestFit="1" customWidth="1"/>
    <col min="995" max="996" width="11.85546875" style="111" customWidth="1"/>
    <col min="997" max="1245" width="9.140625" style="111"/>
    <col min="1246" max="1246" width="37.7109375" style="111" customWidth="1"/>
    <col min="1247" max="1247" width="11.42578125" style="111" bestFit="1" customWidth="1"/>
    <col min="1248" max="1248" width="8.85546875" style="111" bestFit="1" customWidth="1"/>
    <col min="1249" max="1249" width="7.7109375" style="111" bestFit="1" customWidth="1"/>
    <col min="1250" max="1250" width="8.28515625" style="111" bestFit="1" customWidth="1"/>
    <col min="1251" max="1252" width="11.85546875" style="111" customWidth="1"/>
    <col min="1253" max="1501" width="9.140625" style="111"/>
    <col min="1502" max="1502" width="37.7109375" style="111" customWidth="1"/>
    <col min="1503" max="1503" width="11.42578125" style="111" bestFit="1" customWidth="1"/>
    <col min="1504" max="1504" width="8.85546875" style="111" bestFit="1" customWidth="1"/>
    <col min="1505" max="1505" width="7.7109375" style="111" bestFit="1" customWidth="1"/>
    <col min="1506" max="1506" width="8.28515625" style="111" bestFit="1" customWidth="1"/>
    <col min="1507" max="1508" width="11.85546875" style="111" customWidth="1"/>
    <col min="1509" max="1757" width="9.140625" style="111"/>
    <col min="1758" max="1758" width="37.7109375" style="111" customWidth="1"/>
    <col min="1759" max="1759" width="11.42578125" style="111" bestFit="1" customWidth="1"/>
    <col min="1760" max="1760" width="8.85546875" style="111" bestFit="1" customWidth="1"/>
    <col min="1761" max="1761" width="7.7109375" style="111" bestFit="1" customWidth="1"/>
    <col min="1762" max="1762" width="8.28515625" style="111" bestFit="1" customWidth="1"/>
    <col min="1763" max="1764" width="11.85546875" style="111" customWidth="1"/>
    <col min="1765" max="2013" width="9.140625" style="111"/>
    <col min="2014" max="2014" width="37.7109375" style="111" customWidth="1"/>
    <col min="2015" max="2015" width="11.42578125" style="111" bestFit="1" customWidth="1"/>
    <col min="2016" max="2016" width="8.85546875" style="111" bestFit="1" customWidth="1"/>
    <col min="2017" max="2017" width="7.7109375" style="111" bestFit="1" customWidth="1"/>
    <col min="2018" max="2018" width="8.28515625" style="111" bestFit="1" customWidth="1"/>
    <col min="2019" max="2020" width="11.85546875" style="111" customWidth="1"/>
    <col min="2021" max="2269" width="9.140625" style="111"/>
    <col min="2270" max="2270" width="37.7109375" style="111" customWidth="1"/>
    <col min="2271" max="2271" width="11.42578125" style="111" bestFit="1" customWidth="1"/>
    <col min="2272" max="2272" width="8.85546875" style="111" bestFit="1" customWidth="1"/>
    <col min="2273" max="2273" width="7.7109375" style="111" bestFit="1" customWidth="1"/>
    <col min="2274" max="2274" width="8.28515625" style="111" bestFit="1" customWidth="1"/>
    <col min="2275" max="2276" width="11.85546875" style="111" customWidth="1"/>
    <col min="2277" max="2525" width="9.140625" style="111"/>
    <col min="2526" max="2526" width="37.7109375" style="111" customWidth="1"/>
    <col min="2527" max="2527" width="11.42578125" style="111" bestFit="1" customWidth="1"/>
    <col min="2528" max="2528" width="8.85546875" style="111" bestFit="1" customWidth="1"/>
    <col min="2529" max="2529" width="7.7109375" style="111" bestFit="1" customWidth="1"/>
    <col min="2530" max="2530" width="8.28515625" style="111" bestFit="1" customWidth="1"/>
    <col min="2531" max="2532" width="11.85546875" style="111" customWidth="1"/>
    <col min="2533" max="2781" width="9.140625" style="111"/>
    <col min="2782" max="2782" width="37.7109375" style="111" customWidth="1"/>
    <col min="2783" max="2783" width="11.42578125" style="111" bestFit="1" customWidth="1"/>
    <col min="2784" max="2784" width="8.85546875" style="111" bestFit="1" customWidth="1"/>
    <col min="2785" max="2785" width="7.7109375" style="111" bestFit="1" customWidth="1"/>
    <col min="2786" max="2786" width="8.28515625" style="111" bestFit="1" customWidth="1"/>
    <col min="2787" max="2788" width="11.85546875" style="111" customWidth="1"/>
    <col min="2789" max="3037" width="9.140625" style="111"/>
    <col min="3038" max="3038" width="37.7109375" style="111" customWidth="1"/>
    <col min="3039" max="3039" width="11.42578125" style="111" bestFit="1" customWidth="1"/>
    <col min="3040" max="3040" width="8.85546875" style="111" bestFit="1" customWidth="1"/>
    <col min="3041" max="3041" width="7.7109375" style="111" bestFit="1" customWidth="1"/>
    <col min="3042" max="3042" width="8.28515625" style="111" bestFit="1" customWidth="1"/>
    <col min="3043" max="3044" width="11.85546875" style="111" customWidth="1"/>
    <col min="3045" max="3293" width="9.140625" style="111"/>
    <col min="3294" max="3294" width="37.7109375" style="111" customWidth="1"/>
    <col min="3295" max="3295" width="11.42578125" style="111" bestFit="1" customWidth="1"/>
    <col min="3296" max="3296" width="8.85546875" style="111" bestFit="1" customWidth="1"/>
    <col min="3297" max="3297" width="7.7109375" style="111" bestFit="1" customWidth="1"/>
    <col min="3298" max="3298" width="8.28515625" style="111" bestFit="1" customWidth="1"/>
    <col min="3299" max="3300" width="11.85546875" style="111" customWidth="1"/>
    <col min="3301" max="3549" width="9.140625" style="111"/>
    <col min="3550" max="3550" width="37.7109375" style="111" customWidth="1"/>
    <col min="3551" max="3551" width="11.42578125" style="111" bestFit="1" customWidth="1"/>
    <col min="3552" max="3552" width="8.85546875" style="111" bestFit="1" customWidth="1"/>
    <col min="3553" max="3553" width="7.7109375" style="111" bestFit="1" customWidth="1"/>
    <col min="3554" max="3554" width="8.28515625" style="111" bestFit="1" customWidth="1"/>
    <col min="3555" max="3556" width="11.85546875" style="111" customWidth="1"/>
    <col min="3557" max="3805" width="9.140625" style="111"/>
    <col min="3806" max="3806" width="37.7109375" style="111" customWidth="1"/>
    <col min="3807" max="3807" width="11.42578125" style="111" bestFit="1" customWidth="1"/>
    <col min="3808" max="3808" width="8.85546875" style="111" bestFit="1" customWidth="1"/>
    <col min="3809" max="3809" width="7.7109375" style="111" bestFit="1" customWidth="1"/>
    <col min="3810" max="3810" width="8.28515625" style="111" bestFit="1" customWidth="1"/>
    <col min="3811" max="3812" width="11.85546875" style="111" customWidth="1"/>
    <col min="3813" max="4061" width="9.140625" style="111"/>
    <col min="4062" max="4062" width="37.7109375" style="111" customWidth="1"/>
    <col min="4063" max="4063" width="11.42578125" style="111" bestFit="1" customWidth="1"/>
    <col min="4064" max="4064" width="8.85546875" style="111" bestFit="1" customWidth="1"/>
    <col min="4065" max="4065" width="7.7109375" style="111" bestFit="1" customWidth="1"/>
    <col min="4066" max="4066" width="8.28515625" style="111" bestFit="1" customWidth="1"/>
    <col min="4067" max="4068" width="11.85546875" style="111" customWidth="1"/>
    <col min="4069" max="4317" width="9.140625" style="111"/>
    <col min="4318" max="4318" width="37.7109375" style="111" customWidth="1"/>
    <col min="4319" max="4319" width="11.42578125" style="111" bestFit="1" customWidth="1"/>
    <col min="4320" max="4320" width="8.85546875" style="111" bestFit="1" customWidth="1"/>
    <col min="4321" max="4321" width="7.7109375" style="111" bestFit="1" customWidth="1"/>
    <col min="4322" max="4322" width="8.28515625" style="111" bestFit="1" customWidth="1"/>
    <col min="4323" max="4324" width="11.85546875" style="111" customWidth="1"/>
    <col min="4325" max="4573" width="9.140625" style="111"/>
    <col min="4574" max="4574" width="37.7109375" style="111" customWidth="1"/>
    <col min="4575" max="4575" width="11.42578125" style="111" bestFit="1" customWidth="1"/>
    <col min="4576" max="4576" width="8.85546875" style="111" bestFit="1" customWidth="1"/>
    <col min="4577" max="4577" width="7.7109375" style="111" bestFit="1" customWidth="1"/>
    <col min="4578" max="4578" width="8.28515625" style="111" bestFit="1" customWidth="1"/>
    <col min="4579" max="4580" width="11.85546875" style="111" customWidth="1"/>
    <col min="4581" max="4829" width="9.140625" style="111"/>
    <col min="4830" max="4830" width="37.7109375" style="111" customWidth="1"/>
    <col min="4831" max="4831" width="11.42578125" style="111" bestFit="1" customWidth="1"/>
    <col min="4832" max="4832" width="8.85546875" style="111" bestFit="1" customWidth="1"/>
    <col min="4833" max="4833" width="7.7109375" style="111" bestFit="1" customWidth="1"/>
    <col min="4834" max="4834" width="8.28515625" style="111" bestFit="1" customWidth="1"/>
    <col min="4835" max="4836" width="11.85546875" style="111" customWidth="1"/>
    <col min="4837" max="5085" width="9.140625" style="111"/>
    <col min="5086" max="5086" width="37.7109375" style="111" customWidth="1"/>
    <col min="5087" max="5087" width="11.42578125" style="111" bestFit="1" customWidth="1"/>
    <col min="5088" max="5088" width="8.85546875" style="111" bestFit="1" customWidth="1"/>
    <col min="5089" max="5089" width="7.7109375" style="111" bestFit="1" customWidth="1"/>
    <col min="5090" max="5090" width="8.28515625" style="111" bestFit="1" customWidth="1"/>
    <col min="5091" max="5092" width="11.85546875" style="111" customWidth="1"/>
    <col min="5093" max="5341" width="9.140625" style="111"/>
    <col min="5342" max="5342" width="37.7109375" style="111" customWidth="1"/>
    <col min="5343" max="5343" width="11.42578125" style="111" bestFit="1" customWidth="1"/>
    <col min="5344" max="5344" width="8.85546875" style="111" bestFit="1" customWidth="1"/>
    <col min="5345" max="5345" width="7.7109375" style="111" bestFit="1" customWidth="1"/>
    <col min="5346" max="5346" width="8.28515625" style="111" bestFit="1" customWidth="1"/>
    <col min="5347" max="5348" width="11.85546875" style="111" customWidth="1"/>
    <col min="5349" max="5597" width="9.140625" style="111"/>
    <col min="5598" max="5598" width="37.7109375" style="111" customWidth="1"/>
    <col min="5599" max="5599" width="11.42578125" style="111" bestFit="1" customWidth="1"/>
    <col min="5600" max="5600" width="8.85546875" style="111" bestFit="1" customWidth="1"/>
    <col min="5601" max="5601" width="7.7109375" style="111" bestFit="1" customWidth="1"/>
    <col min="5602" max="5602" width="8.28515625" style="111" bestFit="1" customWidth="1"/>
    <col min="5603" max="5604" width="11.85546875" style="111" customWidth="1"/>
    <col min="5605" max="5853" width="9.140625" style="111"/>
    <col min="5854" max="5854" width="37.7109375" style="111" customWidth="1"/>
    <col min="5855" max="5855" width="11.42578125" style="111" bestFit="1" customWidth="1"/>
    <col min="5856" max="5856" width="8.85546875" style="111" bestFit="1" customWidth="1"/>
    <col min="5857" max="5857" width="7.7109375" style="111" bestFit="1" customWidth="1"/>
    <col min="5858" max="5858" width="8.28515625" style="111" bestFit="1" customWidth="1"/>
    <col min="5859" max="5860" width="11.85546875" style="111" customWidth="1"/>
    <col min="5861" max="6109" width="9.140625" style="111"/>
    <col min="6110" max="6110" width="37.7109375" style="111" customWidth="1"/>
    <col min="6111" max="6111" width="11.42578125" style="111" bestFit="1" customWidth="1"/>
    <col min="6112" max="6112" width="8.85546875" style="111" bestFit="1" customWidth="1"/>
    <col min="6113" max="6113" width="7.7109375" style="111" bestFit="1" customWidth="1"/>
    <col min="6114" max="6114" width="8.28515625" style="111" bestFit="1" customWidth="1"/>
    <col min="6115" max="6116" width="11.85546875" style="111" customWidth="1"/>
    <col min="6117" max="6365" width="9.140625" style="111"/>
    <col min="6366" max="6366" width="37.7109375" style="111" customWidth="1"/>
    <col min="6367" max="6367" width="11.42578125" style="111" bestFit="1" customWidth="1"/>
    <col min="6368" max="6368" width="8.85546875" style="111" bestFit="1" customWidth="1"/>
    <col min="6369" max="6369" width="7.7109375" style="111" bestFit="1" customWidth="1"/>
    <col min="6370" max="6370" width="8.28515625" style="111" bestFit="1" customWidth="1"/>
    <col min="6371" max="6372" width="11.85546875" style="111" customWidth="1"/>
    <col min="6373" max="6621" width="9.140625" style="111"/>
    <col min="6622" max="6622" width="37.7109375" style="111" customWidth="1"/>
    <col min="6623" max="6623" width="11.42578125" style="111" bestFit="1" customWidth="1"/>
    <col min="6624" max="6624" width="8.85546875" style="111" bestFit="1" customWidth="1"/>
    <col min="6625" max="6625" width="7.7109375" style="111" bestFit="1" customWidth="1"/>
    <col min="6626" max="6626" width="8.28515625" style="111" bestFit="1" customWidth="1"/>
    <col min="6627" max="6628" width="11.85546875" style="111" customWidth="1"/>
    <col min="6629" max="6877" width="9.140625" style="111"/>
    <col min="6878" max="6878" width="37.7109375" style="111" customWidth="1"/>
    <col min="6879" max="6879" width="11.42578125" style="111" bestFit="1" customWidth="1"/>
    <col min="6880" max="6880" width="8.85546875" style="111" bestFit="1" customWidth="1"/>
    <col min="6881" max="6881" width="7.7109375" style="111" bestFit="1" customWidth="1"/>
    <col min="6882" max="6882" width="8.28515625" style="111" bestFit="1" customWidth="1"/>
    <col min="6883" max="6884" width="11.85546875" style="111" customWidth="1"/>
    <col min="6885" max="7133" width="9.140625" style="111"/>
    <col min="7134" max="7134" width="37.7109375" style="111" customWidth="1"/>
    <col min="7135" max="7135" width="11.42578125" style="111" bestFit="1" customWidth="1"/>
    <col min="7136" max="7136" width="8.85546875" style="111" bestFit="1" customWidth="1"/>
    <col min="7137" max="7137" width="7.7109375" style="111" bestFit="1" customWidth="1"/>
    <col min="7138" max="7138" width="8.28515625" style="111" bestFit="1" customWidth="1"/>
    <col min="7139" max="7140" width="11.85546875" style="111" customWidth="1"/>
    <col min="7141" max="7389" width="9.140625" style="111"/>
    <col min="7390" max="7390" width="37.7109375" style="111" customWidth="1"/>
    <col min="7391" max="7391" width="11.42578125" style="111" bestFit="1" customWidth="1"/>
    <col min="7392" max="7392" width="8.85546875" style="111" bestFit="1" customWidth="1"/>
    <col min="7393" max="7393" width="7.7109375" style="111" bestFit="1" customWidth="1"/>
    <col min="7394" max="7394" width="8.28515625" style="111" bestFit="1" customWidth="1"/>
    <col min="7395" max="7396" width="11.85546875" style="111" customWidth="1"/>
    <col min="7397" max="7645" width="9.140625" style="111"/>
    <col min="7646" max="7646" width="37.7109375" style="111" customWidth="1"/>
    <col min="7647" max="7647" width="11.42578125" style="111" bestFit="1" customWidth="1"/>
    <col min="7648" max="7648" width="8.85546875" style="111" bestFit="1" customWidth="1"/>
    <col min="7649" max="7649" width="7.7109375" style="111" bestFit="1" customWidth="1"/>
    <col min="7650" max="7650" width="8.28515625" style="111" bestFit="1" customWidth="1"/>
    <col min="7651" max="7652" width="11.85546875" style="111" customWidth="1"/>
    <col min="7653" max="7901" width="9.140625" style="111"/>
    <col min="7902" max="7902" width="37.7109375" style="111" customWidth="1"/>
    <col min="7903" max="7903" width="11.42578125" style="111" bestFit="1" customWidth="1"/>
    <col min="7904" max="7904" width="8.85546875" style="111" bestFit="1" customWidth="1"/>
    <col min="7905" max="7905" width="7.7109375" style="111" bestFit="1" customWidth="1"/>
    <col min="7906" max="7906" width="8.28515625" style="111" bestFit="1" customWidth="1"/>
    <col min="7907" max="7908" width="11.85546875" style="111" customWidth="1"/>
    <col min="7909" max="8157" width="9.140625" style="111"/>
    <col min="8158" max="8158" width="37.7109375" style="111" customWidth="1"/>
    <col min="8159" max="8159" width="11.42578125" style="111" bestFit="1" customWidth="1"/>
    <col min="8160" max="8160" width="8.85546875" style="111" bestFit="1" customWidth="1"/>
    <col min="8161" max="8161" width="7.7109375" style="111" bestFit="1" customWidth="1"/>
    <col min="8162" max="8162" width="8.28515625" style="111" bestFit="1" customWidth="1"/>
    <col min="8163" max="8164" width="11.85546875" style="111" customWidth="1"/>
    <col min="8165" max="8413" width="9.140625" style="111"/>
    <col min="8414" max="8414" width="37.7109375" style="111" customWidth="1"/>
    <col min="8415" max="8415" width="11.42578125" style="111" bestFit="1" customWidth="1"/>
    <col min="8416" max="8416" width="8.85546875" style="111" bestFit="1" customWidth="1"/>
    <col min="8417" max="8417" width="7.7109375" style="111" bestFit="1" customWidth="1"/>
    <col min="8418" max="8418" width="8.28515625" style="111" bestFit="1" customWidth="1"/>
    <col min="8419" max="8420" width="11.85546875" style="111" customWidth="1"/>
    <col min="8421" max="8669" width="9.140625" style="111"/>
    <col min="8670" max="8670" width="37.7109375" style="111" customWidth="1"/>
    <col min="8671" max="8671" width="11.42578125" style="111" bestFit="1" customWidth="1"/>
    <col min="8672" max="8672" width="8.85546875" style="111" bestFit="1" customWidth="1"/>
    <col min="8673" max="8673" width="7.7109375" style="111" bestFit="1" customWidth="1"/>
    <col min="8674" max="8674" width="8.28515625" style="111" bestFit="1" customWidth="1"/>
    <col min="8675" max="8676" width="11.85546875" style="111" customWidth="1"/>
    <col min="8677" max="8925" width="9.140625" style="111"/>
    <col min="8926" max="8926" width="37.7109375" style="111" customWidth="1"/>
    <col min="8927" max="8927" width="11.42578125" style="111" bestFit="1" customWidth="1"/>
    <col min="8928" max="8928" width="8.85546875" style="111" bestFit="1" customWidth="1"/>
    <col min="8929" max="8929" width="7.7109375" style="111" bestFit="1" customWidth="1"/>
    <col min="8930" max="8930" width="8.28515625" style="111" bestFit="1" customWidth="1"/>
    <col min="8931" max="8932" width="11.85546875" style="111" customWidth="1"/>
    <col min="8933" max="9181" width="9.140625" style="111"/>
    <col min="9182" max="9182" width="37.7109375" style="111" customWidth="1"/>
    <col min="9183" max="9183" width="11.42578125" style="111" bestFit="1" customWidth="1"/>
    <col min="9184" max="9184" width="8.85546875" style="111" bestFit="1" customWidth="1"/>
    <col min="9185" max="9185" width="7.7109375" style="111" bestFit="1" customWidth="1"/>
    <col min="9186" max="9186" width="8.28515625" style="111" bestFit="1" customWidth="1"/>
    <col min="9187" max="9188" width="11.85546875" style="111" customWidth="1"/>
    <col min="9189" max="9437" width="9.140625" style="111"/>
    <col min="9438" max="9438" width="37.7109375" style="111" customWidth="1"/>
    <col min="9439" max="9439" width="11.42578125" style="111" bestFit="1" customWidth="1"/>
    <col min="9440" max="9440" width="8.85546875" style="111" bestFit="1" customWidth="1"/>
    <col min="9441" max="9441" width="7.7109375" style="111" bestFit="1" customWidth="1"/>
    <col min="9442" max="9442" width="8.28515625" style="111" bestFit="1" customWidth="1"/>
    <col min="9443" max="9444" width="11.85546875" style="111" customWidth="1"/>
    <col min="9445" max="9693" width="9.140625" style="111"/>
    <col min="9694" max="9694" width="37.7109375" style="111" customWidth="1"/>
    <col min="9695" max="9695" width="11.42578125" style="111" bestFit="1" customWidth="1"/>
    <col min="9696" max="9696" width="8.85546875" style="111" bestFit="1" customWidth="1"/>
    <col min="9697" max="9697" width="7.7109375" style="111" bestFit="1" customWidth="1"/>
    <col min="9698" max="9698" width="8.28515625" style="111" bestFit="1" customWidth="1"/>
    <col min="9699" max="9700" width="11.85546875" style="111" customWidth="1"/>
    <col min="9701" max="9949" width="9.140625" style="111"/>
    <col min="9950" max="9950" width="37.7109375" style="111" customWidth="1"/>
    <col min="9951" max="9951" width="11.42578125" style="111" bestFit="1" customWidth="1"/>
    <col min="9952" max="9952" width="8.85546875" style="111" bestFit="1" customWidth="1"/>
    <col min="9953" max="9953" width="7.7109375" style="111" bestFit="1" customWidth="1"/>
    <col min="9954" max="9954" width="8.28515625" style="111" bestFit="1" customWidth="1"/>
    <col min="9955" max="9956" width="11.85546875" style="111" customWidth="1"/>
    <col min="9957" max="10205" width="9.140625" style="111"/>
    <col min="10206" max="10206" width="37.7109375" style="111" customWidth="1"/>
    <col min="10207" max="10207" width="11.42578125" style="111" bestFit="1" customWidth="1"/>
    <col min="10208" max="10208" width="8.85546875" style="111" bestFit="1" customWidth="1"/>
    <col min="10209" max="10209" width="7.7109375" style="111" bestFit="1" customWidth="1"/>
    <col min="10210" max="10210" width="8.28515625" style="111" bestFit="1" customWidth="1"/>
    <col min="10211" max="10212" width="11.85546875" style="111" customWidth="1"/>
    <col min="10213" max="10461" width="9.140625" style="111"/>
    <col min="10462" max="10462" width="37.7109375" style="111" customWidth="1"/>
    <col min="10463" max="10463" width="11.42578125" style="111" bestFit="1" customWidth="1"/>
    <col min="10464" max="10464" width="8.85546875" style="111" bestFit="1" customWidth="1"/>
    <col min="10465" max="10465" width="7.7109375" style="111" bestFit="1" customWidth="1"/>
    <col min="10466" max="10466" width="8.28515625" style="111" bestFit="1" customWidth="1"/>
    <col min="10467" max="10468" width="11.85546875" style="111" customWidth="1"/>
    <col min="10469" max="10717" width="9.140625" style="111"/>
    <col min="10718" max="10718" width="37.7109375" style="111" customWidth="1"/>
    <col min="10719" max="10719" width="11.42578125" style="111" bestFit="1" customWidth="1"/>
    <col min="10720" max="10720" width="8.85546875" style="111" bestFit="1" customWidth="1"/>
    <col min="10721" max="10721" width="7.7109375" style="111" bestFit="1" customWidth="1"/>
    <col min="10722" max="10722" width="8.28515625" style="111" bestFit="1" customWidth="1"/>
    <col min="10723" max="10724" width="11.85546875" style="111" customWidth="1"/>
    <col min="10725" max="10973" width="9.140625" style="111"/>
    <col min="10974" max="10974" width="37.7109375" style="111" customWidth="1"/>
    <col min="10975" max="10975" width="11.42578125" style="111" bestFit="1" customWidth="1"/>
    <col min="10976" max="10976" width="8.85546875" style="111" bestFit="1" customWidth="1"/>
    <col min="10977" max="10977" width="7.7109375" style="111" bestFit="1" customWidth="1"/>
    <col min="10978" max="10978" width="8.28515625" style="111" bestFit="1" customWidth="1"/>
    <col min="10979" max="10980" width="11.85546875" style="111" customWidth="1"/>
    <col min="10981" max="11229" width="9.140625" style="111"/>
    <col min="11230" max="11230" width="37.7109375" style="111" customWidth="1"/>
    <col min="11231" max="11231" width="11.42578125" style="111" bestFit="1" customWidth="1"/>
    <col min="11232" max="11232" width="8.85546875" style="111" bestFit="1" customWidth="1"/>
    <col min="11233" max="11233" width="7.7109375" style="111" bestFit="1" customWidth="1"/>
    <col min="11234" max="11234" width="8.28515625" style="111" bestFit="1" customWidth="1"/>
    <col min="11235" max="11236" width="11.85546875" style="111" customWidth="1"/>
    <col min="11237" max="11485" width="9.140625" style="111"/>
    <col min="11486" max="11486" width="37.7109375" style="111" customWidth="1"/>
    <col min="11487" max="11487" width="11.42578125" style="111" bestFit="1" customWidth="1"/>
    <col min="11488" max="11488" width="8.85546875" style="111" bestFit="1" customWidth="1"/>
    <col min="11489" max="11489" width="7.7109375" style="111" bestFit="1" customWidth="1"/>
    <col min="11490" max="11490" width="8.28515625" style="111" bestFit="1" customWidth="1"/>
    <col min="11491" max="11492" width="11.85546875" style="111" customWidth="1"/>
    <col min="11493" max="11741" width="9.140625" style="111"/>
    <col min="11742" max="11742" width="37.7109375" style="111" customWidth="1"/>
    <col min="11743" max="11743" width="11.42578125" style="111" bestFit="1" customWidth="1"/>
    <col min="11744" max="11744" width="8.85546875" style="111" bestFit="1" customWidth="1"/>
    <col min="11745" max="11745" width="7.7109375" style="111" bestFit="1" customWidth="1"/>
    <col min="11746" max="11746" width="8.28515625" style="111" bestFit="1" customWidth="1"/>
    <col min="11747" max="11748" width="11.85546875" style="111" customWidth="1"/>
    <col min="11749" max="11997" width="9.140625" style="111"/>
    <col min="11998" max="11998" width="37.7109375" style="111" customWidth="1"/>
    <col min="11999" max="11999" width="11.42578125" style="111" bestFit="1" customWidth="1"/>
    <col min="12000" max="12000" width="8.85546875" style="111" bestFit="1" customWidth="1"/>
    <col min="12001" max="12001" width="7.7109375" style="111" bestFit="1" customWidth="1"/>
    <col min="12002" max="12002" width="8.28515625" style="111" bestFit="1" customWidth="1"/>
    <col min="12003" max="12004" width="11.85546875" style="111" customWidth="1"/>
    <col min="12005" max="12253" width="9.140625" style="111"/>
    <col min="12254" max="12254" width="37.7109375" style="111" customWidth="1"/>
    <col min="12255" max="12255" width="11.42578125" style="111" bestFit="1" customWidth="1"/>
    <col min="12256" max="12256" width="8.85546875" style="111" bestFit="1" customWidth="1"/>
    <col min="12257" max="12257" width="7.7109375" style="111" bestFit="1" customWidth="1"/>
    <col min="12258" max="12258" width="8.28515625" style="111" bestFit="1" customWidth="1"/>
    <col min="12259" max="12260" width="11.85546875" style="111" customWidth="1"/>
    <col min="12261" max="12509" width="9.140625" style="111"/>
    <col min="12510" max="12510" width="37.7109375" style="111" customWidth="1"/>
    <col min="12511" max="12511" width="11.42578125" style="111" bestFit="1" customWidth="1"/>
    <col min="12512" max="12512" width="8.85546875" style="111" bestFit="1" customWidth="1"/>
    <col min="12513" max="12513" width="7.7109375" style="111" bestFit="1" customWidth="1"/>
    <col min="12514" max="12514" width="8.28515625" style="111" bestFit="1" customWidth="1"/>
    <col min="12515" max="12516" width="11.85546875" style="111" customWidth="1"/>
    <col min="12517" max="12765" width="9.140625" style="111"/>
    <col min="12766" max="12766" width="37.7109375" style="111" customWidth="1"/>
    <col min="12767" max="12767" width="11.42578125" style="111" bestFit="1" customWidth="1"/>
    <col min="12768" max="12768" width="8.85546875" style="111" bestFit="1" customWidth="1"/>
    <col min="12769" max="12769" width="7.7109375" style="111" bestFit="1" customWidth="1"/>
    <col min="12770" max="12770" width="8.28515625" style="111" bestFit="1" customWidth="1"/>
    <col min="12771" max="12772" width="11.85546875" style="111" customWidth="1"/>
    <col min="12773" max="13021" width="9.140625" style="111"/>
    <col min="13022" max="13022" width="37.7109375" style="111" customWidth="1"/>
    <col min="13023" max="13023" width="11.42578125" style="111" bestFit="1" customWidth="1"/>
    <col min="13024" max="13024" width="8.85546875" style="111" bestFit="1" customWidth="1"/>
    <col min="13025" max="13025" width="7.7109375" style="111" bestFit="1" customWidth="1"/>
    <col min="13026" max="13026" width="8.28515625" style="111" bestFit="1" customWidth="1"/>
    <col min="13027" max="13028" width="11.85546875" style="111" customWidth="1"/>
    <col min="13029" max="13277" width="9.140625" style="111"/>
    <col min="13278" max="13278" width="37.7109375" style="111" customWidth="1"/>
    <col min="13279" max="13279" width="11.42578125" style="111" bestFit="1" customWidth="1"/>
    <col min="13280" max="13280" width="8.85546875" style="111" bestFit="1" customWidth="1"/>
    <col min="13281" max="13281" width="7.7109375" style="111" bestFit="1" customWidth="1"/>
    <col min="13282" max="13282" width="8.28515625" style="111" bestFit="1" customWidth="1"/>
    <col min="13283" max="13284" width="11.85546875" style="111" customWidth="1"/>
    <col min="13285" max="13533" width="9.140625" style="111"/>
    <col min="13534" max="13534" width="37.7109375" style="111" customWidth="1"/>
    <col min="13535" max="13535" width="11.42578125" style="111" bestFit="1" customWidth="1"/>
    <col min="13536" max="13536" width="8.85546875" style="111" bestFit="1" customWidth="1"/>
    <col min="13537" max="13537" width="7.7109375" style="111" bestFit="1" customWidth="1"/>
    <col min="13538" max="13538" width="8.28515625" style="111" bestFit="1" customWidth="1"/>
    <col min="13539" max="13540" width="11.85546875" style="111" customWidth="1"/>
    <col min="13541" max="13789" width="9.140625" style="111"/>
    <col min="13790" max="13790" width="37.7109375" style="111" customWidth="1"/>
    <col min="13791" max="13791" width="11.42578125" style="111" bestFit="1" customWidth="1"/>
    <col min="13792" max="13792" width="8.85546875" style="111" bestFit="1" customWidth="1"/>
    <col min="13793" max="13793" width="7.7109375" style="111" bestFit="1" customWidth="1"/>
    <col min="13794" max="13794" width="8.28515625" style="111" bestFit="1" customWidth="1"/>
    <col min="13795" max="13796" width="11.85546875" style="111" customWidth="1"/>
    <col min="13797" max="14045" width="9.140625" style="111"/>
    <col min="14046" max="14046" width="37.7109375" style="111" customWidth="1"/>
    <col min="14047" max="14047" width="11.42578125" style="111" bestFit="1" customWidth="1"/>
    <col min="14048" max="14048" width="8.85546875" style="111" bestFit="1" customWidth="1"/>
    <col min="14049" max="14049" width="7.7109375" style="111" bestFit="1" customWidth="1"/>
    <col min="14050" max="14050" width="8.28515625" style="111" bestFit="1" customWidth="1"/>
    <col min="14051" max="14052" width="11.85546875" style="111" customWidth="1"/>
    <col min="14053" max="14301" width="9.140625" style="111"/>
    <col min="14302" max="14302" width="37.7109375" style="111" customWidth="1"/>
    <col min="14303" max="14303" width="11.42578125" style="111" bestFit="1" customWidth="1"/>
    <col min="14304" max="14304" width="8.85546875" style="111" bestFit="1" customWidth="1"/>
    <col min="14305" max="14305" width="7.7109375" style="111" bestFit="1" customWidth="1"/>
    <col min="14306" max="14306" width="8.28515625" style="111" bestFit="1" customWidth="1"/>
    <col min="14307" max="14308" width="11.85546875" style="111" customWidth="1"/>
    <col min="14309" max="14557" width="9.140625" style="111"/>
    <col min="14558" max="14558" width="37.7109375" style="111" customWidth="1"/>
    <col min="14559" max="14559" width="11.42578125" style="111" bestFit="1" customWidth="1"/>
    <col min="14560" max="14560" width="8.85546875" style="111" bestFit="1" customWidth="1"/>
    <col min="14561" max="14561" width="7.7109375" style="111" bestFit="1" customWidth="1"/>
    <col min="14562" max="14562" width="8.28515625" style="111" bestFit="1" customWidth="1"/>
    <col min="14563" max="14564" width="11.85546875" style="111" customWidth="1"/>
    <col min="14565" max="14813" width="9.140625" style="111"/>
    <col min="14814" max="14814" width="37.7109375" style="111" customWidth="1"/>
    <col min="14815" max="14815" width="11.42578125" style="111" bestFit="1" customWidth="1"/>
    <col min="14816" max="14816" width="8.85546875" style="111" bestFit="1" customWidth="1"/>
    <col min="14817" max="14817" width="7.7109375" style="111" bestFit="1" customWidth="1"/>
    <col min="14818" max="14818" width="8.28515625" style="111" bestFit="1" customWidth="1"/>
    <col min="14819" max="14820" width="11.85546875" style="111" customWidth="1"/>
    <col min="14821" max="15069" width="9.140625" style="111"/>
    <col min="15070" max="15070" width="37.7109375" style="111" customWidth="1"/>
    <col min="15071" max="15071" width="11.42578125" style="111" bestFit="1" customWidth="1"/>
    <col min="15072" max="15072" width="8.85546875" style="111" bestFit="1" customWidth="1"/>
    <col min="15073" max="15073" width="7.7109375" style="111" bestFit="1" customWidth="1"/>
    <col min="15074" max="15074" width="8.28515625" style="111" bestFit="1" customWidth="1"/>
    <col min="15075" max="15076" width="11.85546875" style="111" customWidth="1"/>
    <col min="15077" max="15325" width="9.140625" style="111"/>
    <col min="15326" max="15326" width="37.7109375" style="111" customWidth="1"/>
    <col min="15327" max="15327" width="11.42578125" style="111" bestFit="1" customWidth="1"/>
    <col min="15328" max="15328" width="8.85546875" style="111" bestFit="1" customWidth="1"/>
    <col min="15329" max="15329" width="7.7109375" style="111" bestFit="1" customWidth="1"/>
    <col min="15330" max="15330" width="8.28515625" style="111" bestFit="1" customWidth="1"/>
    <col min="15331" max="15332" width="11.85546875" style="111" customWidth="1"/>
    <col min="15333" max="15581" width="9.140625" style="111"/>
    <col min="15582" max="15582" width="37.7109375" style="111" customWidth="1"/>
    <col min="15583" max="15583" width="11.42578125" style="111" bestFit="1" customWidth="1"/>
    <col min="15584" max="15584" width="8.85546875" style="111" bestFit="1" customWidth="1"/>
    <col min="15585" max="15585" width="7.7109375" style="111" bestFit="1" customWidth="1"/>
    <col min="15586" max="15586" width="8.28515625" style="111" bestFit="1" customWidth="1"/>
    <col min="15587" max="15588" width="11.85546875" style="111" customWidth="1"/>
    <col min="15589" max="15837" width="9.140625" style="111"/>
    <col min="15838" max="15838" width="37.7109375" style="111" customWidth="1"/>
    <col min="15839" max="15839" width="11.42578125" style="111" bestFit="1" customWidth="1"/>
    <col min="15840" max="15840" width="8.85546875" style="111" bestFit="1" customWidth="1"/>
    <col min="15841" max="15841" width="7.7109375" style="111" bestFit="1" customWidth="1"/>
    <col min="15842" max="15842" width="8.28515625" style="111" bestFit="1" customWidth="1"/>
    <col min="15843" max="15844" width="11.85546875" style="111" customWidth="1"/>
    <col min="15845" max="16093" width="9.140625" style="111"/>
    <col min="16094" max="16094" width="37.7109375" style="111" customWidth="1"/>
    <col min="16095" max="16095" width="11.42578125" style="111" bestFit="1" customWidth="1"/>
    <col min="16096" max="16096" width="8.85546875" style="111" bestFit="1" customWidth="1"/>
    <col min="16097" max="16097" width="7.7109375" style="111" bestFit="1" customWidth="1"/>
    <col min="16098" max="16098" width="8.28515625" style="111" bestFit="1" customWidth="1"/>
    <col min="16099" max="16100" width="11.85546875" style="111" customWidth="1"/>
    <col min="16101" max="16384" width="9.140625" style="111"/>
  </cols>
  <sheetData>
    <row r="1" spans="1:7" ht="24" customHeight="1">
      <c r="A1" s="109" t="s">
        <v>642</v>
      </c>
      <c r="B1" s="110"/>
      <c r="C1" s="110"/>
      <c r="D1" s="110"/>
      <c r="E1" s="110"/>
      <c r="F1" s="110"/>
      <c r="G1" s="110"/>
    </row>
    <row r="2" spans="1:7" ht="20.100000000000001" customHeight="1">
      <c r="A2" s="112" t="s">
        <v>113</v>
      </c>
      <c r="B2" s="113"/>
    </row>
    <row r="3" spans="1:7" ht="20.100000000000001" customHeight="1">
      <c r="A3" s="114"/>
      <c r="B3" s="114"/>
      <c r="G3" s="115"/>
    </row>
    <row r="4" spans="1:7" ht="18" customHeight="1">
      <c r="A4" s="116"/>
      <c r="B4" s="117" t="s">
        <v>114</v>
      </c>
      <c r="C4" s="117" t="s">
        <v>2</v>
      </c>
      <c r="D4" s="117" t="s">
        <v>19</v>
      </c>
      <c r="E4" s="117" t="s">
        <v>115</v>
      </c>
      <c r="F4" s="882" t="s">
        <v>21</v>
      </c>
      <c r="G4" s="883"/>
    </row>
    <row r="5" spans="1:7" ht="18" customHeight="1">
      <c r="A5" s="114"/>
      <c r="B5" s="118" t="s">
        <v>116</v>
      </c>
      <c r="C5" s="118" t="s">
        <v>117</v>
      </c>
      <c r="D5" s="119" t="s">
        <v>118</v>
      </c>
      <c r="E5" s="118" t="s">
        <v>24</v>
      </c>
      <c r="F5" s="118" t="s">
        <v>63</v>
      </c>
      <c r="G5" s="118" t="s">
        <v>24</v>
      </c>
    </row>
    <row r="6" spans="1:7" ht="18" customHeight="1">
      <c r="A6" s="114"/>
      <c r="B6" s="118"/>
      <c r="C6" s="120" t="s">
        <v>53</v>
      </c>
      <c r="D6" s="120" t="s">
        <v>53</v>
      </c>
      <c r="E6" s="120" t="s">
        <v>53</v>
      </c>
      <c r="F6" s="120" t="s">
        <v>53</v>
      </c>
      <c r="G6" s="120" t="s">
        <v>53</v>
      </c>
    </row>
    <row r="7" spans="1:7" ht="18" customHeight="1">
      <c r="A7" s="114"/>
      <c r="B7" s="121"/>
      <c r="C7" s="122"/>
      <c r="D7" s="122"/>
      <c r="E7" s="122"/>
      <c r="F7" s="122"/>
      <c r="G7" s="122"/>
    </row>
    <row r="8" spans="1:7" ht="18" customHeight="1">
      <c r="A8" s="123" t="s">
        <v>119</v>
      </c>
      <c r="B8" s="124" t="s">
        <v>52</v>
      </c>
      <c r="C8" s="125">
        <v>2963.3640839836203</v>
      </c>
      <c r="D8" s="125">
        <v>3417.39729472408</v>
      </c>
      <c r="E8" s="125">
        <v>34391.978296074405</v>
      </c>
      <c r="F8" s="125">
        <v>162.66758460029487</v>
      </c>
      <c r="G8" s="125">
        <v>105.83367504408155</v>
      </c>
    </row>
    <row r="9" spans="1:7" ht="18" customHeight="1">
      <c r="A9" s="123" t="s">
        <v>120</v>
      </c>
      <c r="B9" s="124" t="s">
        <v>121</v>
      </c>
      <c r="C9" s="125">
        <v>702.97</v>
      </c>
      <c r="D9" s="125">
        <v>690.04300000000001</v>
      </c>
      <c r="E9" s="125">
        <v>6034.3230000000003</v>
      </c>
      <c r="F9" s="125">
        <v>106.29946853577756</v>
      </c>
      <c r="G9" s="125">
        <v>98.881197994493846</v>
      </c>
    </row>
    <row r="10" spans="1:7" ht="18" customHeight="1">
      <c r="A10" s="123" t="s">
        <v>122</v>
      </c>
      <c r="B10" s="124" t="s">
        <v>123</v>
      </c>
      <c r="C10" s="125">
        <v>423.68</v>
      </c>
      <c r="D10" s="125">
        <v>501</v>
      </c>
      <c r="E10" s="125">
        <v>4407.91</v>
      </c>
      <c r="F10" s="125">
        <v>126.91576947435085</v>
      </c>
      <c r="G10" s="125">
        <v>91.663504058709094</v>
      </c>
    </row>
    <row r="11" spans="1:7" ht="18" customHeight="1">
      <c r="A11" s="123" t="s">
        <v>124</v>
      </c>
      <c r="B11" s="124" t="s">
        <v>52</v>
      </c>
      <c r="C11" s="125">
        <v>63.170307000000001</v>
      </c>
      <c r="D11" s="125">
        <v>63.529000000000003</v>
      </c>
      <c r="E11" s="125">
        <v>602.58548300000007</v>
      </c>
      <c r="F11" s="125">
        <v>114.08853409603788</v>
      </c>
      <c r="G11" s="125">
        <v>108.1933618017287</v>
      </c>
    </row>
    <row r="12" spans="1:7" ht="18" customHeight="1">
      <c r="A12" s="123" t="s">
        <v>125</v>
      </c>
      <c r="B12" s="124" t="s">
        <v>121</v>
      </c>
      <c r="C12" s="125">
        <v>1556.8313639999999</v>
      </c>
      <c r="D12" s="125">
        <v>1538.8700439882059</v>
      </c>
      <c r="E12" s="125">
        <v>13541.660291988206</v>
      </c>
      <c r="F12" s="125">
        <v>123.21722320134248</v>
      </c>
      <c r="G12" s="125">
        <v>107.92470323144363</v>
      </c>
    </row>
    <row r="13" spans="1:7" ht="18" customHeight="1">
      <c r="A13" s="123" t="s">
        <v>126</v>
      </c>
      <c r="B13" s="124" t="s">
        <v>121</v>
      </c>
      <c r="C13" s="125">
        <v>101.87408000000001</v>
      </c>
      <c r="D13" s="125">
        <v>122</v>
      </c>
      <c r="E13" s="125">
        <v>1111.7001400000001</v>
      </c>
      <c r="F13" s="125">
        <v>102.06677693782771</v>
      </c>
      <c r="G13" s="125">
        <v>101.99764710899419</v>
      </c>
    </row>
    <row r="14" spans="1:7" ht="18" customHeight="1">
      <c r="A14" s="123" t="s">
        <v>127</v>
      </c>
      <c r="B14" s="124" t="s">
        <v>121</v>
      </c>
      <c r="C14" s="125">
        <v>661.47339930775661</v>
      </c>
      <c r="D14" s="125">
        <v>667.56061898913185</v>
      </c>
      <c r="E14" s="125">
        <v>5309.8890417527191</v>
      </c>
      <c r="F14" s="125">
        <v>113.93763764962142</v>
      </c>
      <c r="G14" s="125">
        <v>109.2019960411329</v>
      </c>
    </row>
    <row r="15" spans="1:7" ht="18" customHeight="1">
      <c r="A15" s="123" t="s">
        <v>128</v>
      </c>
      <c r="B15" s="124" t="s">
        <v>129</v>
      </c>
      <c r="C15" s="125">
        <v>137.39768037983663</v>
      </c>
      <c r="D15" s="125">
        <v>136.25714808452025</v>
      </c>
      <c r="E15" s="125">
        <v>1243.5043983449248</v>
      </c>
      <c r="F15" s="125">
        <v>95.018931718633382</v>
      </c>
      <c r="G15" s="125">
        <v>101.6259411337108</v>
      </c>
    </row>
    <row r="16" spans="1:7" ht="18" customHeight="1">
      <c r="A16" s="123" t="s">
        <v>130</v>
      </c>
      <c r="B16" s="124" t="s">
        <v>52</v>
      </c>
      <c r="C16" s="125">
        <v>12.531767666177</v>
      </c>
      <c r="D16" s="125">
        <v>13.362970245363879</v>
      </c>
      <c r="E16" s="125">
        <v>112.02195798815146</v>
      </c>
      <c r="F16" s="125">
        <v>101.32673828756353</v>
      </c>
      <c r="G16" s="125">
        <v>103.89012666634143</v>
      </c>
    </row>
    <row r="17" spans="1:7" ht="18" customHeight="1">
      <c r="A17" s="123" t="s">
        <v>131</v>
      </c>
      <c r="B17" s="124" t="s">
        <v>121</v>
      </c>
      <c r="C17" s="125">
        <v>29.451100000000004</v>
      </c>
      <c r="D17" s="125">
        <v>30.748999999999999</v>
      </c>
      <c r="E17" s="125">
        <v>1210.0583163400365</v>
      </c>
      <c r="F17" s="125">
        <v>110.39011159636472</v>
      </c>
      <c r="G17" s="125">
        <v>112.78855985330046</v>
      </c>
    </row>
    <row r="18" spans="1:7" ht="18" customHeight="1">
      <c r="A18" s="123" t="s">
        <v>132</v>
      </c>
      <c r="B18" s="124" t="s">
        <v>121</v>
      </c>
      <c r="C18" s="125">
        <v>28.372186306183298</v>
      </c>
      <c r="D18" s="125">
        <v>29.278515790608299</v>
      </c>
      <c r="E18" s="125">
        <v>253.18689589731619</v>
      </c>
      <c r="F18" s="125">
        <v>95.404242232517461</v>
      </c>
      <c r="G18" s="125">
        <v>104.95405630745095</v>
      </c>
    </row>
    <row r="19" spans="1:7" ht="18" customHeight="1">
      <c r="A19" s="123" t="s">
        <v>133</v>
      </c>
      <c r="B19" s="124" t="s">
        <v>121</v>
      </c>
      <c r="C19" s="125">
        <v>1297.9553031282405</v>
      </c>
      <c r="D19" s="125">
        <v>1306.9900768259399</v>
      </c>
      <c r="E19" s="125">
        <v>11130.106054825548</v>
      </c>
      <c r="F19" s="125">
        <v>111.94775818637601</v>
      </c>
      <c r="G19" s="125">
        <v>109.51951600613945</v>
      </c>
    </row>
    <row r="20" spans="1:7" ht="18" customHeight="1">
      <c r="A20" s="123" t="s">
        <v>134</v>
      </c>
      <c r="B20" s="124" t="s">
        <v>121</v>
      </c>
      <c r="C20" s="125">
        <v>878.74427622939857</v>
      </c>
      <c r="D20" s="125">
        <v>896.82969135821577</v>
      </c>
      <c r="E20" s="125">
        <v>7235.3910373135959</v>
      </c>
      <c r="F20" s="125">
        <v>124.42143331828743</v>
      </c>
      <c r="G20" s="125">
        <v>114.15768434871339</v>
      </c>
    </row>
    <row r="21" spans="1:7" ht="18" customHeight="1">
      <c r="A21" s="123" t="s">
        <v>135</v>
      </c>
      <c r="B21" s="124" t="s">
        <v>129</v>
      </c>
      <c r="C21" s="125">
        <v>405.26162968168205</v>
      </c>
      <c r="D21" s="125">
        <v>423.57389643729732</v>
      </c>
      <c r="E21" s="125">
        <v>3362.0916712977578</v>
      </c>
      <c r="F21" s="125">
        <v>114.64867527389411</v>
      </c>
      <c r="G21" s="125">
        <v>104.05345126683672</v>
      </c>
    </row>
    <row r="22" spans="1:7" ht="18" customHeight="1">
      <c r="A22" s="65" t="s">
        <v>136</v>
      </c>
      <c r="B22" s="124" t="s">
        <v>137</v>
      </c>
      <c r="C22" s="125">
        <v>682.26605360909116</v>
      </c>
      <c r="D22" s="125">
        <v>687.74165304436519</v>
      </c>
      <c r="E22" s="125">
        <v>5859.4387246269926</v>
      </c>
      <c r="F22" s="125">
        <v>106.77560208731023</v>
      </c>
      <c r="G22" s="125">
        <v>106.19494513619389</v>
      </c>
    </row>
    <row r="23" spans="1:7" ht="18" customHeight="1">
      <c r="A23" s="65" t="s">
        <v>138</v>
      </c>
      <c r="B23" s="124" t="s">
        <v>139</v>
      </c>
      <c r="C23" s="125">
        <v>97.613522052108522</v>
      </c>
      <c r="D23" s="125">
        <v>101.78914030397466</v>
      </c>
      <c r="E23" s="125">
        <v>833.87888810854713</v>
      </c>
      <c r="F23" s="125">
        <v>106.97755155436117</v>
      </c>
      <c r="G23" s="125">
        <v>108.97709188022179</v>
      </c>
    </row>
    <row r="24" spans="1:7" ht="30" customHeight="1">
      <c r="A24" s="126" t="s">
        <v>140</v>
      </c>
      <c r="B24" s="127" t="s">
        <v>121</v>
      </c>
      <c r="C24" s="125">
        <v>111.23501045356083</v>
      </c>
      <c r="D24" s="125">
        <v>118.91135067236924</v>
      </c>
      <c r="E24" s="125">
        <v>956.40846386746421</v>
      </c>
      <c r="F24" s="125">
        <v>114.44788322653439</v>
      </c>
      <c r="G24" s="125">
        <v>97.643651073782465</v>
      </c>
    </row>
    <row r="25" spans="1:7" ht="18" customHeight="1">
      <c r="A25" s="123" t="s">
        <v>141</v>
      </c>
      <c r="B25" s="124" t="s">
        <v>142</v>
      </c>
      <c r="C25" s="125">
        <v>545.27303119624628</v>
      </c>
      <c r="D25" s="125">
        <v>553.53677954900593</v>
      </c>
      <c r="E25" s="125">
        <v>4592.86851788685</v>
      </c>
      <c r="F25" s="125">
        <v>116.2403988973133</v>
      </c>
      <c r="G25" s="125">
        <v>114.43348895057817</v>
      </c>
    </row>
    <row r="26" spans="1:7" ht="18" customHeight="1">
      <c r="A26" s="128" t="s">
        <v>143</v>
      </c>
      <c r="B26" s="124" t="s">
        <v>144</v>
      </c>
      <c r="C26" s="125">
        <v>32.197160173566303</v>
      </c>
      <c r="D26" s="125">
        <v>33.417879590896725</v>
      </c>
      <c r="E26" s="125">
        <v>280.01921930499049</v>
      </c>
      <c r="F26" s="125">
        <v>126.79901191765026</v>
      </c>
      <c r="G26" s="125">
        <v>114.39225205929911</v>
      </c>
    </row>
    <row r="27" spans="1:7" ht="18" customHeight="1">
      <c r="A27" s="123" t="s">
        <v>145</v>
      </c>
      <c r="B27" s="124" t="s">
        <v>52</v>
      </c>
      <c r="C27" s="125">
        <v>177.28808984507043</v>
      </c>
      <c r="D27" s="125">
        <v>192.42275352112679</v>
      </c>
      <c r="E27" s="125">
        <v>2078.6727046619721</v>
      </c>
      <c r="F27" s="125">
        <v>86.656941696399016</v>
      </c>
      <c r="G27" s="125">
        <v>102.0194609429097</v>
      </c>
    </row>
    <row r="28" spans="1:7" ht="18" customHeight="1">
      <c r="A28" s="123" t="s">
        <v>146</v>
      </c>
      <c r="B28" s="124" t="s">
        <v>121</v>
      </c>
      <c r="C28" s="125">
        <v>260.82132641159001</v>
      </c>
      <c r="D28" s="125">
        <v>261.57863075546999</v>
      </c>
      <c r="E28" s="125">
        <v>2751.8886336727737</v>
      </c>
      <c r="F28" s="125">
        <v>113.45334419134963</v>
      </c>
      <c r="G28" s="125">
        <v>115.923615898778</v>
      </c>
    </row>
    <row r="29" spans="1:7" ht="18" customHeight="1">
      <c r="A29" s="123" t="s">
        <v>147</v>
      </c>
      <c r="B29" s="124" t="s">
        <v>121</v>
      </c>
      <c r="C29" s="125">
        <v>126.45483306461377</v>
      </c>
      <c r="D29" s="125">
        <v>130.78841525185629</v>
      </c>
      <c r="E29" s="125">
        <v>1073.6021095486046</v>
      </c>
      <c r="F29" s="125">
        <v>118.17874333772143</v>
      </c>
      <c r="G29" s="125">
        <v>110.01589328678489</v>
      </c>
    </row>
    <row r="30" spans="1:7" ht="18" customHeight="1">
      <c r="A30" s="123" t="s">
        <v>148</v>
      </c>
      <c r="B30" s="124" t="s">
        <v>149</v>
      </c>
      <c r="C30" s="125">
        <v>15.563783029605972</v>
      </c>
      <c r="D30" s="125">
        <v>16.238954989785547</v>
      </c>
      <c r="E30" s="125">
        <v>136.65783833371324</v>
      </c>
      <c r="F30" s="125">
        <v>128.32046613817107</v>
      </c>
      <c r="G30" s="125">
        <v>115.34958339345738</v>
      </c>
    </row>
    <row r="31" spans="1:7" ht="18" customHeight="1">
      <c r="A31" s="123" t="s">
        <v>150</v>
      </c>
      <c r="B31" s="124" t="s">
        <v>52</v>
      </c>
      <c r="C31" s="125">
        <v>1985.8696336275079</v>
      </c>
      <c r="D31" s="125">
        <v>2018.276551360964</v>
      </c>
      <c r="E31" s="125">
        <v>16928.875091422571</v>
      </c>
      <c r="F31" s="125">
        <v>114.15591353851606</v>
      </c>
      <c r="G31" s="125">
        <v>103.60432086447821</v>
      </c>
    </row>
    <row r="32" spans="1:7" ht="18" customHeight="1">
      <c r="A32" s="65" t="s">
        <v>151</v>
      </c>
      <c r="B32" s="124" t="s">
        <v>121</v>
      </c>
      <c r="C32" s="125">
        <v>1646.6810708837434</v>
      </c>
      <c r="D32" s="125">
        <v>1694.8185283341934</v>
      </c>
      <c r="E32" s="125">
        <v>13139.829329108587</v>
      </c>
      <c r="F32" s="125">
        <v>135.58548226673548</v>
      </c>
      <c r="G32" s="125">
        <v>114.71865185686607</v>
      </c>
    </row>
    <row r="33" spans="1:7" ht="18" customHeight="1">
      <c r="A33" s="123" t="s">
        <v>152</v>
      </c>
      <c r="B33" s="124" t="s">
        <v>121</v>
      </c>
      <c r="C33" s="125">
        <v>1091.0382465918926</v>
      </c>
      <c r="D33" s="125">
        <v>1174.657801423826</v>
      </c>
      <c r="E33" s="125">
        <v>10459.966063708955</v>
      </c>
      <c r="F33" s="125">
        <v>125.04341083924055</v>
      </c>
      <c r="G33" s="125">
        <v>107.74375674761853</v>
      </c>
    </row>
    <row r="34" spans="1:7" ht="18" customHeight="1">
      <c r="A34" s="123" t="s">
        <v>153</v>
      </c>
      <c r="B34" s="124" t="s">
        <v>142</v>
      </c>
      <c r="C34" s="125">
        <v>15.458719</v>
      </c>
      <c r="D34" s="125">
        <v>15.704349000000001</v>
      </c>
      <c r="E34" s="125">
        <v>139.792316</v>
      </c>
      <c r="F34" s="125">
        <v>102.03818432985878</v>
      </c>
      <c r="G34" s="125">
        <v>101.78283823721075</v>
      </c>
    </row>
    <row r="35" spans="1:7" ht="30" customHeight="1">
      <c r="A35" s="129" t="s">
        <v>154</v>
      </c>
      <c r="B35" s="130" t="s">
        <v>155</v>
      </c>
      <c r="C35" s="131">
        <v>56.406737685680604</v>
      </c>
      <c r="D35" s="131">
        <v>61.583537745719795</v>
      </c>
      <c r="E35" s="131">
        <v>429.51824920936161</v>
      </c>
      <c r="F35" s="131">
        <v>91.870051448502139</v>
      </c>
      <c r="G35" s="131">
        <v>101.06210947770795</v>
      </c>
    </row>
    <row r="36" spans="1:7" ht="18" customHeight="1">
      <c r="A36" s="123" t="s">
        <v>156</v>
      </c>
      <c r="B36" s="124" t="s">
        <v>157</v>
      </c>
      <c r="C36" s="125">
        <v>2052.2842122254301</v>
      </c>
      <c r="D36" s="125">
        <v>2170.6894510658999</v>
      </c>
      <c r="E36" s="125">
        <v>15770.875475217272</v>
      </c>
      <c r="F36" s="125">
        <v>125.10318888675988</v>
      </c>
      <c r="G36" s="125">
        <v>121.83573918795886</v>
      </c>
    </row>
    <row r="37" spans="1:7" ht="18" customHeight="1">
      <c r="A37" s="123" t="s">
        <v>158</v>
      </c>
      <c r="B37" s="124" t="s">
        <v>159</v>
      </c>
      <c r="C37" s="125">
        <v>37.782533965444721</v>
      </c>
      <c r="D37" s="125">
        <v>38.717942612757945</v>
      </c>
      <c r="E37" s="125">
        <v>338.35599329903482</v>
      </c>
      <c r="F37" s="125">
        <v>119.68082165236915</v>
      </c>
      <c r="G37" s="125">
        <v>152.68978970790889</v>
      </c>
    </row>
    <row r="38" spans="1:7" ht="18" customHeight="1">
      <c r="A38" s="123" t="s">
        <v>160</v>
      </c>
      <c r="B38" s="124" t="s">
        <v>121</v>
      </c>
      <c r="C38" s="125">
        <v>310.19949129256895</v>
      </c>
      <c r="D38" s="125">
        <v>259.30273710183297</v>
      </c>
      <c r="E38" s="125">
        <v>2448.3541031112713</v>
      </c>
      <c r="F38" s="125">
        <v>106.6344935094741</v>
      </c>
      <c r="G38" s="125">
        <v>105.88538876343645</v>
      </c>
    </row>
    <row r="39" spans="1:7" ht="18" customHeight="1">
      <c r="A39" s="123" t="s">
        <v>161</v>
      </c>
      <c r="B39" s="124" t="s">
        <v>162</v>
      </c>
      <c r="C39" s="125">
        <v>30.2008923209</v>
      </c>
      <c r="D39" s="125">
        <v>28.378003802629998</v>
      </c>
      <c r="E39" s="125">
        <v>247.10771934642287</v>
      </c>
      <c r="F39" s="125">
        <v>114.00291369061613</v>
      </c>
      <c r="G39" s="125">
        <v>105.51066511573228</v>
      </c>
    </row>
    <row r="40" spans="1:7" ht="18" customHeight="1">
      <c r="A40" s="123" t="s">
        <v>163</v>
      </c>
      <c r="B40" s="124" t="s">
        <v>123</v>
      </c>
      <c r="C40" s="125">
        <v>348.93646909944073</v>
      </c>
      <c r="D40" s="125">
        <v>352.0504135094024</v>
      </c>
      <c r="E40" s="125">
        <v>3032.4328714102921</v>
      </c>
      <c r="F40" s="125">
        <v>106.45612745975276</v>
      </c>
      <c r="G40" s="125">
        <v>103.65767049836896</v>
      </c>
    </row>
    <row r="41" spans="1:7" ht="15">
      <c r="A41" s="132"/>
    </row>
    <row r="42" spans="1:7" ht="15">
      <c r="C42" s="133"/>
      <c r="D42" s="133"/>
      <c r="E42" s="133"/>
    </row>
    <row r="43" spans="1:7" ht="15"/>
    <row r="44" spans="1:7" ht="15"/>
    <row r="45" spans="1:7" ht="15"/>
    <row r="46" spans="1:7" ht="15"/>
    <row r="47" spans="1:7" ht="15"/>
    <row r="48" spans="1:7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</sheetData>
  <mergeCells count="1">
    <mergeCell ref="F4:G4"/>
  </mergeCells>
  <pageMargins left="0.75" right="0.17" top="0.74803149606299202" bottom="0.511811023622047" header="0.43307086614173201" footer="0.31496062992126"/>
  <pageSetup paperSize="9" firstPageNumber="38" orientation="portrait" r:id="rId1"/>
  <headerFooter alignWithMargins="0">
    <oddHeader>&amp;C&amp;"Times New Roman,Regular"&amp;13&amp;P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76"/>
  <sheetViews>
    <sheetView workbookViewId="0">
      <selection activeCell="D13" sqref="D13"/>
    </sheetView>
  </sheetViews>
  <sheetFormatPr defaultRowHeight="18" customHeight="1"/>
  <cols>
    <col min="1" max="1" width="24.42578125" style="111" customWidth="1"/>
    <col min="2" max="2" width="11.28515625" style="111" customWidth="1"/>
    <col min="3" max="3" width="9.28515625" style="111" customWidth="1"/>
    <col min="4" max="4" width="9.7109375" style="111" customWidth="1"/>
    <col min="5" max="5" width="9.5703125" style="111" customWidth="1"/>
    <col min="6" max="6" width="8.28515625" style="111" customWidth="1"/>
    <col min="7" max="7" width="8.140625" style="111" customWidth="1"/>
    <col min="8" max="8" width="7.85546875" style="111" customWidth="1"/>
    <col min="9" max="247" width="9.140625" style="111"/>
    <col min="248" max="248" width="37.5703125" style="111" customWidth="1"/>
    <col min="249" max="249" width="11.42578125" style="111" bestFit="1" customWidth="1"/>
    <col min="250" max="250" width="8.7109375" style="111" bestFit="1" customWidth="1"/>
    <col min="251" max="251" width="7.5703125" style="111" bestFit="1" customWidth="1"/>
    <col min="252" max="252" width="8.42578125" style="111" bestFit="1" customWidth="1"/>
    <col min="253" max="254" width="12" style="111" customWidth="1"/>
    <col min="255" max="503" width="9.140625" style="111"/>
    <col min="504" max="504" width="37.5703125" style="111" customWidth="1"/>
    <col min="505" max="505" width="11.42578125" style="111" bestFit="1" customWidth="1"/>
    <col min="506" max="506" width="8.7109375" style="111" bestFit="1" customWidth="1"/>
    <col min="507" max="507" width="7.5703125" style="111" bestFit="1" customWidth="1"/>
    <col min="508" max="508" width="8.42578125" style="111" bestFit="1" customWidth="1"/>
    <col min="509" max="510" width="12" style="111" customWidth="1"/>
    <col min="511" max="759" width="9.140625" style="111"/>
    <col min="760" max="760" width="37.5703125" style="111" customWidth="1"/>
    <col min="761" max="761" width="11.42578125" style="111" bestFit="1" customWidth="1"/>
    <col min="762" max="762" width="8.7109375" style="111" bestFit="1" customWidth="1"/>
    <col min="763" max="763" width="7.5703125" style="111" bestFit="1" customWidth="1"/>
    <col min="764" max="764" width="8.42578125" style="111" bestFit="1" customWidth="1"/>
    <col min="765" max="766" width="12" style="111" customWidth="1"/>
    <col min="767" max="1015" width="9.140625" style="111"/>
    <col min="1016" max="1016" width="37.5703125" style="111" customWidth="1"/>
    <col min="1017" max="1017" width="11.42578125" style="111" bestFit="1" customWidth="1"/>
    <col min="1018" max="1018" width="8.7109375" style="111" bestFit="1" customWidth="1"/>
    <col min="1019" max="1019" width="7.5703125" style="111" bestFit="1" customWidth="1"/>
    <col min="1020" max="1020" width="8.42578125" style="111" bestFit="1" customWidth="1"/>
    <col min="1021" max="1022" width="12" style="111" customWidth="1"/>
    <col min="1023" max="1271" width="9.140625" style="111"/>
    <col min="1272" max="1272" width="37.5703125" style="111" customWidth="1"/>
    <col min="1273" max="1273" width="11.42578125" style="111" bestFit="1" customWidth="1"/>
    <col min="1274" max="1274" width="8.7109375" style="111" bestFit="1" customWidth="1"/>
    <col min="1275" max="1275" width="7.5703125" style="111" bestFit="1" customWidth="1"/>
    <col min="1276" max="1276" width="8.42578125" style="111" bestFit="1" customWidth="1"/>
    <col min="1277" max="1278" width="12" style="111" customWidth="1"/>
    <col min="1279" max="1527" width="9.140625" style="111"/>
    <col min="1528" max="1528" width="37.5703125" style="111" customWidth="1"/>
    <col min="1529" max="1529" width="11.42578125" style="111" bestFit="1" customWidth="1"/>
    <col min="1530" max="1530" width="8.7109375" style="111" bestFit="1" customWidth="1"/>
    <col min="1531" max="1531" width="7.5703125" style="111" bestFit="1" customWidth="1"/>
    <col min="1532" max="1532" width="8.42578125" style="111" bestFit="1" customWidth="1"/>
    <col min="1533" max="1534" width="12" style="111" customWidth="1"/>
    <col min="1535" max="1783" width="9.140625" style="111"/>
    <col min="1784" max="1784" width="37.5703125" style="111" customWidth="1"/>
    <col min="1785" max="1785" width="11.42578125" style="111" bestFit="1" customWidth="1"/>
    <col min="1786" max="1786" width="8.7109375" style="111" bestFit="1" customWidth="1"/>
    <col min="1787" max="1787" width="7.5703125" style="111" bestFit="1" customWidth="1"/>
    <col min="1788" max="1788" width="8.42578125" style="111" bestFit="1" customWidth="1"/>
    <col min="1789" max="1790" width="12" style="111" customWidth="1"/>
    <col min="1791" max="2039" width="9.140625" style="111"/>
    <col min="2040" max="2040" width="37.5703125" style="111" customWidth="1"/>
    <col min="2041" max="2041" width="11.42578125" style="111" bestFit="1" customWidth="1"/>
    <col min="2042" max="2042" width="8.7109375" style="111" bestFit="1" customWidth="1"/>
    <col min="2043" max="2043" width="7.5703125" style="111" bestFit="1" customWidth="1"/>
    <col min="2044" max="2044" width="8.42578125" style="111" bestFit="1" customWidth="1"/>
    <col min="2045" max="2046" width="12" style="111" customWidth="1"/>
    <col min="2047" max="2295" width="9.140625" style="111"/>
    <col min="2296" max="2296" width="37.5703125" style="111" customWidth="1"/>
    <col min="2297" max="2297" width="11.42578125" style="111" bestFit="1" customWidth="1"/>
    <col min="2298" max="2298" width="8.7109375" style="111" bestFit="1" customWidth="1"/>
    <col min="2299" max="2299" width="7.5703125" style="111" bestFit="1" customWidth="1"/>
    <col min="2300" max="2300" width="8.42578125" style="111" bestFit="1" customWidth="1"/>
    <col min="2301" max="2302" width="12" style="111" customWidth="1"/>
    <col min="2303" max="2551" width="9.140625" style="111"/>
    <col min="2552" max="2552" width="37.5703125" style="111" customWidth="1"/>
    <col min="2553" max="2553" width="11.42578125" style="111" bestFit="1" customWidth="1"/>
    <col min="2554" max="2554" width="8.7109375" style="111" bestFit="1" customWidth="1"/>
    <col min="2555" max="2555" width="7.5703125" style="111" bestFit="1" customWidth="1"/>
    <col min="2556" max="2556" width="8.42578125" style="111" bestFit="1" customWidth="1"/>
    <col min="2557" max="2558" width="12" style="111" customWidth="1"/>
    <col min="2559" max="2807" width="9.140625" style="111"/>
    <col min="2808" max="2808" width="37.5703125" style="111" customWidth="1"/>
    <col min="2809" max="2809" width="11.42578125" style="111" bestFit="1" customWidth="1"/>
    <col min="2810" max="2810" width="8.7109375" style="111" bestFit="1" customWidth="1"/>
    <col min="2811" max="2811" width="7.5703125" style="111" bestFit="1" customWidth="1"/>
    <col min="2812" max="2812" width="8.42578125" style="111" bestFit="1" customWidth="1"/>
    <col min="2813" max="2814" width="12" style="111" customWidth="1"/>
    <col min="2815" max="3063" width="9.140625" style="111"/>
    <col min="3064" max="3064" width="37.5703125" style="111" customWidth="1"/>
    <col min="3065" max="3065" width="11.42578125" style="111" bestFit="1" customWidth="1"/>
    <col min="3066" max="3066" width="8.7109375" style="111" bestFit="1" customWidth="1"/>
    <col min="3067" max="3067" width="7.5703125" style="111" bestFit="1" customWidth="1"/>
    <col min="3068" max="3068" width="8.42578125" style="111" bestFit="1" customWidth="1"/>
    <col min="3069" max="3070" width="12" style="111" customWidth="1"/>
    <col min="3071" max="3319" width="9.140625" style="111"/>
    <col min="3320" max="3320" width="37.5703125" style="111" customWidth="1"/>
    <col min="3321" max="3321" width="11.42578125" style="111" bestFit="1" customWidth="1"/>
    <col min="3322" max="3322" width="8.7109375" style="111" bestFit="1" customWidth="1"/>
    <col min="3323" max="3323" width="7.5703125" style="111" bestFit="1" customWidth="1"/>
    <col min="3324" max="3324" width="8.42578125" style="111" bestFit="1" customWidth="1"/>
    <col min="3325" max="3326" width="12" style="111" customWidth="1"/>
    <col min="3327" max="3575" width="9.140625" style="111"/>
    <col min="3576" max="3576" width="37.5703125" style="111" customWidth="1"/>
    <col min="3577" max="3577" width="11.42578125" style="111" bestFit="1" customWidth="1"/>
    <col min="3578" max="3578" width="8.7109375" style="111" bestFit="1" customWidth="1"/>
    <col min="3579" max="3579" width="7.5703125" style="111" bestFit="1" customWidth="1"/>
    <col min="3580" max="3580" width="8.42578125" style="111" bestFit="1" customWidth="1"/>
    <col min="3581" max="3582" width="12" style="111" customWidth="1"/>
    <col min="3583" max="3831" width="9.140625" style="111"/>
    <col min="3832" max="3832" width="37.5703125" style="111" customWidth="1"/>
    <col min="3833" max="3833" width="11.42578125" style="111" bestFit="1" customWidth="1"/>
    <col min="3834" max="3834" width="8.7109375" style="111" bestFit="1" customWidth="1"/>
    <col min="3835" max="3835" width="7.5703125" style="111" bestFit="1" customWidth="1"/>
    <col min="3836" max="3836" width="8.42578125" style="111" bestFit="1" customWidth="1"/>
    <col min="3837" max="3838" width="12" style="111" customWidth="1"/>
    <col min="3839" max="4087" width="9.140625" style="111"/>
    <col min="4088" max="4088" width="37.5703125" style="111" customWidth="1"/>
    <col min="4089" max="4089" width="11.42578125" style="111" bestFit="1" customWidth="1"/>
    <col min="4090" max="4090" width="8.7109375" style="111" bestFit="1" customWidth="1"/>
    <col min="4091" max="4091" width="7.5703125" style="111" bestFit="1" customWidth="1"/>
    <col min="4092" max="4092" width="8.42578125" style="111" bestFit="1" customWidth="1"/>
    <col min="4093" max="4094" width="12" style="111" customWidth="1"/>
    <col min="4095" max="4343" width="9.140625" style="111"/>
    <col min="4344" max="4344" width="37.5703125" style="111" customWidth="1"/>
    <col min="4345" max="4345" width="11.42578125" style="111" bestFit="1" customWidth="1"/>
    <col min="4346" max="4346" width="8.7109375" style="111" bestFit="1" customWidth="1"/>
    <col min="4347" max="4347" width="7.5703125" style="111" bestFit="1" customWidth="1"/>
    <col min="4348" max="4348" width="8.42578125" style="111" bestFit="1" customWidth="1"/>
    <col min="4349" max="4350" width="12" style="111" customWidth="1"/>
    <col min="4351" max="4599" width="9.140625" style="111"/>
    <col min="4600" max="4600" width="37.5703125" style="111" customWidth="1"/>
    <col min="4601" max="4601" width="11.42578125" style="111" bestFit="1" customWidth="1"/>
    <col min="4602" max="4602" width="8.7109375" style="111" bestFit="1" customWidth="1"/>
    <col min="4603" max="4603" width="7.5703125" style="111" bestFit="1" customWidth="1"/>
    <col min="4604" max="4604" width="8.42578125" style="111" bestFit="1" customWidth="1"/>
    <col min="4605" max="4606" width="12" style="111" customWidth="1"/>
    <col min="4607" max="4855" width="9.140625" style="111"/>
    <col min="4856" max="4856" width="37.5703125" style="111" customWidth="1"/>
    <col min="4857" max="4857" width="11.42578125" style="111" bestFit="1" customWidth="1"/>
    <col min="4858" max="4858" width="8.7109375" style="111" bestFit="1" customWidth="1"/>
    <col min="4859" max="4859" width="7.5703125" style="111" bestFit="1" customWidth="1"/>
    <col min="4860" max="4860" width="8.42578125" style="111" bestFit="1" customWidth="1"/>
    <col min="4861" max="4862" width="12" style="111" customWidth="1"/>
    <col min="4863" max="5111" width="9.140625" style="111"/>
    <col min="5112" max="5112" width="37.5703125" style="111" customWidth="1"/>
    <col min="5113" max="5113" width="11.42578125" style="111" bestFit="1" customWidth="1"/>
    <col min="5114" max="5114" width="8.7109375" style="111" bestFit="1" customWidth="1"/>
    <col min="5115" max="5115" width="7.5703125" style="111" bestFit="1" customWidth="1"/>
    <col min="5116" max="5116" width="8.42578125" style="111" bestFit="1" customWidth="1"/>
    <col min="5117" max="5118" width="12" style="111" customWidth="1"/>
    <col min="5119" max="5367" width="9.140625" style="111"/>
    <col min="5368" max="5368" width="37.5703125" style="111" customWidth="1"/>
    <col min="5369" max="5369" width="11.42578125" style="111" bestFit="1" customWidth="1"/>
    <col min="5370" max="5370" width="8.7109375" style="111" bestFit="1" customWidth="1"/>
    <col min="5371" max="5371" width="7.5703125" style="111" bestFit="1" customWidth="1"/>
    <col min="5372" max="5372" width="8.42578125" style="111" bestFit="1" customWidth="1"/>
    <col min="5373" max="5374" width="12" style="111" customWidth="1"/>
    <col min="5375" max="5623" width="9.140625" style="111"/>
    <col min="5624" max="5624" width="37.5703125" style="111" customWidth="1"/>
    <col min="5625" max="5625" width="11.42578125" style="111" bestFit="1" customWidth="1"/>
    <col min="5626" max="5626" width="8.7109375" style="111" bestFit="1" customWidth="1"/>
    <col min="5627" max="5627" width="7.5703125" style="111" bestFit="1" customWidth="1"/>
    <col min="5628" max="5628" width="8.42578125" style="111" bestFit="1" customWidth="1"/>
    <col min="5629" max="5630" width="12" style="111" customWidth="1"/>
    <col min="5631" max="5879" width="9.140625" style="111"/>
    <col min="5880" max="5880" width="37.5703125" style="111" customWidth="1"/>
    <col min="5881" max="5881" width="11.42578125" style="111" bestFit="1" customWidth="1"/>
    <col min="5882" max="5882" width="8.7109375" style="111" bestFit="1" customWidth="1"/>
    <col min="5883" max="5883" width="7.5703125" style="111" bestFit="1" customWidth="1"/>
    <col min="5884" max="5884" width="8.42578125" style="111" bestFit="1" customWidth="1"/>
    <col min="5885" max="5886" width="12" style="111" customWidth="1"/>
    <col min="5887" max="6135" width="9.140625" style="111"/>
    <col min="6136" max="6136" width="37.5703125" style="111" customWidth="1"/>
    <col min="6137" max="6137" width="11.42578125" style="111" bestFit="1" customWidth="1"/>
    <col min="6138" max="6138" width="8.7109375" style="111" bestFit="1" customWidth="1"/>
    <col min="6139" max="6139" width="7.5703125" style="111" bestFit="1" customWidth="1"/>
    <col min="6140" max="6140" width="8.42578125" style="111" bestFit="1" customWidth="1"/>
    <col min="6141" max="6142" width="12" style="111" customWidth="1"/>
    <col min="6143" max="6391" width="9.140625" style="111"/>
    <col min="6392" max="6392" width="37.5703125" style="111" customWidth="1"/>
    <col min="6393" max="6393" width="11.42578125" style="111" bestFit="1" customWidth="1"/>
    <col min="6394" max="6394" width="8.7109375" style="111" bestFit="1" customWidth="1"/>
    <col min="6395" max="6395" width="7.5703125" style="111" bestFit="1" customWidth="1"/>
    <col min="6396" max="6396" width="8.42578125" style="111" bestFit="1" customWidth="1"/>
    <col min="6397" max="6398" width="12" style="111" customWidth="1"/>
    <col min="6399" max="6647" width="9.140625" style="111"/>
    <col min="6648" max="6648" width="37.5703125" style="111" customWidth="1"/>
    <col min="6649" max="6649" width="11.42578125" style="111" bestFit="1" customWidth="1"/>
    <col min="6650" max="6650" width="8.7109375" style="111" bestFit="1" customWidth="1"/>
    <col min="6651" max="6651" width="7.5703125" style="111" bestFit="1" customWidth="1"/>
    <col min="6652" max="6652" width="8.42578125" style="111" bestFit="1" customWidth="1"/>
    <col min="6653" max="6654" width="12" style="111" customWidth="1"/>
    <col min="6655" max="6903" width="9.140625" style="111"/>
    <col min="6904" max="6904" width="37.5703125" style="111" customWidth="1"/>
    <col min="6905" max="6905" width="11.42578125" style="111" bestFit="1" customWidth="1"/>
    <col min="6906" max="6906" width="8.7109375" style="111" bestFit="1" customWidth="1"/>
    <col min="6907" max="6907" width="7.5703125" style="111" bestFit="1" customWidth="1"/>
    <col min="6908" max="6908" width="8.42578125" style="111" bestFit="1" customWidth="1"/>
    <col min="6909" max="6910" width="12" style="111" customWidth="1"/>
    <col min="6911" max="7159" width="9.140625" style="111"/>
    <col min="7160" max="7160" width="37.5703125" style="111" customWidth="1"/>
    <col min="7161" max="7161" width="11.42578125" style="111" bestFit="1" customWidth="1"/>
    <col min="7162" max="7162" width="8.7109375" style="111" bestFit="1" customWidth="1"/>
    <col min="7163" max="7163" width="7.5703125" style="111" bestFit="1" customWidth="1"/>
    <col min="7164" max="7164" width="8.42578125" style="111" bestFit="1" customWidth="1"/>
    <col min="7165" max="7166" width="12" style="111" customWidth="1"/>
    <col min="7167" max="7415" width="9.140625" style="111"/>
    <col min="7416" max="7416" width="37.5703125" style="111" customWidth="1"/>
    <col min="7417" max="7417" width="11.42578125" style="111" bestFit="1" customWidth="1"/>
    <col min="7418" max="7418" width="8.7109375" style="111" bestFit="1" customWidth="1"/>
    <col min="7419" max="7419" width="7.5703125" style="111" bestFit="1" customWidth="1"/>
    <col min="7420" max="7420" width="8.42578125" style="111" bestFit="1" customWidth="1"/>
    <col min="7421" max="7422" width="12" style="111" customWidth="1"/>
    <col min="7423" max="7671" width="9.140625" style="111"/>
    <col min="7672" max="7672" width="37.5703125" style="111" customWidth="1"/>
    <col min="7673" max="7673" width="11.42578125" style="111" bestFit="1" customWidth="1"/>
    <col min="7674" max="7674" width="8.7109375" style="111" bestFit="1" customWidth="1"/>
    <col min="7675" max="7675" width="7.5703125" style="111" bestFit="1" customWidth="1"/>
    <col min="7676" max="7676" width="8.42578125" style="111" bestFit="1" customWidth="1"/>
    <col min="7677" max="7678" width="12" style="111" customWidth="1"/>
    <col min="7679" max="7927" width="9.140625" style="111"/>
    <col min="7928" max="7928" width="37.5703125" style="111" customWidth="1"/>
    <col min="7929" max="7929" width="11.42578125" style="111" bestFit="1" customWidth="1"/>
    <col min="7930" max="7930" width="8.7109375" style="111" bestFit="1" customWidth="1"/>
    <col min="7931" max="7931" width="7.5703125" style="111" bestFit="1" customWidth="1"/>
    <col min="7932" max="7932" width="8.42578125" style="111" bestFit="1" customWidth="1"/>
    <col min="7933" max="7934" width="12" style="111" customWidth="1"/>
    <col min="7935" max="8183" width="9.140625" style="111"/>
    <col min="8184" max="8184" width="37.5703125" style="111" customWidth="1"/>
    <col min="8185" max="8185" width="11.42578125" style="111" bestFit="1" customWidth="1"/>
    <col min="8186" max="8186" width="8.7109375" style="111" bestFit="1" customWidth="1"/>
    <col min="8187" max="8187" width="7.5703125" style="111" bestFit="1" customWidth="1"/>
    <col min="8188" max="8188" width="8.42578125" style="111" bestFit="1" customWidth="1"/>
    <col min="8189" max="8190" width="12" style="111" customWidth="1"/>
    <col min="8191" max="8439" width="9.140625" style="111"/>
    <col min="8440" max="8440" width="37.5703125" style="111" customWidth="1"/>
    <col min="8441" max="8441" width="11.42578125" style="111" bestFit="1" customWidth="1"/>
    <col min="8442" max="8442" width="8.7109375" style="111" bestFit="1" customWidth="1"/>
    <col min="8443" max="8443" width="7.5703125" style="111" bestFit="1" customWidth="1"/>
    <col min="8444" max="8444" width="8.42578125" style="111" bestFit="1" customWidth="1"/>
    <col min="8445" max="8446" width="12" style="111" customWidth="1"/>
    <col min="8447" max="8695" width="9.140625" style="111"/>
    <col min="8696" max="8696" width="37.5703125" style="111" customWidth="1"/>
    <col min="8697" max="8697" width="11.42578125" style="111" bestFit="1" customWidth="1"/>
    <col min="8698" max="8698" width="8.7109375" style="111" bestFit="1" customWidth="1"/>
    <col min="8699" max="8699" width="7.5703125" style="111" bestFit="1" customWidth="1"/>
    <col min="8700" max="8700" width="8.42578125" style="111" bestFit="1" customWidth="1"/>
    <col min="8701" max="8702" width="12" style="111" customWidth="1"/>
    <col min="8703" max="8951" width="9.140625" style="111"/>
    <col min="8952" max="8952" width="37.5703125" style="111" customWidth="1"/>
    <col min="8953" max="8953" width="11.42578125" style="111" bestFit="1" customWidth="1"/>
    <col min="8954" max="8954" width="8.7109375" style="111" bestFit="1" customWidth="1"/>
    <col min="8955" max="8955" width="7.5703125" style="111" bestFit="1" customWidth="1"/>
    <col min="8956" max="8956" width="8.42578125" style="111" bestFit="1" customWidth="1"/>
    <col min="8957" max="8958" width="12" style="111" customWidth="1"/>
    <col min="8959" max="9207" width="9.140625" style="111"/>
    <col min="9208" max="9208" width="37.5703125" style="111" customWidth="1"/>
    <col min="9209" max="9209" width="11.42578125" style="111" bestFit="1" customWidth="1"/>
    <col min="9210" max="9210" width="8.7109375" style="111" bestFit="1" customWidth="1"/>
    <col min="9211" max="9211" width="7.5703125" style="111" bestFit="1" customWidth="1"/>
    <col min="9212" max="9212" width="8.42578125" style="111" bestFit="1" customWidth="1"/>
    <col min="9213" max="9214" width="12" style="111" customWidth="1"/>
    <col min="9215" max="9463" width="9.140625" style="111"/>
    <col min="9464" max="9464" width="37.5703125" style="111" customWidth="1"/>
    <col min="9465" max="9465" width="11.42578125" style="111" bestFit="1" customWidth="1"/>
    <col min="9466" max="9466" width="8.7109375" style="111" bestFit="1" customWidth="1"/>
    <col min="9467" max="9467" width="7.5703125" style="111" bestFit="1" customWidth="1"/>
    <col min="9468" max="9468" width="8.42578125" style="111" bestFit="1" customWidth="1"/>
    <col min="9469" max="9470" width="12" style="111" customWidth="1"/>
    <col min="9471" max="9719" width="9.140625" style="111"/>
    <col min="9720" max="9720" width="37.5703125" style="111" customWidth="1"/>
    <col min="9721" max="9721" width="11.42578125" style="111" bestFit="1" customWidth="1"/>
    <col min="9722" max="9722" width="8.7109375" style="111" bestFit="1" customWidth="1"/>
    <col min="9723" max="9723" width="7.5703125" style="111" bestFit="1" customWidth="1"/>
    <col min="9724" max="9724" width="8.42578125" style="111" bestFit="1" customWidth="1"/>
    <col min="9725" max="9726" width="12" style="111" customWidth="1"/>
    <col min="9727" max="9975" width="9.140625" style="111"/>
    <col min="9976" max="9976" width="37.5703125" style="111" customWidth="1"/>
    <col min="9977" max="9977" width="11.42578125" style="111" bestFit="1" customWidth="1"/>
    <col min="9978" max="9978" width="8.7109375" style="111" bestFit="1" customWidth="1"/>
    <col min="9979" max="9979" width="7.5703125" style="111" bestFit="1" customWidth="1"/>
    <col min="9980" max="9980" width="8.42578125" style="111" bestFit="1" customWidth="1"/>
    <col min="9981" max="9982" width="12" style="111" customWidth="1"/>
    <col min="9983" max="10231" width="9.140625" style="111"/>
    <col min="10232" max="10232" width="37.5703125" style="111" customWidth="1"/>
    <col min="10233" max="10233" width="11.42578125" style="111" bestFit="1" customWidth="1"/>
    <col min="10234" max="10234" width="8.7109375" style="111" bestFit="1" customWidth="1"/>
    <col min="10235" max="10235" width="7.5703125" style="111" bestFit="1" customWidth="1"/>
    <col min="10236" max="10236" width="8.42578125" style="111" bestFit="1" customWidth="1"/>
    <col min="10237" max="10238" width="12" style="111" customWidth="1"/>
    <col min="10239" max="10487" width="9.140625" style="111"/>
    <col min="10488" max="10488" width="37.5703125" style="111" customWidth="1"/>
    <col min="10489" max="10489" width="11.42578125" style="111" bestFit="1" customWidth="1"/>
    <col min="10490" max="10490" width="8.7109375" style="111" bestFit="1" customWidth="1"/>
    <col min="10491" max="10491" width="7.5703125" style="111" bestFit="1" customWidth="1"/>
    <col min="10492" max="10492" width="8.42578125" style="111" bestFit="1" customWidth="1"/>
    <col min="10493" max="10494" width="12" style="111" customWidth="1"/>
    <col min="10495" max="10743" width="9.140625" style="111"/>
    <col min="10744" max="10744" width="37.5703125" style="111" customWidth="1"/>
    <col min="10745" max="10745" width="11.42578125" style="111" bestFit="1" customWidth="1"/>
    <col min="10746" max="10746" width="8.7109375" style="111" bestFit="1" customWidth="1"/>
    <col min="10747" max="10747" width="7.5703125" style="111" bestFit="1" customWidth="1"/>
    <col min="10748" max="10748" width="8.42578125" style="111" bestFit="1" customWidth="1"/>
    <col min="10749" max="10750" width="12" style="111" customWidth="1"/>
    <col min="10751" max="10999" width="9.140625" style="111"/>
    <col min="11000" max="11000" width="37.5703125" style="111" customWidth="1"/>
    <col min="11001" max="11001" width="11.42578125" style="111" bestFit="1" customWidth="1"/>
    <col min="11002" max="11002" width="8.7109375" style="111" bestFit="1" customWidth="1"/>
    <col min="11003" max="11003" width="7.5703125" style="111" bestFit="1" customWidth="1"/>
    <col min="11004" max="11004" width="8.42578125" style="111" bestFit="1" customWidth="1"/>
    <col min="11005" max="11006" width="12" style="111" customWidth="1"/>
    <col min="11007" max="11255" width="9.140625" style="111"/>
    <col min="11256" max="11256" width="37.5703125" style="111" customWidth="1"/>
    <col min="11257" max="11257" width="11.42578125" style="111" bestFit="1" customWidth="1"/>
    <col min="11258" max="11258" width="8.7109375" style="111" bestFit="1" customWidth="1"/>
    <col min="11259" max="11259" width="7.5703125" style="111" bestFit="1" customWidth="1"/>
    <col min="11260" max="11260" width="8.42578125" style="111" bestFit="1" customWidth="1"/>
    <col min="11261" max="11262" width="12" style="111" customWidth="1"/>
    <col min="11263" max="11511" width="9.140625" style="111"/>
    <col min="11512" max="11512" width="37.5703125" style="111" customWidth="1"/>
    <col min="11513" max="11513" width="11.42578125" style="111" bestFit="1" customWidth="1"/>
    <col min="11514" max="11514" width="8.7109375" style="111" bestFit="1" customWidth="1"/>
    <col min="11515" max="11515" width="7.5703125" style="111" bestFit="1" customWidth="1"/>
    <col min="11516" max="11516" width="8.42578125" style="111" bestFit="1" customWidth="1"/>
    <col min="11517" max="11518" width="12" style="111" customWidth="1"/>
    <col min="11519" max="11767" width="9.140625" style="111"/>
    <col min="11768" max="11768" width="37.5703125" style="111" customWidth="1"/>
    <col min="11769" max="11769" width="11.42578125" style="111" bestFit="1" customWidth="1"/>
    <col min="11770" max="11770" width="8.7109375" style="111" bestFit="1" customWidth="1"/>
    <col min="11771" max="11771" width="7.5703125" style="111" bestFit="1" customWidth="1"/>
    <col min="11772" max="11772" width="8.42578125" style="111" bestFit="1" customWidth="1"/>
    <col min="11773" max="11774" width="12" style="111" customWidth="1"/>
    <col min="11775" max="12023" width="9.140625" style="111"/>
    <col min="12024" max="12024" width="37.5703125" style="111" customWidth="1"/>
    <col min="12025" max="12025" width="11.42578125" style="111" bestFit="1" customWidth="1"/>
    <col min="12026" max="12026" width="8.7109375" style="111" bestFit="1" customWidth="1"/>
    <col min="12027" max="12027" width="7.5703125" style="111" bestFit="1" customWidth="1"/>
    <col min="12028" max="12028" width="8.42578125" style="111" bestFit="1" customWidth="1"/>
    <col min="12029" max="12030" width="12" style="111" customWidth="1"/>
    <col min="12031" max="12279" width="9.140625" style="111"/>
    <col min="12280" max="12280" width="37.5703125" style="111" customWidth="1"/>
    <col min="12281" max="12281" width="11.42578125" style="111" bestFit="1" customWidth="1"/>
    <col min="12282" max="12282" width="8.7109375" style="111" bestFit="1" customWidth="1"/>
    <col min="12283" max="12283" width="7.5703125" style="111" bestFit="1" customWidth="1"/>
    <col min="12284" max="12284" width="8.42578125" style="111" bestFit="1" customWidth="1"/>
    <col min="12285" max="12286" width="12" style="111" customWidth="1"/>
    <col min="12287" max="12535" width="9.140625" style="111"/>
    <col min="12536" max="12536" width="37.5703125" style="111" customWidth="1"/>
    <col min="12537" max="12537" width="11.42578125" style="111" bestFit="1" customWidth="1"/>
    <col min="12538" max="12538" width="8.7109375" style="111" bestFit="1" customWidth="1"/>
    <col min="12539" max="12539" width="7.5703125" style="111" bestFit="1" customWidth="1"/>
    <col min="12540" max="12540" width="8.42578125" style="111" bestFit="1" customWidth="1"/>
    <col min="12541" max="12542" width="12" style="111" customWidth="1"/>
    <col min="12543" max="12791" width="9.140625" style="111"/>
    <col min="12792" max="12792" width="37.5703125" style="111" customWidth="1"/>
    <col min="12793" max="12793" width="11.42578125" style="111" bestFit="1" customWidth="1"/>
    <col min="12794" max="12794" width="8.7109375" style="111" bestFit="1" customWidth="1"/>
    <col min="12795" max="12795" width="7.5703125" style="111" bestFit="1" customWidth="1"/>
    <col min="12796" max="12796" width="8.42578125" style="111" bestFit="1" customWidth="1"/>
    <col min="12797" max="12798" width="12" style="111" customWidth="1"/>
    <col min="12799" max="13047" width="9.140625" style="111"/>
    <col min="13048" max="13048" width="37.5703125" style="111" customWidth="1"/>
    <col min="13049" max="13049" width="11.42578125" style="111" bestFit="1" customWidth="1"/>
    <col min="13050" max="13050" width="8.7109375" style="111" bestFit="1" customWidth="1"/>
    <col min="13051" max="13051" width="7.5703125" style="111" bestFit="1" customWidth="1"/>
    <col min="13052" max="13052" width="8.42578125" style="111" bestFit="1" customWidth="1"/>
    <col min="13053" max="13054" width="12" style="111" customWidth="1"/>
    <col min="13055" max="13303" width="9.140625" style="111"/>
    <col min="13304" max="13304" width="37.5703125" style="111" customWidth="1"/>
    <col min="13305" max="13305" width="11.42578125" style="111" bestFit="1" customWidth="1"/>
    <col min="13306" max="13306" width="8.7109375" style="111" bestFit="1" customWidth="1"/>
    <col min="13307" max="13307" width="7.5703125" style="111" bestFit="1" customWidth="1"/>
    <col min="13308" max="13308" width="8.42578125" style="111" bestFit="1" customWidth="1"/>
    <col min="13309" max="13310" width="12" style="111" customWidth="1"/>
    <col min="13311" max="13559" width="9.140625" style="111"/>
    <col min="13560" max="13560" width="37.5703125" style="111" customWidth="1"/>
    <col min="13561" max="13561" width="11.42578125" style="111" bestFit="1" customWidth="1"/>
    <col min="13562" max="13562" width="8.7109375" style="111" bestFit="1" customWidth="1"/>
    <col min="13563" max="13563" width="7.5703125" style="111" bestFit="1" customWidth="1"/>
    <col min="13564" max="13564" width="8.42578125" style="111" bestFit="1" customWidth="1"/>
    <col min="13565" max="13566" width="12" style="111" customWidth="1"/>
    <col min="13567" max="13815" width="9.140625" style="111"/>
    <col min="13816" max="13816" width="37.5703125" style="111" customWidth="1"/>
    <col min="13817" max="13817" width="11.42578125" style="111" bestFit="1" customWidth="1"/>
    <col min="13818" max="13818" width="8.7109375" style="111" bestFit="1" customWidth="1"/>
    <col min="13819" max="13819" width="7.5703125" style="111" bestFit="1" customWidth="1"/>
    <col min="13820" max="13820" width="8.42578125" style="111" bestFit="1" customWidth="1"/>
    <col min="13821" max="13822" width="12" style="111" customWidth="1"/>
    <col min="13823" max="14071" width="9.140625" style="111"/>
    <col min="14072" max="14072" width="37.5703125" style="111" customWidth="1"/>
    <col min="14073" max="14073" width="11.42578125" style="111" bestFit="1" customWidth="1"/>
    <col min="14074" max="14074" width="8.7109375" style="111" bestFit="1" customWidth="1"/>
    <col min="14075" max="14075" width="7.5703125" style="111" bestFit="1" customWidth="1"/>
    <col min="14076" max="14076" width="8.42578125" style="111" bestFit="1" customWidth="1"/>
    <col min="14077" max="14078" width="12" style="111" customWidth="1"/>
    <col min="14079" max="14327" width="9.140625" style="111"/>
    <col min="14328" max="14328" width="37.5703125" style="111" customWidth="1"/>
    <col min="14329" max="14329" width="11.42578125" style="111" bestFit="1" customWidth="1"/>
    <col min="14330" max="14330" width="8.7109375" style="111" bestFit="1" customWidth="1"/>
    <col min="14331" max="14331" width="7.5703125" style="111" bestFit="1" customWidth="1"/>
    <col min="14332" max="14332" width="8.42578125" style="111" bestFit="1" customWidth="1"/>
    <col min="14333" max="14334" width="12" style="111" customWidth="1"/>
    <col min="14335" max="14583" width="9.140625" style="111"/>
    <col min="14584" max="14584" width="37.5703125" style="111" customWidth="1"/>
    <col min="14585" max="14585" width="11.42578125" style="111" bestFit="1" customWidth="1"/>
    <col min="14586" max="14586" width="8.7109375" style="111" bestFit="1" customWidth="1"/>
    <col min="14587" max="14587" width="7.5703125" style="111" bestFit="1" customWidth="1"/>
    <col min="14588" max="14588" width="8.42578125" style="111" bestFit="1" customWidth="1"/>
    <col min="14589" max="14590" width="12" style="111" customWidth="1"/>
    <col min="14591" max="14839" width="9.140625" style="111"/>
    <col min="14840" max="14840" width="37.5703125" style="111" customWidth="1"/>
    <col min="14841" max="14841" width="11.42578125" style="111" bestFit="1" customWidth="1"/>
    <col min="14842" max="14842" width="8.7109375" style="111" bestFit="1" customWidth="1"/>
    <col min="14843" max="14843" width="7.5703125" style="111" bestFit="1" customWidth="1"/>
    <col min="14844" max="14844" width="8.42578125" style="111" bestFit="1" customWidth="1"/>
    <col min="14845" max="14846" width="12" style="111" customWidth="1"/>
    <col min="14847" max="15095" width="9.140625" style="111"/>
    <col min="15096" max="15096" width="37.5703125" style="111" customWidth="1"/>
    <col min="15097" max="15097" width="11.42578125" style="111" bestFit="1" customWidth="1"/>
    <col min="15098" max="15098" width="8.7109375" style="111" bestFit="1" customWidth="1"/>
    <col min="15099" max="15099" width="7.5703125" style="111" bestFit="1" customWidth="1"/>
    <col min="15100" max="15100" width="8.42578125" style="111" bestFit="1" customWidth="1"/>
    <col min="15101" max="15102" width="12" style="111" customWidth="1"/>
    <col min="15103" max="15351" width="9.140625" style="111"/>
    <col min="15352" max="15352" width="37.5703125" style="111" customWidth="1"/>
    <col min="15353" max="15353" width="11.42578125" style="111" bestFit="1" customWidth="1"/>
    <col min="15354" max="15354" width="8.7109375" style="111" bestFit="1" customWidth="1"/>
    <col min="15355" max="15355" width="7.5703125" style="111" bestFit="1" customWidth="1"/>
    <col min="15356" max="15356" width="8.42578125" style="111" bestFit="1" customWidth="1"/>
    <col min="15357" max="15358" width="12" style="111" customWidth="1"/>
    <col min="15359" max="15607" width="9.140625" style="111"/>
    <col min="15608" max="15608" width="37.5703125" style="111" customWidth="1"/>
    <col min="15609" max="15609" width="11.42578125" style="111" bestFit="1" customWidth="1"/>
    <col min="15610" max="15610" width="8.7109375" style="111" bestFit="1" customWidth="1"/>
    <col min="15611" max="15611" width="7.5703125" style="111" bestFit="1" customWidth="1"/>
    <col min="15612" max="15612" width="8.42578125" style="111" bestFit="1" customWidth="1"/>
    <col min="15613" max="15614" width="12" style="111" customWidth="1"/>
    <col min="15615" max="15863" width="9.140625" style="111"/>
    <col min="15864" max="15864" width="37.5703125" style="111" customWidth="1"/>
    <col min="15865" max="15865" width="11.42578125" style="111" bestFit="1" customWidth="1"/>
    <col min="15866" max="15866" width="8.7109375" style="111" bestFit="1" customWidth="1"/>
    <col min="15867" max="15867" width="7.5703125" style="111" bestFit="1" customWidth="1"/>
    <col min="15868" max="15868" width="8.42578125" style="111" bestFit="1" customWidth="1"/>
    <col min="15869" max="15870" width="12" style="111" customWidth="1"/>
    <col min="15871" max="16119" width="9.140625" style="111"/>
    <col min="16120" max="16120" width="37.5703125" style="111" customWidth="1"/>
    <col min="16121" max="16121" width="11.42578125" style="111" bestFit="1" customWidth="1"/>
    <col min="16122" max="16122" width="8.7109375" style="111" bestFit="1" customWidth="1"/>
    <col min="16123" max="16123" width="7.5703125" style="111" bestFit="1" customWidth="1"/>
    <col min="16124" max="16124" width="8.42578125" style="111" bestFit="1" customWidth="1"/>
    <col min="16125" max="16126" width="12" style="111" customWidth="1"/>
    <col min="16127" max="16384" width="9.140625" style="111"/>
  </cols>
  <sheetData>
    <row r="1" spans="1:8" ht="18.75" customHeight="1">
      <c r="A1" s="109" t="s">
        <v>164</v>
      </c>
      <c r="B1" s="110"/>
      <c r="C1" s="110"/>
      <c r="D1" s="110"/>
      <c r="E1" s="110"/>
      <c r="F1" s="110"/>
      <c r="G1" s="110"/>
      <c r="H1" s="110"/>
    </row>
    <row r="2" spans="1:8" ht="12.6" customHeight="1">
      <c r="A2" s="134"/>
      <c r="B2" s="134"/>
    </row>
    <row r="3" spans="1:8" ht="18" customHeight="1">
      <c r="A3" s="135"/>
      <c r="B3" s="884" t="s">
        <v>165</v>
      </c>
      <c r="C3" s="117" t="s">
        <v>2</v>
      </c>
      <c r="D3" s="117" t="s">
        <v>2</v>
      </c>
      <c r="E3" s="117" t="s">
        <v>19</v>
      </c>
      <c r="F3" s="882" t="s">
        <v>21</v>
      </c>
      <c r="G3" s="882"/>
      <c r="H3" s="882"/>
    </row>
    <row r="4" spans="1:8" ht="18" customHeight="1">
      <c r="A4" s="134"/>
      <c r="B4" s="885"/>
      <c r="C4" s="118" t="s">
        <v>41</v>
      </c>
      <c r="D4" s="118" t="s">
        <v>22</v>
      </c>
      <c r="E4" s="118" t="s">
        <v>42</v>
      </c>
      <c r="F4" s="118" t="s">
        <v>44</v>
      </c>
      <c r="G4" s="118" t="s">
        <v>25</v>
      </c>
      <c r="H4" s="118" t="s">
        <v>26</v>
      </c>
    </row>
    <row r="5" spans="1:8" ht="18" customHeight="1">
      <c r="A5" s="134"/>
      <c r="B5" s="885"/>
      <c r="C5" s="30" t="s">
        <v>28</v>
      </c>
      <c r="D5" s="30" t="s">
        <v>28</v>
      </c>
      <c r="E5" s="30" t="s">
        <v>28</v>
      </c>
      <c r="F5" s="30" t="s">
        <v>28</v>
      </c>
      <c r="G5" s="30" t="s">
        <v>28</v>
      </c>
      <c r="H5" s="30" t="s">
        <v>28</v>
      </c>
    </row>
    <row r="6" spans="1:8" ht="18" customHeight="1">
      <c r="A6" s="134"/>
      <c r="B6" s="886"/>
      <c r="C6" s="32">
        <v>2025</v>
      </c>
      <c r="D6" s="32">
        <v>2025</v>
      </c>
      <c r="E6" s="32">
        <v>2025</v>
      </c>
      <c r="F6" s="32">
        <v>2025</v>
      </c>
      <c r="G6" s="32">
        <v>2025</v>
      </c>
      <c r="H6" s="32">
        <v>2025</v>
      </c>
    </row>
    <row r="7" spans="1:8" ht="18" customHeight="1">
      <c r="A7" s="134"/>
      <c r="B7" s="136"/>
      <c r="C7" s="30"/>
      <c r="D7" s="30"/>
      <c r="E7" s="30"/>
      <c r="F7" s="30"/>
      <c r="G7" s="30"/>
      <c r="H7" s="30"/>
    </row>
    <row r="8" spans="1:8" ht="18" customHeight="1">
      <c r="A8" s="123" t="s">
        <v>119</v>
      </c>
      <c r="B8" s="124" t="s">
        <v>52</v>
      </c>
      <c r="C8" s="137">
        <v>11951.038473924229</v>
      </c>
      <c r="D8" s="137">
        <v>12476.83556850841</v>
      </c>
      <c r="E8" s="137">
        <v>9964.1042536417663</v>
      </c>
      <c r="F8" s="138">
        <v>105.76168636761562</v>
      </c>
      <c r="G8" s="138">
        <v>102.21200944098938</v>
      </c>
      <c r="H8" s="138">
        <v>110.84203727253748</v>
      </c>
    </row>
    <row r="9" spans="1:8" ht="18" customHeight="1">
      <c r="A9" s="123" t="s">
        <v>120</v>
      </c>
      <c r="B9" s="124" t="s">
        <v>121</v>
      </c>
      <c r="C9" s="137">
        <v>1942.7400000000002</v>
      </c>
      <c r="D9" s="137">
        <v>1990.1800000000007</v>
      </c>
      <c r="E9" s="137">
        <v>2101.4029999999993</v>
      </c>
      <c r="F9" s="138">
        <v>92.79205826764661</v>
      </c>
      <c r="G9" s="138">
        <v>98.787848704457502</v>
      </c>
      <c r="H9" s="138">
        <v>105.36781407476118</v>
      </c>
    </row>
    <row r="10" spans="1:8" ht="18" customHeight="1">
      <c r="A10" s="123" t="s">
        <v>122</v>
      </c>
      <c r="B10" s="124" t="s">
        <v>123</v>
      </c>
      <c r="C10" s="137">
        <v>1442.3899999999999</v>
      </c>
      <c r="D10" s="137">
        <v>1546.5899999999997</v>
      </c>
      <c r="E10" s="137">
        <v>1418.9300000000003</v>
      </c>
      <c r="F10" s="138">
        <v>85.621852006850261</v>
      </c>
      <c r="G10" s="138">
        <v>87.851969666846543</v>
      </c>
      <c r="H10" s="138">
        <v>104.04695909777524</v>
      </c>
    </row>
    <row r="11" spans="1:8" ht="18" customHeight="1">
      <c r="A11" s="123" t="s">
        <v>124</v>
      </c>
      <c r="B11" s="124" t="s">
        <v>52</v>
      </c>
      <c r="C11" s="137">
        <v>210.04168100000001</v>
      </c>
      <c r="D11" s="137">
        <v>209.42723800000007</v>
      </c>
      <c r="E11" s="137">
        <v>183.11656399999995</v>
      </c>
      <c r="F11" s="138">
        <v>107.5212575590553</v>
      </c>
      <c r="G11" s="138">
        <v>124.03540398413159</v>
      </c>
      <c r="H11" s="138">
        <v>94.997843261553342</v>
      </c>
    </row>
    <row r="12" spans="1:8" ht="18" customHeight="1">
      <c r="A12" s="123" t="s">
        <v>125</v>
      </c>
      <c r="B12" s="124" t="s">
        <v>121</v>
      </c>
      <c r="C12" s="137">
        <v>4212.7244669999991</v>
      </c>
      <c r="D12" s="137">
        <v>4656.8793109999997</v>
      </c>
      <c r="E12" s="137">
        <v>4672.0565139882065</v>
      </c>
      <c r="F12" s="138">
        <v>102.68542068342734</v>
      </c>
      <c r="G12" s="138">
        <v>119.74473755750373</v>
      </c>
      <c r="H12" s="138">
        <v>102.55266377903023</v>
      </c>
    </row>
    <row r="13" spans="1:8" ht="18" customHeight="1">
      <c r="A13" s="123" t="s">
        <v>126</v>
      </c>
      <c r="B13" s="124" t="s">
        <v>121</v>
      </c>
      <c r="C13" s="137">
        <v>372.80074999999999</v>
      </c>
      <c r="D13" s="137">
        <v>392.82333000000006</v>
      </c>
      <c r="E13" s="137">
        <v>346.0760600000001</v>
      </c>
      <c r="F13" s="138">
        <v>104.50081702767871</v>
      </c>
      <c r="G13" s="138">
        <v>102.33071719517119</v>
      </c>
      <c r="H13" s="138">
        <v>99.075144978635407</v>
      </c>
    </row>
    <row r="14" spans="1:8" ht="18" customHeight="1">
      <c r="A14" s="123" t="s">
        <v>127</v>
      </c>
      <c r="B14" s="124" t="s">
        <v>121</v>
      </c>
      <c r="C14" s="137">
        <v>1525.3927758484701</v>
      </c>
      <c r="D14" s="137">
        <v>1813.8579251979381</v>
      </c>
      <c r="E14" s="137">
        <v>1970.6383407063108</v>
      </c>
      <c r="F14" s="138">
        <v>104.8202063960926</v>
      </c>
      <c r="G14" s="138">
        <v>109.64504172144942</v>
      </c>
      <c r="H14" s="138">
        <v>112.421606520983</v>
      </c>
    </row>
    <row r="15" spans="1:8" ht="18" customHeight="1">
      <c r="A15" s="123" t="s">
        <v>128</v>
      </c>
      <c r="B15" s="124" t="s">
        <v>129</v>
      </c>
      <c r="C15" s="137">
        <v>396.41034708988389</v>
      </c>
      <c r="D15" s="137">
        <v>436.48479820916873</v>
      </c>
      <c r="E15" s="137">
        <v>410.60925304587215</v>
      </c>
      <c r="F15" s="138">
        <v>101.22858120569207</v>
      </c>
      <c r="G15" s="138">
        <v>104.82092125769525</v>
      </c>
      <c r="H15" s="138">
        <v>98.799146546167478</v>
      </c>
    </row>
    <row r="16" spans="1:8" ht="18" customHeight="1">
      <c r="A16" s="123" t="s">
        <v>130</v>
      </c>
      <c r="B16" s="124" t="s">
        <v>52</v>
      </c>
      <c r="C16" s="137">
        <v>33.540035276138909</v>
      </c>
      <c r="D16" s="137">
        <v>40.28996335789661</v>
      </c>
      <c r="E16" s="137">
        <v>38.191959354115937</v>
      </c>
      <c r="F16" s="138">
        <v>99.704801906268585</v>
      </c>
      <c r="G16" s="138">
        <v>111.50153140503846</v>
      </c>
      <c r="H16" s="138">
        <v>100.36253574950318</v>
      </c>
    </row>
    <row r="17" spans="1:8" ht="18" customHeight="1">
      <c r="A17" s="123" t="s">
        <v>131</v>
      </c>
      <c r="B17" s="124" t="s">
        <v>121</v>
      </c>
      <c r="C17" s="137">
        <v>775.6477663400367</v>
      </c>
      <c r="D17" s="137">
        <v>351.2714499999999</v>
      </c>
      <c r="E17" s="137">
        <v>83.139099999999871</v>
      </c>
      <c r="F17" s="138">
        <v>104.85228080081453</v>
      </c>
      <c r="G17" s="138">
        <v>130.86161185018796</v>
      </c>
      <c r="H17" s="138">
        <v>128.55312769867464</v>
      </c>
    </row>
    <row r="18" spans="1:8" ht="18" customHeight="1">
      <c r="A18" s="123" t="s">
        <v>132</v>
      </c>
      <c r="B18" s="124" t="s">
        <v>121</v>
      </c>
      <c r="C18" s="137">
        <v>79.827799688499297</v>
      </c>
      <c r="D18" s="137">
        <v>86.037375752523999</v>
      </c>
      <c r="E18" s="137">
        <v>87.32172045629288</v>
      </c>
      <c r="F18" s="138">
        <v>105.26936753665102</v>
      </c>
      <c r="G18" s="138">
        <v>107.18486754915222</v>
      </c>
      <c r="H18" s="138">
        <v>102.56983560719664</v>
      </c>
    </row>
    <row r="19" spans="1:8" ht="18" customHeight="1">
      <c r="A19" s="123" t="s">
        <v>133</v>
      </c>
      <c r="B19" s="124" t="s">
        <v>121</v>
      </c>
      <c r="C19" s="137">
        <v>3492.5921501266903</v>
      </c>
      <c r="D19" s="137">
        <v>3743.9788077271132</v>
      </c>
      <c r="E19" s="137">
        <v>3893.5350969717447</v>
      </c>
      <c r="F19" s="138">
        <v>107.13081334571046</v>
      </c>
      <c r="G19" s="138">
        <v>111.22766470275585</v>
      </c>
      <c r="H19" s="138">
        <v>110.09571884551805</v>
      </c>
    </row>
    <row r="20" spans="1:8" ht="18" customHeight="1">
      <c r="A20" s="123" t="s">
        <v>134</v>
      </c>
      <c r="B20" s="124" t="s">
        <v>121</v>
      </c>
      <c r="C20" s="137">
        <v>2083.5100107917901</v>
      </c>
      <c r="D20" s="137">
        <v>2520.586781956164</v>
      </c>
      <c r="E20" s="137">
        <v>2631.2942445656422</v>
      </c>
      <c r="F20" s="138">
        <v>107.89979950585904</v>
      </c>
      <c r="G20" s="138">
        <v>112.5915389268845</v>
      </c>
      <c r="H20" s="138">
        <v>121.34727193163815</v>
      </c>
    </row>
    <row r="21" spans="1:8" ht="18" customHeight="1">
      <c r="A21" s="123" t="s">
        <v>135</v>
      </c>
      <c r="B21" s="124" t="s">
        <v>129</v>
      </c>
      <c r="C21" s="137">
        <v>971.02401627424319</v>
      </c>
      <c r="D21" s="137">
        <v>1166.6117208383109</v>
      </c>
      <c r="E21" s="137">
        <v>1224.4559341852034</v>
      </c>
      <c r="F21" s="138">
        <v>99.52776786873865</v>
      </c>
      <c r="G21" s="138">
        <v>102.21836509456541</v>
      </c>
      <c r="H21" s="138">
        <v>109.89602917720407</v>
      </c>
    </row>
    <row r="22" spans="1:8" ht="18" customHeight="1">
      <c r="A22" s="65" t="s">
        <v>136</v>
      </c>
      <c r="B22" s="124" t="s">
        <v>137</v>
      </c>
      <c r="C22" s="137">
        <v>1771.15174003625</v>
      </c>
      <c r="D22" s="137">
        <v>2034.6781988389221</v>
      </c>
      <c r="E22" s="137">
        <v>2053.6087857518205</v>
      </c>
      <c r="F22" s="138">
        <v>101.63992091956418</v>
      </c>
      <c r="G22" s="138">
        <v>109.70094076500459</v>
      </c>
      <c r="H22" s="138">
        <v>106.94208122438262</v>
      </c>
    </row>
    <row r="23" spans="1:8" ht="18" customHeight="1">
      <c r="A23" s="65" t="s">
        <v>138</v>
      </c>
      <c r="B23" s="124" t="s">
        <v>139</v>
      </c>
      <c r="C23" s="137">
        <v>269.06123966673238</v>
      </c>
      <c r="D23" s="137">
        <v>271.37602627678143</v>
      </c>
      <c r="E23" s="137">
        <v>293.44162216503332</v>
      </c>
      <c r="F23" s="138">
        <v>116.62449218211366</v>
      </c>
      <c r="G23" s="138">
        <v>106.66038842777246</v>
      </c>
      <c r="H23" s="138">
        <v>104.78186829674461</v>
      </c>
    </row>
    <row r="24" spans="1:8" ht="27" customHeight="1">
      <c r="A24" s="126" t="s">
        <v>140</v>
      </c>
      <c r="B24" s="127" t="s">
        <v>121</v>
      </c>
      <c r="C24" s="139">
        <v>323.97704853712924</v>
      </c>
      <c r="D24" s="139">
        <v>297.21559665494317</v>
      </c>
      <c r="E24" s="139">
        <v>335.2158186753918</v>
      </c>
      <c r="F24" s="140">
        <v>98.354096016562337</v>
      </c>
      <c r="G24" s="140">
        <v>90.150018700883592</v>
      </c>
      <c r="H24" s="140">
        <v>104.62416313214476</v>
      </c>
    </row>
    <row r="25" spans="1:8" ht="18" customHeight="1">
      <c r="A25" s="123" t="s">
        <v>141</v>
      </c>
      <c r="B25" s="124" t="s">
        <v>142</v>
      </c>
      <c r="C25" s="137">
        <v>1392.9427210237388</v>
      </c>
      <c r="D25" s="137">
        <v>1543.1762816125085</v>
      </c>
      <c r="E25" s="137">
        <v>1656.7495152506028</v>
      </c>
      <c r="F25" s="138">
        <v>114.54929896475072</v>
      </c>
      <c r="G25" s="138">
        <v>115.58939976873587</v>
      </c>
      <c r="H25" s="138">
        <v>113.28201813679335</v>
      </c>
    </row>
    <row r="26" spans="1:8" ht="18" customHeight="1">
      <c r="A26" s="128" t="s">
        <v>143</v>
      </c>
      <c r="B26" s="124" t="s">
        <v>144</v>
      </c>
      <c r="C26" s="137">
        <v>81.786651908261604</v>
      </c>
      <c r="D26" s="137">
        <v>98.923450210590261</v>
      </c>
      <c r="E26" s="137">
        <v>99.309117186138621</v>
      </c>
      <c r="F26" s="138">
        <v>110.32328915283532</v>
      </c>
      <c r="G26" s="138">
        <v>115.41646273549205</v>
      </c>
      <c r="H26" s="138">
        <v>116.90990309746144</v>
      </c>
    </row>
    <row r="27" spans="1:8" ht="18" customHeight="1">
      <c r="A27" s="123" t="s">
        <v>145</v>
      </c>
      <c r="B27" s="124" t="s">
        <v>52</v>
      </c>
      <c r="C27" s="137">
        <v>725.38921328168999</v>
      </c>
      <c r="D27" s="137">
        <v>737.08944667605601</v>
      </c>
      <c r="E27" s="137">
        <v>616.19404470422614</v>
      </c>
      <c r="F27" s="138">
        <v>102.26736706980131</v>
      </c>
      <c r="G27" s="138">
        <v>109.83628107107164</v>
      </c>
      <c r="H27" s="138">
        <v>93.769220587752486</v>
      </c>
    </row>
    <row r="28" spans="1:8" ht="18" customHeight="1">
      <c r="A28" s="123" t="s">
        <v>146</v>
      </c>
      <c r="B28" s="124" t="s">
        <v>121</v>
      </c>
      <c r="C28" s="137">
        <v>843.4648063403879</v>
      </c>
      <c r="D28" s="137">
        <v>1072.1069936954368</v>
      </c>
      <c r="E28" s="137">
        <v>836.31683363694901</v>
      </c>
      <c r="F28" s="138">
        <v>119.11898417798422</v>
      </c>
      <c r="G28" s="138">
        <v>119.4702374916404</v>
      </c>
      <c r="H28" s="138">
        <v>108.83720152762169</v>
      </c>
    </row>
    <row r="29" spans="1:8" ht="18" customHeight="1">
      <c r="A29" s="123" t="s">
        <v>147</v>
      </c>
      <c r="B29" s="124" t="s">
        <v>121</v>
      </c>
      <c r="C29" s="137">
        <v>317.45890087812694</v>
      </c>
      <c r="D29" s="137">
        <v>372.011973223898</v>
      </c>
      <c r="E29" s="137">
        <v>384.13123544657975</v>
      </c>
      <c r="F29" s="138">
        <v>100.36292765585367</v>
      </c>
      <c r="G29" s="138">
        <v>115.19538404158607</v>
      </c>
      <c r="H29" s="138">
        <v>114.11759467828639</v>
      </c>
    </row>
    <row r="30" spans="1:8" ht="18" customHeight="1">
      <c r="A30" s="123" t="s">
        <v>148</v>
      </c>
      <c r="B30" s="124" t="s">
        <v>149</v>
      </c>
      <c r="C30" s="137">
        <v>39.026679267310797</v>
      </c>
      <c r="D30" s="137">
        <v>49.961769259131586</v>
      </c>
      <c r="E30" s="137">
        <v>47.669389807270861</v>
      </c>
      <c r="F30" s="138">
        <v>109.92575276014527</v>
      </c>
      <c r="G30" s="138">
        <v>116.35251341204373</v>
      </c>
      <c r="H30" s="138">
        <v>119.08416139712928</v>
      </c>
    </row>
    <row r="31" spans="1:8" ht="18" customHeight="1">
      <c r="A31" s="123" t="s">
        <v>150</v>
      </c>
      <c r="B31" s="124" t="s">
        <v>52</v>
      </c>
      <c r="C31" s="137">
        <v>4941.9871053421703</v>
      </c>
      <c r="D31" s="137">
        <v>5948.8716861488319</v>
      </c>
      <c r="E31" s="137">
        <v>6038.0162999315689</v>
      </c>
      <c r="F31" s="138">
        <v>100.17342037172945</v>
      </c>
      <c r="G31" s="138">
        <v>108.11216149293652</v>
      </c>
      <c r="H31" s="138">
        <v>102.26992377932875</v>
      </c>
    </row>
    <row r="32" spans="1:8" ht="18" customHeight="1">
      <c r="A32" s="65" t="s">
        <v>151</v>
      </c>
      <c r="B32" s="124" t="s">
        <v>121</v>
      </c>
      <c r="C32" s="137">
        <v>3698.6763506480802</v>
      </c>
      <c r="D32" s="137">
        <v>4542.89871520214</v>
      </c>
      <c r="E32" s="137">
        <v>4898.2542632583663</v>
      </c>
      <c r="F32" s="138">
        <v>108.76026420633799</v>
      </c>
      <c r="G32" s="138">
        <v>113.76586985881349</v>
      </c>
      <c r="H32" s="138">
        <v>120.6466567305016</v>
      </c>
    </row>
    <row r="33" spans="1:8" ht="18" customHeight="1">
      <c r="A33" s="123" t="s">
        <v>152</v>
      </c>
      <c r="B33" s="124" t="s">
        <v>121</v>
      </c>
      <c r="C33" s="137">
        <v>3117.141002647556</v>
      </c>
      <c r="D33" s="137">
        <v>3934.3025537117983</v>
      </c>
      <c r="E33" s="137">
        <v>3408.5225073496003</v>
      </c>
      <c r="F33" s="138">
        <v>107.16657820018467</v>
      </c>
      <c r="G33" s="138">
        <v>111.47543574396619</v>
      </c>
      <c r="H33" s="138">
        <v>104.22978739372515</v>
      </c>
    </row>
    <row r="34" spans="1:8" ht="18" customHeight="1">
      <c r="A34" s="123" t="s">
        <v>153</v>
      </c>
      <c r="B34" s="124" t="s">
        <v>142</v>
      </c>
      <c r="C34" s="137">
        <v>46.827933999999999</v>
      </c>
      <c r="D34" s="137">
        <v>45.285202999999996</v>
      </c>
      <c r="E34" s="137">
        <v>47.679178999999991</v>
      </c>
      <c r="F34" s="138">
        <v>100.50359825409201</v>
      </c>
      <c r="G34" s="138">
        <v>102.60164291489492</v>
      </c>
      <c r="H34" s="138">
        <v>102.28622224411382</v>
      </c>
    </row>
    <row r="35" spans="1:8" ht="27" customHeight="1">
      <c r="A35" s="129" t="s">
        <v>154</v>
      </c>
      <c r="B35" s="141" t="s">
        <v>155</v>
      </c>
      <c r="C35" s="139">
        <v>114.69197403575258</v>
      </c>
      <c r="D35" s="139">
        <v>151.59699966876548</v>
      </c>
      <c r="E35" s="139">
        <v>163.22927550484357</v>
      </c>
      <c r="F35" s="140">
        <v>107.75503159418682</v>
      </c>
      <c r="G35" s="140">
        <v>100.48860588033537</v>
      </c>
      <c r="H35" s="140">
        <v>97.330232908510311</v>
      </c>
    </row>
    <row r="36" spans="1:8" ht="18" customHeight="1">
      <c r="A36" s="123" t="s">
        <v>156</v>
      </c>
      <c r="B36" s="124" t="s">
        <v>157</v>
      </c>
      <c r="C36" s="137">
        <v>4219.09758505839</v>
      </c>
      <c r="D36" s="137">
        <v>5355.7739667142914</v>
      </c>
      <c r="E36" s="137">
        <v>6196.0039234445894</v>
      </c>
      <c r="F36" s="138">
        <v>129.922165060411</v>
      </c>
      <c r="G36" s="138">
        <v>115.44708219815914</v>
      </c>
      <c r="H36" s="138">
        <v>122.50363771282986</v>
      </c>
    </row>
    <row r="37" spans="1:8" ht="18" customHeight="1">
      <c r="A37" s="123" t="s">
        <v>158</v>
      </c>
      <c r="B37" s="124" t="s">
        <v>159</v>
      </c>
      <c r="C37" s="137">
        <v>107.81331954286627</v>
      </c>
      <c r="D37" s="137">
        <v>116.41432318408231</v>
      </c>
      <c r="E37" s="137">
        <v>114.12835057208626</v>
      </c>
      <c r="F37" s="138">
        <v>183.9723555839569</v>
      </c>
      <c r="G37" s="138">
        <v>156.34268030792265</v>
      </c>
      <c r="H37" s="138">
        <v>128.91051988759705</v>
      </c>
    </row>
    <row r="38" spans="1:8" ht="18" customHeight="1">
      <c r="A38" s="123" t="s">
        <v>160</v>
      </c>
      <c r="B38" s="124" t="s">
        <v>121</v>
      </c>
      <c r="C38" s="137">
        <v>725.87600692073795</v>
      </c>
      <c r="D38" s="137">
        <v>840.64695071577887</v>
      </c>
      <c r="E38" s="137">
        <v>881.83114547475441</v>
      </c>
      <c r="F38" s="138">
        <v>105.75349824271034</v>
      </c>
      <c r="G38" s="138">
        <v>106.58438417854461</v>
      </c>
      <c r="H38" s="138">
        <v>105.33498516958768</v>
      </c>
    </row>
    <row r="39" spans="1:8" ht="18" customHeight="1">
      <c r="A39" s="123" t="s">
        <v>161</v>
      </c>
      <c r="B39" s="124" t="s">
        <v>162</v>
      </c>
      <c r="C39" s="137">
        <v>73.409855277361004</v>
      </c>
      <c r="D39" s="137">
        <v>85.104934347621878</v>
      </c>
      <c r="E39" s="137">
        <v>88.592929721439987</v>
      </c>
      <c r="F39" s="138">
        <v>105.01217148516398</v>
      </c>
      <c r="G39" s="138">
        <v>102.68138311326022</v>
      </c>
      <c r="H39" s="138">
        <v>108.81905017844609</v>
      </c>
    </row>
    <row r="40" spans="1:8" ht="18" customHeight="1">
      <c r="A40" s="123" t="s">
        <v>163</v>
      </c>
      <c r="B40" s="124" t="s">
        <v>123</v>
      </c>
      <c r="C40" s="137">
        <v>951.0118573265662</v>
      </c>
      <c r="D40" s="137">
        <v>1039.5261484505272</v>
      </c>
      <c r="E40" s="137">
        <v>1041.8948656331986</v>
      </c>
      <c r="F40" s="138">
        <v>102.34404609646441</v>
      </c>
      <c r="G40" s="138">
        <v>103.60037357489806</v>
      </c>
      <c r="H40" s="138">
        <v>104.94509122010464</v>
      </c>
    </row>
    <row r="41" spans="1:8" ht="17.100000000000001" customHeight="1">
      <c r="A41" s="132"/>
    </row>
    <row r="42" spans="1:8" ht="17.100000000000001" customHeight="1">
      <c r="A42" s="132"/>
    </row>
    <row r="43" spans="1:8" ht="17.100000000000001" customHeight="1"/>
    <row r="44" spans="1:8" ht="15.75">
      <c r="A44" s="142"/>
      <c r="B44" s="142"/>
      <c r="C44" s="142"/>
      <c r="D44" s="142"/>
      <c r="E44" s="142"/>
      <c r="F44" s="142"/>
      <c r="G44" s="142"/>
      <c r="H44" s="142"/>
    </row>
    <row r="45" spans="1:8" ht="15.75">
      <c r="A45" s="142"/>
      <c r="B45" s="142"/>
      <c r="C45" s="142"/>
      <c r="D45" s="142"/>
      <c r="E45" s="142"/>
      <c r="F45" s="142"/>
      <c r="G45" s="142"/>
      <c r="H45" s="142"/>
    </row>
    <row r="46" spans="1:8" ht="15.75">
      <c r="A46" s="142"/>
      <c r="B46" s="142"/>
      <c r="C46" s="142"/>
      <c r="D46" s="142"/>
      <c r="E46" s="142"/>
      <c r="F46" s="142"/>
      <c r="G46" s="142"/>
      <c r="H46" s="142"/>
    </row>
    <row r="47" spans="1:8" ht="15.75">
      <c r="A47" s="142"/>
      <c r="B47" s="142"/>
      <c r="C47" s="142"/>
      <c r="D47" s="142"/>
      <c r="E47" s="142"/>
      <c r="F47" s="142"/>
      <c r="G47" s="142"/>
      <c r="H47" s="142"/>
    </row>
    <row r="48" spans="1:8" ht="15.75">
      <c r="A48" s="142"/>
      <c r="B48" s="142"/>
      <c r="C48" s="142"/>
      <c r="D48" s="142"/>
      <c r="E48" s="142"/>
      <c r="F48" s="142"/>
      <c r="G48" s="142"/>
      <c r="H48" s="142"/>
    </row>
    <row r="49" spans="1:8" ht="15.75">
      <c r="A49" s="142"/>
      <c r="B49" s="142"/>
      <c r="C49" s="142"/>
      <c r="D49" s="142"/>
      <c r="E49" s="142"/>
      <c r="F49" s="142"/>
      <c r="G49" s="142"/>
      <c r="H49" s="142"/>
    </row>
    <row r="50" spans="1:8" ht="15.75">
      <c r="A50" s="142"/>
      <c r="B50" s="142"/>
      <c r="C50" s="142"/>
      <c r="D50" s="142"/>
      <c r="E50" s="142"/>
      <c r="F50" s="142"/>
      <c r="G50" s="142"/>
      <c r="H50" s="142"/>
    </row>
    <row r="51" spans="1:8" ht="15.75">
      <c r="A51" s="142"/>
      <c r="B51" s="142"/>
      <c r="C51" s="142"/>
      <c r="D51" s="142"/>
      <c r="E51" s="142"/>
      <c r="F51" s="142"/>
      <c r="G51" s="142"/>
      <c r="H51" s="142"/>
    </row>
    <row r="52" spans="1:8" ht="15.75">
      <c r="A52" s="142"/>
      <c r="B52" s="142"/>
      <c r="C52" s="142"/>
      <c r="D52" s="142"/>
      <c r="E52" s="142"/>
      <c r="F52" s="142"/>
      <c r="G52" s="142"/>
      <c r="H52" s="142"/>
    </row>
    <row r="53" spans="1:8" ht="15.75">
      <c r="A53" s="142"/>
      <c r="B53" s="142"/>
      <c r="C53" s="142"/>
      <c r="D53" s="142"/>
      <c r="E53" s="142"/>
      <c r="F53" s="142"/>
      <c r="G53" s="142"/>
      <c r="H53" s="142"/>
    </row>
    <row r="54" spans="1:8" ht="15.75">
      <c r="A54" s="142"/>
      <c r="B54" s="142"/>
      <c r="C54" s="142"/>
      <c r="D54" s="142"/>
      <c r="E54" s="142"/>
      <c r="F54" s="142"/>
      <c r="G54" s="142"/>
      <c r="H54" s="142"/>
    </row>
    <row r="55" spans="1:8" ht="15.75">
      <c r="A55" s="142"/>
      <c r="B55" s="142"/>
      <c r="C55" s="142"/>
      <c r="D55" s="142"/>
      <c r="E55" s="142"/>
      <c r="F55" s="142"/>
      <c r="G55" s="142"/>
      <c r="H55" s="142"/>
    </row>
    <row r="56" spans="1:8" ht="15.75">
      <c r="A56" s="142"/>
      <c r="B56" s="142"/>
      <c r="C56" s="142"/>
      <c r="D56" s="142"/>
      <c r="E56" s="142"/>
      <c r="F56" s="142"/>
      <c r="G56" s="142"/>
      <c r="H56" s="142"/>
    </row>
    <row r="57" spans="1:8" ht="15.75">
      <c r="A57" s="142"/>
      <c r="B57" s="142"/>
      <c r="C57" s="142"/>
      <c r="D57" s="142"/>
      <c r="E57" s="142"/>
      <c r="F57" s="142"/>
      <c r="G57" s="142"/>
      <c r="H57" s="142"/>
    </row>
    <row r="58" spans="1:8" ht="15.75">
      <c r="A58" s="142"/>
      <c r="B58" s="142"/>
      <c r="C58" s="142"/>
      <c r="D58" s="142"/>
      <c r="E58" s="142"/>
      <c r="F58" s="142"/>
      <c r="G58" s="142"/>
      <c r="H58" s="142"/>
    </row>
    <row r="59" spans="1:8" ht="15.75">
      <c r="A59" s="142"/>
      <c r="B59" s="142"/>
      <c r="C59" s="142"/>
      <c r="D59" s="142"/>
      <c r="E59" s="142"/>
      <c r="F59" s="142"/>
      <c r="G59" s="142"/>
      <c r="H59" s="142"/>
    </row>
    <row r="60" spans="1:8" ht="15.75">
      <c r="A60" s="142"/>
      <c r="B60" s="142"/>
      <c r="C60" s="142"/>
      <c r="D60" s="142"/>
      <c r="E60" s="142"/>
      <c r="F60" s="142"/>
      <c r="G60" s="142"/>
      <c r="H60" s="142"/>
    </row>
    <row r="61" spans="1:8" ht="15.75">
      <c r="A61" s="142"/>
      <c r="B61" s="142"/>
      <c r="C61" s="142"/>
      <c r="D61" s="142"/>
      <c r="E61" s="142"/>
      <c r="F61" s="142"/>
      <c r="G61" s="142"/>
      <c r="H61" s="142"/>
    </row>
    <row r="62" spans="1:8" ht="15.75">
      <c r="A62" s="142"/>
      <c r="B62" s="142"/>
      <c r="C62" s="142"/>
      <c r="D62" s="142"/>
      <c r="E62" s="142"/>
      <c r="F62" s="142"/>
      <c r="G62" s="142"/>
      <c r="H62" s="142"/>
    </row>
    <row r="63" spans="1:8" ht="15.75">
      <c r="A63" s="142"/>
      <c r="B63" s="142"/>
      <c r="C63" s="142"/>
      <c r="D63" s="142"/>
      <c r="E63" s="142"/>
      <c r="F63" s="142"/>
      <c r="G63" s="142"/>
      <c r="H63" s="142"/>
    </row>
    <row r="64" spans="1:8" ht="15.75">
      <c r="A64" s="142"/>
      <c r="B64" s="142"/>
      <c r="C64" s="142"/>
      <c r="D64" s="142"/>
      <c r="E64" s="142"/>
      <c r="F64" s="142"/>
      <c r="G64" s="142"/>
      <c r="H64" s="142"/>
    </row>
    <row r="65" spans="1:8" ht="18" customHeight="1">
      <c r="A65" s="142"/>
      <c r="B65" s="142"/>
      <c r="C65" s="142"/>
      <c r="D65" s="142"/>
      <c r="E65" s="142"/>
      <c r="F65" s="142"/>
      <c r="G65" s="142"/>
      <c r="H65" s="142"/>
    </row>
    <row r="66" spans="1:8" ht="18" customHeight="1">
      <c r="A66" s="142"/>
      <c r="B66" s="142"/>
      <c r="C66" s="142"/>
      <c r="D66" s="142"/>
      <c r="E66" s="142"/>
      <c r="F66" s="142"/>
      <c r="G66" s="142"/>
      <c r="H66" s="142"/>
    </row>
    <row r="67" spans="1:8" ht="18" customHeight="1">
      <c r="A67" s="142"/>
      <c r="B67" s="142"/>
      <c r="C67" s="142"/>
      <c r="D67" s="142"/>
      <c r="E67" s="142"/>
      <c r="F67" s="142"/>
      <c r="G67" s="142"/>
      <c r="H67" s="142"/>
    </row>
    <row r="68" spans="1:8" ht="18" customHeight="1">
      <c r="A68" s="142"/>
      <c r="B68" s="142"/>
      <c r="C68" s="142"/>
      <c r="D68" s="142"/>
      <c r="E68" s="142"/>
      <c r="F68" s="142"/>
      <c r="G68" s="142"/>
      <c r="H68" s="142"/>
    </row>
    <row r="69" spans="1:8" ht="18" customHeight="1">
      <c r="A69" s="142"/>
      <c r="B69" s="142"/>
      <c r="C69" s="142"/>
      <c r="D69" s="142"/>
      <c r="E69" s="142"/>
      <c r="F69" s="142"/>
      <c r="G69" s="142"/>
      <c r="H69" s="142"/>
    </row>
    <row r="70" spans="1:8" ht="18" customHeight="1">
      <c r="A70" s="142"/>
      <c r="B70" s="142"/>
      <c r="C70" s="142"/>
      <c r="D70" s="142"/>
      <c r="E70" s="142"/>
      <c r="F70" s="142"/>
      <c r="G70" s="142"/>
      <c r="H70" s="142"/>
    </row>
    <row r="71" spans="1:8" ht="18" customHeight="1">
      <c r="A71" s="142"/>
      <c r="B71" s="142"/>
      <c r="C71" s="142"/>
      <c r="D71" s="142"/>
      <c r="E71" s="142"/>
      <c r="F71" s="142"/>
      <c r="G71" s="142"/>
      <c r="H71" s="142"/>
    </row>
    <row r="72" spans="1:8" ht="18" customHeight="1">
      <c r="A72" s="142"/>
      <c r="B72" s="142"/>
      <c r="C72" s="142"/>
      <c r="D72" s="142"/>
      <c r="E72" s="142"/>
      <c r="F72" s="142"/>
      <c r="G72" s="142"/>
      <c r="H72" s="142"/>
    </row>
    <row r="73" spans="1:8" ht="18" customHeight="1">
      <c r="A73" s="142"/>
      <c r="B73" s="142"/>
      <c r="C73" s="142"/>
      <c r="D73" s="142"/>
      <c r="E73" s="142"/>
      <c r="F73" s="142"/>
      <c r="G73" s="142"/>
      <c r="H73" s="142"/>
    </row>
    <row r="74" spans="1:8" ht="18" customHeight="1">
      <c r="A74" s="142"/>
      <c r="B74" s="142"/>
      <c r="C74" s="142"/>
      <c r="D74" s="142"/>
      <c r="E74" s="142"/>
      <c r="F74" s="142"/>
      <c r="G74" s="142"/>
      <c r="H74" s="142"/>
    </row>
    <row r="75" spans="1:8" ht="18" customHeight="1">
      <c r="A75" s="142"/>
      <c r="B75" s="142"/>
      <c r="C75" s="142"/>
      <c r="D75" s="142"/>
      <c r="E75" s="142"/>
      <c r="F75" s="142"/>
      <c r="G75" s="142"/>
      <c r="H75" s="142"/>
    </row>
    <row r="76" spans="1:8" ht="18" customHeight="1">
      <c r="A76" s="142"/>
      <c r="B76" s="142"/>
      <c r="C76" s="142"/>
      <c r="D76" s="142"/>
      <c r="E76" s="142"/>
      <c r="F76" s="142"/>
      <c r="G76" s="142"/>
      <c r="H76" s="142"/>
    </row>
  </sheetData>
  <mergeCells count="2">
    <mergeCell ref="B3:B6"/>
    <mergeCell ref="F3:H3"/>
  </mergeCells>
  <pageMargins left="0.86614173228346503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82"/>
  <sheetViews>
    <sheetView topLeftCell="A29" zoomScaleNormal="100" workbookViewId="0">
      <selection activeCell="A17" sqref="A17"/>
    </sheetView>
  </sheetViews>
  <sheetFormatPr defaultColWidth="17.42578125" defaultRowHeight="12"/>
  <cols>
    <col min="1" max="1" width="42.28515625" style="164" customWidth="1"/>
    <col min="2" max="2" width="9.7109375" style="145" customWidth="1"/>
    <col min="3" max="3" width="9.85546875" style="145" customWidth="1"/>
    <col min="4" max="4" width="9.7109375" style="145" customWidth="1"/>
    <col min="5" max="5" width="0.7109375" style="145" customWidth="1"/>
    <col min="6" max="6" width="10.7109375" style="145" customWidth="1"/>
    <col min="7" max="7" width="11.28515625" style="145" customWidth="1"/>
    <col min="8" max="13" width="8.7109375" style="145" customWidth="1"/>
    <col min="14" max="16384" width="17.42578125" style="145"/>
  </cols>
  <sheetData>
    <row r="1" spans="1:8" ht="20.100000000000001" customHeight="1">
      <c r="A1" s="143" t="s">
        <v>643</v>
      </c>
      <c r="B1" s="144"/>
      <c r="C1" s="144"/>
      <c r="D1" s="144"/>
      <c r="E1" s="144"/>
      <c r="F1" s="144"/>
      <c r="G1" s="144"/>
      <c r="H1" s="144"/>
    </row>
    <row r="2" spans="1:8" ht="20.100000000000001" customHeight="1">
      <c r="A2" s="145"/>
      <c r="G2" s="146" t="s">
        <v>61</v>
      </c>
    </row>
    <row r="3" spans="1:8" ht="18" customHeight="1">
      <c r="A3" s="147"/>
      <c r="B3" s="887" t="s">
        <v>166</v>
      </c>
      <c r="C3" s="887"/>
      <c r="D3" s="887"/>
      <c r="E3" s="148"/>
      <c r="F3" s="888" t="s">
        <v>167</v>
      </c>
      <c r="G3" s="888"/>
    </row>
    <row r="4" spans="1:8" ht="18" customHeight="1">
      <c r="A4" s="149"/>
      <c r="B4" s="150" t="s">
        <v>168</v>
      </c>
      <c r="C4" s="150" t="s">
        <v>168</v>
      </c>
      <c r="D4" s="150" t="s">
        <v>24</v>
      </c>
      <c r="E4" s="150"/>
      <c r="F4" s="150" t="s">
        <v>169</v>
      </c>
      <c r="G4" s="150" t="s">
        <v>169</v>
      </c>
    </row>
    <row r="5" spans="1:8" ht="18" customHeight="1">
      <c r="A5" s="149"/>
      <c r="B5" s="30" t="s">
        <v>53</v>
      </c>
      <c r="C5" s="30" t="s">
        <v>53</v>
      </c>
      <c r="D5" s="30" t="s">
        <v>53</v>
      </c>
      <c r="E5" s="150"/>
      <c r="F5" s="151" t="s">
        <v>170</v>
      </c>
      <c r="G5" s="151" t="s">
        <v>170</v>
      </c>
    </row>
    <row r="6" spans="1:8" ht="18" customHeight="1">
      <c r="A6" s="149"/>
      <c r="B6" s="150" t="s">
        <v>64</v>
      </c>
      <c r="C6" s="150" t="s">
        <v>64</v>
      </c>
      <c r="D6" s="150" t="s">
        <v>64</v>
      </c>
      <c r="E6" s="150"/>
      <c r="F6" s="150" t="s">
        <v>171</v>
      </c>
      <c r="G6" s="150" t="s">
        <v>171</v>
      </c>
    </row>
    <row r="7" spans="1:8" ht="18" customHeight="1">
      <c r="A7" s="149"/>
      <c r="B7" s="150" t="s">
        <v>172</v>
      </c>
      <c r="C7" s="150" t="s">
        <v>173</v>
      </c>
      <c r="D7" s="150" t="s">
        <v>173</v>
      </c>
      <c r="E7" s="150"/>
      <c r="F7" s="150" t="s">
        <v>174</v>
      </c>
      <c r="G7" s="150" t="s">
        <v>174</v>
      </c>
    </row>
    <row r="8" spans="1:8" ht="18" customHeight="1">
      <c r="A8" s="149"/>
      <c r="B8" s="152" t="s">
        <v>69</v>
      </c>
      <c r="C8" s="152" t="s">
        <v>68</v>
      </c>
      <c r="D8" s="152" t="s">
        <v>68</v>
      </c>
      <c r="E8" s="152"/>
      <c r="F8" s="152" t="s">
        <v>175</v>
      </c>
      <c r="G8" s="152" t="s">
        <v>68</v>
      </c>
    </row>
    <row r="9" spans="1:8" ht="16.5" customHeight="1">
      <c r="A9" s="149"/>
      <c r="B9" s="153"/>
      <c r="C9" s="153"/>
      <c r="D9" s="153"/>
      <c r="E9" s="153"/>
      <c r="F9" s="153"/>
      <c r="G9" s="153"/>
    </row>
    <row r="10" spans="1:8" ht="20.100000000000001" customHeight="1">
      <c r="A10" s="154" t="s">
        <v>176</v>
      </c>
      <c r="B10" s="155">
        <v>100.13</v>
      </c>
      <c r="C10" s="155">
        <v>109.25</v>
      </c>
      <c r="D10" s="155">
        <v>109.06</v>
      </c>
      <c r="E10" s="156"/>
      <c r="F10" s="156">
        <v>104.94</v>
      </c>
      <c r="G10" s="156">
        <v>113.34</v>
      </c>
    </row>
    <row r="11" spans="1:8" ht="20.100000000000001" customHeight="1">
      <c r="A11" s="157" t="s">
        <v>78</v>
      </c>
      <c r="B11" s="158">
        <v>98.22</v>
      </c>
      <c r="C11" s="158">
        <v>105.41</v>
      </c>
      <c r="D11" s="158">
        <v>105.08999999999999</v>
      </c>
      <c r="E11" s="159"/>
      <c r="F11" s="159">
        <v>105.21</v>
      </c>
      <c r="G11" s="159">
        <v>102.24</v>
      </c>
    </row>
    <row r="12" spans="1:8" ht="20.100000000000001" customHeight="1">
      <c r="A12" s="157" t="s">
        <v>79</v>
      </c>
      <c r="B12" s="158">
        <v>104.88999999999999</v>
      </c>
      <c r="C12" s="158">
        <v>110.96</v>
      </c>
      <c r="D12" s="158">
        <v>102.44</v>
      </c>
      <c r="E12" s="159"/>
      <c r="F12" s="159">
        <v>105.42</v>
      </c>
      <c r="G12" s="159">
        <v>103.8</v>
      </c>
    </row>
    <row r="13" spans="1:8" ht="20.100000000000001" customHeight="1">
      <c r="A13" s="157" t="s">
        <v>80</v>
      </c>
      <c r="B13" s="158">
        <v>103.08</v>
      </c>
      <c r="C13" s="158">
        <v>106.33</v>
      </c>
      <c r="D13" s="158">
        <v>103.91</v>
      </c>
      <c r="E13" s="159"/>
      <c r="F13" s="159">
        <v>106.54</v>
      </c>
      <c r="G13" s="159">
        <v>162.12</v>
      </c>
    </row>
    <row r="14" spans="1:8" ht="20.100000000000001" customHeight="1">
      <c r="A14" s="157" t="s">
        <v>81</v>
      </c>
      <c r="B14" s="158">
        <v>95.800000000000011</v>
      </c>
      <c r="C14" s="158">
        <v>102.21</v>
      </c>
      <c r="D14" s="158">
        <v>103.42</v>
      </c>
      <c r="E14" s="159"/>
      <c r="F14" s="159">
        <v>109.62</v>
      </c>
      <c r="G14" s="159">
        <v>122.79</v>
      </c>
    </row>
    <row r="15" spans="1:8" ht="20.100000000000001" customHeight="1">
      <c r="A15" s="157" t="s">
        <v>82</v>
      </c>
      <c r="B15" s="158">
        <v>100.33000000000001</v>
      </c>
      <c r="C15" s="158">
        <v>113.34</v>
      </c>
      <c r="D15" s="158">
        <v>112.24</v>
      </c>
      <c r="E15" s="159"/>
      <c r="F15" s="159">
        <v>101.94</v>
      </c>
      <c r="G15" s="159">
        <v>97.54</v>
      </c>
    </row>
    <row r="16" spans="1:8" ht="20.100000000000001" customHeight="1">
      <c r="A16" s="157" t="s">
        <v>83</v>
      </c>
      <c r="B16" s="158">
        <v>101.21000000000001</v>
      </c>
      <c r="C16" s="158">
        <v>115.71</v>
      </c>
      <c r="D16" s="158">
        <v>113.7</v>
      </c>
      <c r="E16" s="159"/>
      <c r="F16" s="159">
        <v>102.14</v>
      </c>
      <c r="G16" s="159">
        <v>97.07</v>
      </c>
    </row>
    <row r="17" spans="1:7" ht="40.15" customHeight="1">
      <c r="A17" s="157" t="s">
        <v>177</v>
      </c>
      <c r="B17" s="160">
        <v>93</v>
      </c>
      <c r="C17" s="160">
        <v>110.48</v>
      </c>
      <c r="D17" s="160">
        <v>112.28</v>
      </c>
      <c r="E17" s="161"/>
      <c r="F17" s="161">
        <v>104.84</v>
      </c>
      <c r="G17" s="161">
        <v>98.3</v>
      </c>
    </row>
    <row r="18" spans="1:7" ht="20.100000000000001" customHeight="1">
      <c r="A18" s="157" t="s">
        <v>85</v>
      </c>
      <c r="B18" s="158">
        <v>98.45</v>
      </c>
      <c r="C18" s="158">
        <v>120</v>
      </c>
      <c r="D18" s="158">
        <v>110.23</v>
      </c>
      <c r="E18" s="159"/>
      <c r="F18" s="159">
        <v>103.87</v>
      </c>
      <c r="G18" s="159">
        <v>116.69</v>
      </c>
    </row>
    <row r="19" spans="1:7" ht="20.100000000000001" customHeight="1">
      <c r="A19" s="157" t="s">
        <v>86</v>
      </c>
      <c r="B19" s="158">
        <v>97.58</v>
      </c>
      <c r="C19" s="158">
        <v>110.35</v>
      </c>
      <c r="D19" s="158">
        <v>111.48</v>
      </c>
      <c r="E19" s="159"/>
      <c r="F19" s="159">
        <v>101.96</v>
      </c>
      <c r="G19" s="159">
        <v>143.87</v>
      </c>
    </row>
    <row r="20" spans="1:7" ht="20.100000000000001" customHeight="1">
      <c r="A20" s="157" t="s">
        <v>87</v>
      </c>
      <c r="B20" s="158">
        <v>105.33000000000001</v>
      </c>
      <c r="C20" s="158">
        <v>104.91999999999999</v>
      </c>
      <c r="D20" s="158">
        <v>107.72000000000001</v>
      </c>
      <c r="E20" s="159"/>
      <c r="F20" s="159">
        <v>87.63</v>
      </c>
      <c r="G20" s="159">
        <v>71.66</v>
      </c>
    </row>
    <row r="21" spans="1:7" ht="20.100000000000001" customHeight="1">
      <c r="A21" s="157" t="s">
        <v>88</v>
      </c>
      <c r="B21" s="158">
        <v>105.83</v>
      </c>
      <c r="C21" s="158">
        <v>112.78999999999999</v>
      </c>
      <c r="D21" s="158">
        <v>105.52</v>
      </c>
      <c r="E21" s="159"/>
      <c r="F21" s="159">
        <v>109.98</v>
      </c>
      <c r="G21" s="159">
        <v>133.96</v>
      </c>
    </row>
    <row r="22" spans="1:7" ht="20.100000000000001" customHeight="1">
      <c r="A22" s="157" t="s">
        <v>89</v>
      </c>
      <c r="B22" s="158">
        <v>104.02000000000001</v>
      </c>
      <c r="C22" s="158">
        <v>107.17</v>
      </c>
      <c r="D22" s="158">
        <v>93.03</v>
      </c>
      <c r="E22" s="159"/>
      <c r="F22" s="159">
        <v>100.43</v>
      </c>
      <c r="G22" s="159">
        <v>74.67</v>
      </c>
    </row>
    <row r="23" spans="1:7" ht="20.100000000000001" customHeight="1">
      <c r="A23" s="157" t="s">
        <v>90</v>
      </c>
      <c r="B23" s="158">
        <v>97.31</v>
      </c>
      <c r="C23" s="158">
        <v>118.32</v>
      </c>
      <c r="D23" s="158">
        <v>113.18999999999998</v>
      </c>
      <c r="E23" s="159"/>
      <c r="F23" s="159">
        <v>107.69</v>
      </c>
      <c r="G23" s="159">
        <v>148.74</v>
      </c>
    </row>
    <row r="24" spans="1:7" ht="28.15" customHeight="1">
      <c r="A24" s="157" t="s">
        <v>178</v>
      </c>
      <c r="B24" s="158">
        <v>95.740000000000009</v>
      </c>
      <c r="C24" s="158">
        <v>116.54</v>
      </c>
      <c r="D24" s="158">
        <v>112.69</v>
      </c>
      <c r="E24" s="159"/>
      <c r="F24" s="159">
        <v>109.56</v>
      </c>
      <c r="G24" s="159">
        <v>122.92</v>
      </c>
    </row>
    <row r="25" spans="1:7" ht="20.100000000000001" customHeight="1">
      <c r="A25" s="157" t="s">
        <v>92</v>
      </c>
      <c r="B25" s="158">
        <v>93.350000000000009</v>
      </c>
      <c r="C25" s="158">
        <v>114.02</v>
      </c>
      <c r="D25" s="158">
        <v>114.83</v>
      </c>
      <c r="E25" s="159"/>
      <c r="F25" s="159">
        <v>107.17</v>
      </c>
      <c r="G25" s="159">
        <v>106.11</v>
      </c>
    </row>
    <row r="26" spans="1:7" ht="30" customHeight="1">
      <c r="A26" s="157" t="s">
        <v>93</v>
      </c>
      <c r="B26" s="158">
        <v>94.72</v>
      </c>
      <c r="C26" s="158">
        <v>94.029999999999987</v>
      </c>
      <c r="D26" s="158">
        <v>94.04</v>
      </c>
      <c r="E26" s="159"/>
      <c r="F26" s="159">
        <v>112.34</v>
      </c>
      <c r="G26" s="159">
        <v>111.39</v>
      </c>
    </row>
    <row r="27" spans="1:7" ht="30" customHeight="1">
      <c r="A27" s="157" t="s">
        <v>179</v>
      </c>
      <c r="B27" s="158">
        <v>97.820000000000007</v>
      </c>
      <c r="C27" s="158">
        <v>98.63</v>
      </c>
      <c r="D27" s="158">
        <v>108.75999999999999</v>
      </c>
      <c r="E27" s="159"/>
      <c r="F27" s="159">
        <v>98.3</v>
      </c>
      <c r="G27" s="159">
        <v>124.35</v>
      </c>
    </row>
    <row r="28" spans="1:7" ht="20.100000000000001" customHeight="1">
      <c r="A28" s="157" t="s">
        <v>95</v>
      </c>
      <c r="B28" s="158">
        <v>101.65</v>
      </c>
      <c r="C28" s="158">
        <v>132.71</v>
      </c>
      <c r="D28" s="158">
        <v>126.56</v>
      </c>
      <c r="E28" s="159"/>
      <c r="F28" s="159">
        <v>111.21</v>
      </c>
      <c r="G28" s="159">
        <v>133.1</v>
      </c>
    </row>
    <row r="29" spans="1:7" ht="30" customHeight="1">
      <c r="A29" s="157" t="s">
        <v>180</v>
      </c>
      <c r="B29" s="158">
        <v>91.820000000000007</v>
      </c>
      <c r="C29" s="158">
        <v>119.42999999999999</v>
      </c>
      <c r="D29" s="158">
        <v>105.46000000000001</v>
      </c>
      <c r="E29" s="159"/>
      <c r="F29" s="159">
        <v>104.6</v>
      </c>
      <c r="G29" s="159">
        <v>123.91</v>
      </c>
    </row>
    <row r="30" spans="1:7" ht="20.100000000000001" customHeight="1">
      <c r="A30" s="157" t="s">
        <v>97</v>
      </c>
      <c r="B30" s="158">
        <v>106.66999999999999</v>
      </c>
      <c r="C30" s="158">
        <v>81.86</v>
      </c>
      <c r="D30" s="158">
        <v>97.69</v>
      </c>
      <c r="E30" s="159"/>
      <c r="F30" s="159">
        <v>93.94</v>
      </c>
      <c r="G30" s="159">
        <v>85.59</v>
      </c>
    </row>
    <row r="31" spans="1:7" ht="20.100000000000001" customHeight="1">
      <c r="A31" s="157" t="s">
        <v>98</v>
      </c>
      <c r="B31" s="158">
        <v>85.53</v>
      </c>
      <c r="C31" s="158">
        <v>93.600000000000009</v>
      </c>
      <c r="D31" s="158">
        <v>105.89</v>
      </c>
      <c r="E31" s="159"/>
      <c r="F31" s="159">
        <v>92.54</v>
      </c>
      <c r="G31" s="159">
        <v>93.55</v>
      </c>
    </row>
    <row r="32" spans="1:7" ht="20.100000000000001" customHeight="1">
      <c r="A32" s="157" t="s">
        <v>99</v>
      </c>
      <c r="B32" s="158">
        <v>105.02</v>
      </c>
      <c r="C32" s="158">
        <v>123.25</v>
      </c>
      <c r="D32" s="158">
        <v>110.88</v>
      </c>
      <c r="E32" s="159"/>
      <c r="F32" s="159">
        <v>100.84</v>
      </c>
      <c r="G32" s="159">
        <v>128.27000000000001</v>
      </c>
    </row>
    <row r="33" spans="1:7" ht="20.100000000000001" customHeight="1">
      <c r="A33" s="157" t="s">
        <v>100</v>
      </c>
      <c r="B33" s="158">
        <v>101.57</v>
      </c>
      <c r="C33" s="158">
        <v>119.75</v>
      </c>
      <c r="D33" s="158">
        <v>112.8</v>
      </c>
      <c r="E33" s="159"/>
      <c r="F33" s="159">
        <v>100.92</v>
      </c>
      <c r="G33" s="159">
        <v>119.55</v>
      </c>
    </row>
    <row r="34" spans="1:7" ht="20.100000000000001" customHeight="1">
      <c r="A34" s="145"/>
      <c r="B34" s="162"/>
      <c r="C34" s="162"/>
      <c r="D34" s="162"/>
      <c r="E34" s="163"/>
      <c r="F34" s="162"/>
      <c r="G34" s="162"/>
    </row>
    <row r="35" spans="1:7" ht="20.100000000000001" customHeight="1">
      <c r="A35" s="145"/>
    </row>
    <row r="36" spans="1:7" ht="20.100000000000001" customHeight="1">
      <c r="A36" s="145"/>
    </row>
    <row r="37" spans="1:7" ht="19.5" customHeight="1">
      <c r="A37" s="145"/>
    </row>
    <row r="38" spans="1:7">
      <c r="A38" s="145"/>
    </row>
    <row r="39" spans="1:7">
      <c r="A39" s="145"/>
    </row>
    <row r="40" spans="1:7">
      <c r="A40" s="145"/>
    </row>
    <row r="41" spans="1:7">
      <c r="A41" s="145"/>
    </row>
    <row r="42" spans="1:7">
      <c r="A42" s="145"/>
    </row>
    <row r="43" spans="1:7">
      <c r="A43" s="145"/>
    </row>
    <row r="44" spans="1:7">
      <c r="A44" s="145"/>
    </row>
    <row r="45" spans="1:7">
      <c r="A45" s="145"/>
    </row>
    <row r="46" spans="1:7">
      <c r="A46" s="145"/>
    </row>
    <row r="47" spans="1:7">
      <c r="A47" s="145"/>
    </row>
    <row r="48" spans="1:7">
      <c r="A48" s="145"/>
    </row>
    <row r="49" s="145" customFormat="1"/>
    <row r="50" s="145" customFormat="1"/>
    <row r="51" s="145" customFormat="1"/>
    <row r="52" s="145" customFormat="1"/>
    <row r="53" s="145" customFormat="1"/>
    <row r="54" s="145" customFormat="1"/>
    <row r="55" s="145" customFormat="1"/>
    <row r="56" s="145" customFormat="1"/>
    <row r="57" s="145" customFormat="1"/>
    <row r="58" s="145" customFormat="1"/>
    <row r="59" s="145" customFormat="1"/>
    <row r="60" s="145" customFormat="1"/>
    <row r="61" s="145" customFormat="1"/>
    <row r="62" s="145" customFormat="1"/>
    <row r="63" s="145" customFormat="1"/>
    <row r="64" s="145" customFormat="1"/>
    <row r="65" s="145" customFormat="1"/>
    <row r="66" s="145" customFormat="1"/>
    <row r="67" s="145" customFormat="1"/>
    <row r="68" s="145" customFormat="1"/>
    <row r="69" s="145" customFormat="1"/>
    <row r="70" s="145" customFormat="1"/>
    <row r="71" s="145" customFormat="1"/>
    <row r="72" s="145" customFormat="1"/>
    <row r="73" s="145" customFormat="1"/>
    <row r="74" s="145" customFormat="1"/>
    <row r="75" s="145" customFormat="1"/>
    <row r="76" s="145" customFormat="1"/>
    <row r="77" s="145" customFormat="1"/>
    <row r="78" s="145" customFormat="1"/>
    <row r="79" s="145" customFormat="1"/>
    <row r="80" s="145" customFormat="1"/>
    <row r="81" s="145" customFormat="1"/>
    <row r="82" s="145" customFormat="1"/>
  </sheetData>
  <mergeCells count="2">
    <mergeCell ref="B3:D3"/>
    <mergeCell ref="F3:G3"/>
  </mergeCells>
  <pageMargins left="0.73" right="0.17" top="0.74803149606299202" bottom="0.511811023622047" header="0.43307086614173201" footer="0.31496062992126"/>
  <pageSetup paperSize="9" scale="99" firstPageNumber="38" orientation="portrait" r:id="rId1"/>
  <headerFooter alignWithMargins="0">
    <oddHeader>&amp;C&amp;"Times New Roman,Regular"&amp;13&amp;P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S52"/>
  <sheetViews>
    <sheetView workbookViewId="0">
      <selection activeCell="D13" sqref="D13"/>
    </sheetView>
  </sheetViews>
  <sheetFormatPr defaultColWidth="11.85546875" defaultRowHeight="16.5" customHeight="1"/>
  <cols>
    <col min="1" max="1" width="54.5703125" style="167" customWidth="1"/>
    <col min="2" max="2" width="16.5703125" style="167" customWidth="1"/>
    <col min="3" max="3" width="15" style="167" customWidth="1"/>
    <col min="4" max="4" width="11.85546875" style="167" customWidth="1"/>
    <col min="5" max="16384" width="11.85546875" style="167"/>
  </cols>
  <sheetData>
    <row r="1" spans="1:123" ht="20.100000000000001" customHeight="1">
      <c r="A1" s="889" t="s">
        <v>644</v>
      </c>
      <c r="B1" s="889"/>
      <c r="C1" s="889"/>
      <c r="D1" s="166"/>
      <c r="E1" s="166"/>
      <c r="F1" s="166"/>
      <c r="G1" s="166"/>
      <c r="H1" s="166"/>
    </row>
    <row r="2" spans="1:123" ht="6" customHeight="1">
      <c r="A2" s="165"/>
      <c r="B2" s="165"/>
      <c r="C2" s="165"/>
      <c r="D2" s="166"/>
      <c r="E2" s="166"/>
      <c r="F2" s="166"/>
      <c r="G2" s="166"/>
      <c r="H2" s="166"/>
    </row>
    <row r="3" spans="1:123" ht="15" customHeight="1">
      <c r="A3" s="168"/>
      <c r="C3" s="169" t="s">
        <v>61</v>
      </c>
    </row>
    <row r="4" spans="1:123" s="170" customFormat="1" ht="15" customHeight="1">
      <c r="A4" s="147"/>
      <c r="B4" s="148" t="s">
        <v>181</v>
      </c>
      <c r="C4" s="148" t="s">
        <v>181</v>
      </c>
    </row>
    <row r="5" spans="1:123" s="170" customFormat="1" ht="15" customHeight="1">
      <c r="A5" s="149"/>
      <c r="B5" s="150" t="s">
        <v>182</v>
      </c>
      <c r="C5" s="150" t="s">
        <v>182</v>
      </c>
    </row>
    <row r="6" spans="1:123" s="170" customFormat="1" ht="15" customHeight="1">
      <c r="A6" s="149"/>
      <c r="B6" s="151" t="s">
        <v>645</v>
      </c>
      <c r="C6" s="151" t="s">
        <v>645</v>
      </c>
    </row>
    <row r="7" spans="1:123" s="170" customFormat="1" ht="15" customHeight="1">
      <c r="A7" s="149"/>
      <c r="B7" s="150" t="s">
        <v>183</v>
      </c>
      <c r="C7" s="150" t="s">
        <v>183</v>
      </c>
    </row>
    <row r="8" spans="1:123" s="170" customFormat="1" ht="15" customHeight="1">
      <c r="A8" s="149"/>
      <c r="B8" s="152" t="s">
        <v>175</v>
      </c>
      <c r="C8" s="152" t="s">
        <v>68</v>
      </c>
    </row>
    <row r="9" spans="1:123" s="170" customFormat="1" ht="6" customHeight="1">
      <c r="A9" s="149"/>
      <c r="B9" s="150"/>
      <c r="C9" s="150"/>
    </row>
    <row r="10" spans="1:123" ht="18" customHeight="1">
      <c r="A10" s="74" t="s">
        <v>70</v>
      </c>
      <c r="B10" s="171">
        <v>101.15</v>
      </c>
      <c r="C10" s="171">
        <v>104.52</v>
      </c>
    </row>
    <row r="11" spans="1:123" s="174" customFormat="1" ht="16.5" customHeight="1">
      <c r="A11" s="172" t="s">
        <v>71</v>
      </c>
      <c r="B11" s="173">
        <v>100.02</v>
      </c>
      <c r="C11" s="173">
        <v>101.37</v>
      </c>
    </row>
    <row r="12" spans="1:123" s="177" customFormat="1" ht="16.5" customHeight="1">
      <c r="A12" s="157" t="s">
        <v>72</v>
      </c>
      <c r="B12" s="175">
        <v>100.08</v>
      </c>
      <c r="C12" s="175">
        <v>103.24</v>
      </c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6"/>
      <c r="BN12" s="176"/>
      <c r="BO12" s="176"/>
      <c r="BP12" s="176"/>
      <c r="BQ12" s="176"/>
      <c r="BR12" s="176"/>
      <c r="BS12" s="176"/>
      <c r="BT12" s="176"/>
      <c r="BU12" s="176"/>
      <c r="BV12" s="176"/>
      <c r="BW12" s="176"/>
      <c r="BX12" s="176"/>
      <c r="BY12" s="176"/>
      <c r="BZ12" s="176"/>
      <c r="CA12" s="176"/>
      <c r="CB12" s="176"/>
      <c r="CC12" s="176"/>
      <c r="CD12" s="176"/>
      <c r="CE12" s="176"/>
      <c r="CF12" s="176"/>
      <c r="CG12" s="176"/>
      <c r="CH12" s="176"/>
      <c r="CI12" s="176"/>
      <c r="CJ12" s="176"/>
      <c r="CK12" s="176"/>
      <c r="CL12" s="176"/>
      <c r="CM12" s="176"/>
      <c r="CN12" s="176"/>
      <c r="CO12" s="176"/>
      <c r="CP12" s="176"/>
      <c r="CQ12" s="176"/>
      <c r="CR12" s="176"/>
      <c r="CS12" s="176"/>
      <c r="CT12" s="176"/>
      <c r="CU12" s="176"/>
      <c r="CV12" s="176"/>
      <c r="CW12" s="176"/>
      <c r="CX12" s="176"/>
      <c r="CY12" s="176"/>
      <c r="CZ12" s="176"/>
      <c r="DA12" s="176"/>
      <c r="DB12" s="176"/>
      <c r="DC12" s="176"/>
      <c r="DD12" s="176"/>
      <c r="DE12" s="176"/>
      <c r="DF12" s="176"/>
      <c r="DG12" s="176"/>
      <c r="DH12" s="176"/>
      <c r="DI12" s="176"/>
      <c r="DJ12" s="176"/>
      <c r="DK12" s="176"/>
      <c r="DL12" s="176"/>
      <c r="DM12" s="176"/>
      <c r="DN12" s="176"/>
      <c r="DO12" s="176"/>
      <c r="DP12" s="176"/>
      <c r="DQ12" s="176"/>
      <c r="DR12" s="176"/>
      <c r="DS12" s="176"/>
    </row>
    <row r="13" spans="1:123" ht="16.5" customHeight="1">
      <c r="A13" s="157" t="s">
        <v>73</v>
      </c>
      <c r="B13" s="175">
        <v>100.05</v>
      </c>
      <c r="C13" s="175">
        <v>99.09</v>
      </c>
    </row>
    <row r="14" spans="1:123" ht="16.5" customHeight="1">
      <c r="A14" s="157" t="s">
        <v>74</v>
      </c>
      <c r="B14" s="175">
        <v>98.97</v>
      </c>
      <c r="C14" s="175">
        <v>88.42</v>
      </c>
    </row>
    <row r="15" spans="1:123" ht="16.5" customHeight="1">
      <c r="A15" s="157" t="s">
        <v>75</v>
      </c>
      <c r="B15" s="175">
        <v>100.06</v>
      </c>
      <c r="C15" s="175">
        <v>97.46</v>
      </c>
    </row>
    <row r="16" spans="1:123" ht="16.5" customHeight="1">
      <c r="A16" s="157" t="s">
        <v>76</v>
      </c>
      <c r="B16" s="175">
        <v>100.34</v>
      </c>
      <c r="C16" s="175">
        <v>105.37</v>
      </c>
    </row>
    <row r="17" spans="1:123" ht="16.5" customHeight="1">
      <c r="A17" s="178" t="s">
        <v>77</v>
      </c>
      <c r="B17" s="173">
        <v>101.23</v>
      </c>
      <c r="C17" s="173">
        <v>104.68</v>
      </c>
    </row>
    <row r="18" spans="1:123" s="179" customFormat="1" ht="16.5" customHeight="1">
      <c r="A18" s="157" t="s">
        <v>78</v>
      </c>
      <c r="B18" s="175">
        <v>100.94</v>
      </c>
      <c r="C18" s="175">
        <v>103.8</v>
      </c>
    </row>
    <row r="19" spans="1:123" ht="16.5" customHeight="1">
      <c r="A19" s="157" t="s">
        <v>79</v>
      </c>
      <c r="B19" s="175">
        <v>100.54</v>
      </c>
      <c r="C19" s="175">
        <v>95.78</v>
      </c>
    </row>
    <row r="20" spans="1:123" ht="16.5" customHeight="1">
      <c r="A20" s="157" t="s">
        <v>80</v>
      </c>
      <c r="B20" s="175">
        <v>99.99</v>
      </c>
      <c r="C20" s="175">
        <v>99.95</v>
      </c>
    </row>
    <row r="21" spans="1:123" ht="16.5" customHeight="1">
      <c r="A21" s="157" t="s">
        <v>81</v>
      </c>
      <c r="B21" s="175">
        <v>100.99</v>
      </c>
      <c r="C21" s="175">
        <v>101</v>
      </c>
    </row>
    <row r="22" spans="1:123" ht="16.5" customHeight="1">
      <c r="A22" s="157" t="s">
        <v>82</v>
      </c>
      <c r="B22" s="175">
        <v>101.33</v>
      </c>
      <c r="C22" s="175">
        <v>102.82</v>
      </c>
    </row>
    <row r="23" spans="1:123" ht="16.5" customHeight="1">
      <c r="A23" s="157" t="s">
        <v>83</v>
      </c>
      <c r="B23" s="175">
        <v>100.74</v>
      </c>
      <c r="C23" s="175">
        <v>101.66</v>
      </c>
    </row>
    <row r="24" spans="1:123" ht="27" customHeight="1">
      <c r="A24" s="157" t="s">
        <v>184</v>
      </c>
      <c r="B24" s="175">
        <v>100.23</v>
      </c>
      <c r="C24" s="175">
        <v>105.02</v>
      </c>
    </row>
    <row r="25" spans="1:123" ht="16.149999999999999" customHeight="1">
      <c r="A25" s="157" t="s">
        <v>85</v>
      </c>
      <c r="B25" s="175">
        <v>100.82</v>
      </c>
      <c r="C25" s="175">
        <v>100.2</v>
      </c>
    </row>
    <row r="26" spans="1:123" ht="16.149999999999999" customHeight="1">
      <c r="A26" s="157" t="s">
        <v>86</v>
      </c>
      <c r="B26" s="175">
        <v>100.55</v>
      </c>
      <c r="C26" s="175">
        <v>105.1</v>
      </c>
    </row>
    <row r="27" spans="1:123" ht="16.149999999999999" customHeight="1">
      <c r="A27" s="157" t="s">
        <v>87</v>
      </c>
      <c r="B27" s="175">
        <v>100.18</v>
      </c>
      <c r="C27" s="175">
        <v>101.92</v>
      </c>
    </row>
    <row r="28" spans="1:123" ht="16.149999999999999" customHeight="1">
      <c r="A28" s="157" t="s">
        <v>88</v>
      </c>
      <c r="B28" s="175">
        <v>99.87</v>
      </c>
      <c r="C28" s="175">
        <v>106.89</v>
      </c>
    </row>
    <row r="29" spans="1:123" s="180" customFormat="1" ht="16.149999999999999" customHeight="1">
      <c r="A29" s="157" t="s">
        <v>89</v>
      </c>
      <c r="B29" s="175">
        <v>99.79</v>
      </c>
      <c r="C29" s="175">
        <v>100.18</v>
      </c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</row>
    <row r="30" spans="1:123" ht="16.149999999999999" customHeight="1">
      <c r="A30" s="157" t="s">
        <v>90</v>
      </c>
      <c r="B30" s="175">
        <v>100.81</v>
      </c>
      <c r="C30" s="175">
        <v>104.62</v>
      </c>
    </row>
    <row r="31" spans="1:123" ht="16.149999999999999" customHeight="1">
      <c r="A31" s="157" t="s">
        <v>91</v>
      </c>
      <c r="B31" s="175">
        <v>100.45</v>
      </c>
      <c r="C31" s="175">
        <v>100.17</v>
      </c>
    </row>
    <row r="32" spans="1:123" ht="16.149999999999999" customHeight="1">
      <c r="A32" s="157" t="s">
        <v>92</v>
      </c>
      <c r="B32" s="175">
        <v>100.23</v>
      </c>
      <c r="C32" s="175">
        <v>98.29</v>
      </c>
    </row>
    <row r="33" spans="1:3" ht="16.149999999999999" customHeight="1">
      <c r="A33" s="157" t="s">
        <v>109</v>
      </c>
      <c r="B33" s="181">
        <v>100.77</v>
      </c>
      <c r="C33" s="181">
        <v>103.54</v>
      </c>
    </row>
    <row r="34" spans="1:3" ht="16.149999999999999" customHeight="1">
      <c r="A34" s="157" t="s">
        <v>110</v>
      </c>
      <c r="B34" s="175">
        <v>103</v>
      </c>
      <c r="C34" s="175">
        <v>114.57</v>
      </c>
    </row>
    <row r="35" spans="1:3" ht="16.149999999999999" customHeight="1">
      <c r="A35" s="157" t="s">
        <v>95</v>
      </c>
      <c r="B35" s="175">
        <v>101.34</v>
      </c>
      <c r="C35" s="175">
        <v>110.12</v>
      </c>
    </row>
    <row r="36" spans="1:3" ht="16.149999999999999" customHeight="1">
      <c r="A36" s="157" t="s">
        <v>96</v>
      </c>
      <c r="B36" s="175">
        <v>99.56</v>
      </c>
      <c r="C36" s="175">
        <v>104.41</v>
      </c>
    </row>
    <row r="37" spans="1:3" s="179" customFormat="1" ht="16.149999999999999" customHeight="1">
      <c r="A37" s="157" t="s">
        <v>97</v>
      </c>
      <c r="B37" s="175">
        <v>101.19</v>
      </c>
      <c r="C37" s="175">
        <v>109.32</v>
      </c>
    </row>
    <row r="38" spans="1:3" s="179" customFormat="1" ht="16.149999999999999" customHeight="1">
      <c r="A38" s="157" t="s">
        <v>98</v>
      </c>
      <c r="B38" s="175">
        <v>101.54</v>
      </c>
      <c r="C38" s="175">
        <v>110.44</v>
      </c>
    </row>
    <row r="39" spans="1:3" ht="16.149999999999999" customHeight="1">
      <c r="A39" s="157" t="s">
        <v>99</v>
      </c>
      <c r="B39" s="175">
        <v>100.98</v>
      </c>
      <c r="C39" s="175">
        <v>102.8</v>
      </c>
    </row>
    <row r="40" spans="1:3" ht="16.149999999999999" customHeight="1">
      <c r="A40" s="157" t="s">
        <v>100</v>
      </c>
      <c r="B40" s="175">
        <v>101.45</v>
      </c>
      <c r="C40" s="175">
        <v>103.73</v>
      </c>
    </row>
    <row r="41" spans="1:3" ht="16.149999999999999" customHeight="1">
      <c r="A41" s="157" t="s">
        <v>101</v>
      </c>
      <c r="B41" s="175">
        <v>100.03</v>
      </c>
      <c r="C41" s="175">
        <v>107.89</v>
      </c>
    </row>
    <row r="42" spans="1:3" ht="16.149999999999999" customHeight="1">
      <c r="A42" s="182" t="s">
        <v>102</v>
      </c>
      <c r="B42" s="173">
        <v>100.11</v>
      </c>
      <c r="C42" s="173">
        <v>104.66</v>
      </c>
    </row>
    <row r="43" spans="1:3" ht="16.149999999999999" customHeight="1">
      <c r="A43" s="182" t="s">
        <v>185</v>
      </c>
      <c r="B43" s="173">
        <v>100.22</v>
      </c>
      <c r="C43" s="173">
        <v>101.47</v>
      </c>
    </row>
    <row r="44" spans="1:3" ht="16.149999999999999" customHeight="1">
      <c r="A44" s="157" t="s">
        <v>104</v>
      </c>
      <c r="B44" s="175">
        <v>99.87</v>
      </c>
      <c r="C44" s="175">
        <v>99.89</v>
      </c>
    </row>
    <row r="45" spans="1:3" ht="16.149999999999999" customHeight="1">
      <c r="A45" s="157" t="s">
        <v>105</v>
      </c>
      <c r="B45" s="175">
        <v>100.42</v>
      </c>
      <c r="C45" s="175">
        <v>105.83</v>
      </c>
    </row>
    <row r="46" spans="1:3" ht="16.149999999999999" customHeight="1">
      <c r="A46" s="157" t="s">
        <v>112</v>
      </c>
      <c r="B46" s="181">
        <v>100.43</v>
      </c>
      <c r="C46" s="181">
        <v>101.9</v>
      </c>
    </row>
    <row r="47" spans="1:3" ht="16.149999999999999" customHeight="1">
      <c r="A47" s="157" t="s">
        <v>186</v>
      </c>
      <c r="B47" s="175">
        <v>101.47</v>
      </c>
      <c r="C47" s="175">
        <v>101.47</v>
      </c>
    </row>
    <row r="48" spans="1:3" ht="18" customHeight="1"/>
    <row r="49" ht="18" customHeight="1"/>
    <row r="50" ht="18" customHeight="1"/>
    <row r="51" ht="18" customHeight="1"/>
    <row r="52" ht="18" customHeight="1"/>
  </sheetData>
  <mergeCells count="1">
    <mergeCell ref="A1:C1"/>
  </mergeCells>
  <pageMargins left="0.86614173228346503" right="0.17" top="0.74803149606299202" bottom="0.511811023622047" header="0.43307086614173201" footer="0.31496062992126"/>
  <pageSetup paperSize="9" firstPageNumber="38" orientation="portrait" r:id="rId1"/>
  <headerFooter alignWithMargins="0">
    <oddHeader>&amp;C&amp;"Times New Roman,Regular"&amp;13&amp;P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42"/>
  <sheetViews>
    <sheetView workbookViewId="0">
      <selection activeCell="D13" sqref="D13"/>
    </sheetView>
  </sheetViews>
  <sheetFormatPr defaultColWidth="9.140625" defaultRowHeight="15"/>
  <cols>
    <col min="1" max="1" width="31.42578125" style="190" customWidth="1"/>
    <col min="2" max="3" width="26" style="190" customWidth="1"/>
    <col min="4" max="16384" width="9.140625" style="190"/>
  </cols>
  <sheetData>
    <row r="1" spans="1:3" s="167" customFormat="1" ht="20.100000000000001" customHeight="1">
      <c r="A1" s="183" t="s">
        <v>646</v>
      </c>
      <c r="B1" s="184"/>
      <c r="C1" s="184"/>
    </row>
    <row r="2" spans="1:3" s="167" customFormat="1" ht="20.100000000000001" customHeight="1">
      <c r="A2" s="165" t="s">
        <v>187</v>
      </c>
      <c r="B2" s="165"/>
      <c r="C2" s="165"/>
    </row>
    <row r="3" spans="1:3" s="167" customFormat="1" ht="27" customHeight="1">
      <c r="A3" s="168"/>
      <c r="C3" s="169" t="s">
        <v>61</v>
      </c>
    </row>
    <row r="4" spans="1:3" s="170" customFormat="1" ht="18" customHeight="1">
      <c r="A4" s="147"/>
      <c r="B4" s="148" t="s">
        <v>188</v>
      </c>
      <c r="C4" s="148" t="s">
        <v>188</v>
      </c>
    </row>
    <row r="5" spans="1:3" s="170" customFormat="1" ht="18" customHeight="1">
      <c r="A5" s="149"/>
      <c r="B5" s="185" t="s">
        <v>189</v>
      </c>
      <c r="C5" s="185" t="s">
        <v>189</v>
      </c>
    </row>
    <row r="6" spans="1:3" s="170" customFormat="1" ht="18" customHeight="1">
      <c r="A6" s="149"/>
      <c r="B6" s="152" t="s">
        <v>190</v>
      </c>
      <c r="C6" s="152" t="s">
        <v>191</v>
      </c>
    </row>
    <row r="7" spans="1:3" s="170" customFormat="1" ht="15" customHeight="1">
      <c r="A7" s="149"/>
      <c r="B7" s="150"/>
      <c r="C7" s="150"/>
    </row>
    <row r="8" spans="1:3" s="167" customFormat="1" ht="19.5" customHeight="1">
      <c r="A8" s="186" t="s">
        <v>192</v>
      </c>
      <c r="B8" s="187">
        <v>101.15</v>
      </c>
      <c r="C8" s="187">
        <v>104.52</v>
      </c>
    </row>
    <row r="9" spans="1:3" ht="19.5" customHeight="1">
      <c r="A9" s="188" t="s">
        <v>193</v>
      </c>
      <c r="B9" s="189">
        <v>100.54</v>
      </c>
      <c r="C9" s="189">
        <v>98.95</v>
      </c>
    </row>
    <row r="10" spans="1:3" ht="19.5" customHeight="1">
      <c r="A10" s="188" t="s">
        <v>194</v>
      </c>
      <c r="B10" s="189">
        <v>103.43</v>
      </c>
      <c r="C10" s="189">
        <v>111.29</v>
      </c>
    </row>
    <row r="11" spans="1:3" ht="19.5" customHeight="1">
      <c r="A11" s="188" t="s">
        <v>195</v>
      </c>
      <c r="B11" s="189">
        <v>101.09</v>
      </c>
      <c r="C11" s="189">
        <v>105.35</v>
      </c>
    </row>
    <row r="12" spans="1:3" ht="19.5" customHeight="1">
      <c r="A12" s="188" t="s">
        <v>196</v>
      </c>
      <c r="B12" s="189">
        <v>101.96</v>
      </c>
      <c r="C12" s="189">
        <v>104.25</v>
      </c>
    </row>
    <row r="13" spans="1:3" ht="19.5" customHeight="1">
      <c r="A13" s="188" t="s">
        <v>197</v>
      </c>
      <c r="B13" s="189">
        <v>100.63</v>
      </c>
      <c r="C13" s="189">
        <v>105.59</v>
      </c>
    </row>
    <row r="14" spans="1:3" ht="19.5" customHeight="1">
      <c r="A14" s="188" t="s">
        <v>198</v>
      </c>
      <c r="B14" s="189">
        <v>100.67</v>
      </c>
      <c r="C14" s="189">
        <v>101.85</v>
      </c>
    </row>
    <row r="15" spans="1:3" ht="19.5" customHeight="1">
      <c r="A15" s="188" t="s">
        <v>199</v>
      </c>
      <c r="B15" s="189">
        <v>99.82</v>
      </c>
      <c r="C15" s="189">
        <v>105.6</v>
      </c>
    </row>
    <row r="16" spans="1:3" ht="19.5" customHeight="1">
      <c r="A16" s="188" t="s">
        <v>200</v>
      </c>
      <c r="B16" s="189">
        <v>100.42</v>
      </c>
      <c r="C16" s="189">
        <v>101.34</v>
      </c>
    </row>
    <row r="17" spans="1:3" ht="19.5" customHeight="1">
      <c r="A17" s="188" t="s">
        <v>201</v>
      </c>
      <c r="B17" s="189">
        <v>100.45</v>
      </c>
      <c r="C17" s="189">
        <v>109.61</v>
      </c>
    </row>
    <row r="18" spans="1:3" ht="19.5" customHeight="1">
      <c r="A18" s="188" t="s">
        <v>202</v>
      </c>
      <c r="B18" s="189">
        <v>100.2</v>
      </c>
      <c r="C18" s="189">
        <v>97.89</v>
      </c>
    </row>
    <row r="19" spans="1:3" ht="19.5" customHeight="1">
      <c r="A19" s="188" t="s">
        <v>203</v>
      </c>
      <c r="B19" s="189">
        <v>100.46</v>
      </c>
      <c r="C19" s="189">
        <v>98.99</v>
      </c>
    </row>
    <row r="20" spans="1:3" ht="19.5" customHeight="1">
      <c r="A20" s="188" t="s">
        <v>204</v>
      </c>
      <c r="B20" s="189">
        <v>101.79</v>
      </c>
      <c r="C20" s="189">
        <v>104.32</v>
      </c>
    </row>
    <row r="21" spans="1:3" ht="19.5" customHeight="1">
      <c r="A21" s="188" t="s">
        <v>205</v>
      </c>
      <c r="B21" s="189">
        <v>101.93</v>
      </c>
      <c r="C21" s="189">
        <v>105.8</v>
      </c>
    </row>
    <row r="22" spans="1:3" ht="19.5" customHeight="1">
      <c r="A22" s="188" t="s">
        <v>206</v>
      </c>
      <c r="B22" s="189">
        <v>99.92</v>
      </c>
      <c r="C22" s="189">
        <v>100.79</v>
      </c>
    </row>
    <row r="23" spans="1:3" ht="19.5" customHeight="1">
      <c r="A23" s="188" t="s">
        <v>207</v>
      </c>
      <c r="B23" s="189">
        <v>101.36</v>
      </c>
      <c r="C23" s="189">
        <v>98.6</v>
      </c>
    </row>
    <row r="24" spans="1:3" ht="19.5" customHeight="1">
      <c r="A24" s="188" t="s">
        <v>208</v>
      </c>
      <c r="B24" s="189">
        <v>100.05</v>
      </c>
      <c r="C24" s="189">
        <v>110.56</v>
      </c>
    </row>
    <row r="25" spans="1:3" ht="19.5" customHeight="1">
      <c r="A25" s="188" t="s">
        <v>209</v>
      </c>
      <c r="B25" s="189">
        <v>101.48</v>
      </c>
      <c r="C25" s="189">
        <v>117.1</v>
      </c>
    </row>
    <row r="26" spans="1:3" ht="19.5" customHeight="1">
      <c r="A26" s="188" t="s">
        <v>210</v>
      </c>
      <c r="B26" s="189">
        <v>104.71</v>
      </c>
      <c r="C26" s="189">
        <v>133.25</v>
      </c>
    </row>
    <row r="27" spans="1:3" ht="19.5" customHeight="1">
      <c r="A27" s="188" t="s">
        <v>211</v>
      </c>
      <c r="B27" s="189">
        <v>100.26</v>
      </c>
      <c r="C27" s="189">
        <v>102.26</v>
      </c>
    </row>
    <row r="28" spans="1:3" ht="19.5" customHeight="1">
      <c r="A28" s="188" t="s">
        <v>212</v>
      </c>
      <c r="B28" s="189">
        <v>100.62</v>
      </c>
      <c r="C28" s="189">
        <v>106.57</v>
      </c>
    </row>
    <row r="29" spans="1:3" ht="18.399999999999999" customHeight="1">
      <c r="A29" s="188" t="s">
        <v>213</v>
      </c>
      <c r="B29" s="189">
        <v>100.59</v>
      </c>
      <c r="C29" s="189">
        <v>104.89</v>
      </c>
    </row>
    <row r="30" spans="1:3" ht="18.399999999999999" customHeight="1">
      <c r="A30" s="188" t="s">
        <v>214</v>
      </c>
      <c r="B30" s="189">
        <v>100.45</v>
      </c>
      <c r="C30" s="189">
        <v>98.69</v>
      </c>
    </row>
    <row r="31" spans="1:3" ht="18.399999999999999" customHeight="1">
      <c r="A31" s="188" t="s">
        <v>215</v>
      </c>
      <c r="B31" s="189">
        <v>99.56</v>
      </c>
      <c r="C31" s="189">
        <v>102.02</v>
      </c>
    </row>
    <row r="32" spans="1:3" ht="18.399999999999999" customHeight="1">
      <c r="A32" s="188" t="s">
        <v>216</v>
      </c>
      <c r="B32" s="189">
        <v>100.97</v>
      </c>
      <c r="C32" s="189">
        <v>110.66</v>
      </c>
    </row>
    <row r="33" spans="1:3" ht="18.399999999999999" customHeight="1">
      <c r="A33" s="188" t="s">
        <v>217</v>
      </c>
      <c r="B33" s="189">
        <v>100.53</v>
      </c>
      <c r="C33" s="189">
        <v>108.41</v>
      </c>
    </row>
    <row r="34" spans="1:3" ht="18.399999999999999" customHeight="1">
      <c r="A34" s="188" t="s">
        <v>218</v>
      </c>
      <c r="B34" s="189">
        <v>102.91</v>
      </c>
      <c r="C34" s="189">
        <v>105.45</v>
      </c>
    </row>
    <row r="35" spans="1:3" ht="18.399999999999999" customHeight="1">
      <c r="A35" s="188" t="s">
        <v>219</v>
      </c>
      <c r="B35" s="189">
        <v>100.98</v>
      </c>
      <c r="C35" s="189">
        <v>104.01</v>
      </c>
    </row>
    <row r="36" spans="1:3" ht="18.399999999999999" customHeight="1">
      <c r="A36" s="188" t="s">
        <v>220</v>
      </c>
      <c r="B36" s="189">
        <v>100.13</v>
      </c>
      <c r="C36" s="189">
        <v>102.61</v>
      </c>
    </row>
    <row r="37" spans="1:3" ht="18.399999999999999" customHeight="1">
      <c r="A37" s="188" t="s">
        <v>221</v>
      </c>
      <c r="B37" s="189">
        <v>100.89</v>
      </c>
      <c r="C37" s="189">
        <v>102.57</v>
      </c>
    </row>
    <row r="38" spans="1:3" ht="18.399999999999999" customHeight="1">
      <c r="A38" s="188" t="s">
        <v>222</v>
      </c>
      <c r="B38" s="189">
        <v>100.44</v>
      </c>
      <c r="C38" s="189">
        <v>104.25</v>
      </c>
    </row>
    <row r="39" spans="1:3" ht="18.399999999999999" customHeight="1">
      <c r="A39" s="188" t="s">
        <v>223</v>
      </c>
      <c r="B39" s="189">
        <v>101.17</v>
      </c>
      <c r="C39" s="189">
        <v>106.39</v>
      </c>
    </row>
    <row r="40" spans="1:3" ht="18.399999999999999" customHeight="1">
      <c r="A40" s="188" t="s">
        <v>224</v>
      </c>
      <c r="B40" s="189">
        <v>103.75</v>
      </c>
      <c r="C40" s="189">
        <v>104.48</v>
      </c>
    </row>
    <row r="41" spans="1:3" ht="18.399999999999999" customHeight="1">
      <c r="A41" s="188" t="s">
        <v>225</v>
      </c>
      <c r="B41" s="189">
        <v>101.97</v>
      </c>
      <c r="C41" s="189">
        <v>103.02</v>
      </c>
    </row>
    <row r="42" spans="1:3" ht="18.399999999999999" customHeight="1">
      <c r="A42" s="188" t="s">
        <v>226</v>
      </c>
      <c r="B42" s="189">
        <v>100.45</v>
      </c>
      <c r="C42" s="189">
        <v>106.16</v>
      </c>
    </row>
  </sheetData>
  <pageMargins left="0.86614173228346503" right="0.17" top="0.74803149606299202" bottom="0.511811023622047" header="0.43307086614173201" footer="0.31496062992126"/>
  <pageSetup paperSize="9" scale="96" firstPageNumber="27" orientation="portrait" r:id="rId1"/>
  <headerFooter alignWithMargins="0">
    <oddHeader>&amp;C&amp;"Times New Roman,Regular"&amp;13&amp;P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51"/>
  <sheetViews>
    <sheetView zoomScale="90" zoomScaleNormal="90" workbookViewId="0">
      <selection activeCell="D13" sqref="D13"/>
    </sheetView>
  </sheetViews>
  <sheetFormatPr defaultColWidth="7.5703125" defaultRowHeight="14.25"/>
  <cols>
    <col min="1" max="1" width="36.140625" style="223" customWidth="1"/>
    <col min="2" max="2" width="8.140625" style="223" customWidth="1"/>
    <col min="3" max="3" width="8.7109375" style="223" customWidth="1"/>
    <col min="4" max="4" width="9.28515625" style="223" customWidth="1"/>
    <col min="5" max="5" width="8.7109375" style="223" customWidth="1"/>
    <col min="6" max="6" width="9.5703125" style="223" customWidth="1"/>
    <col min="7" max="7" width="10.85546875" style="223" customWidth="1"/>
    <col min="8" max="8" width="7.5703125" style="223" hidden="1" customWidth="1"/>
    <col min="9" max="9" width="9.42578125" style="223" hidden="1" customWidth="1"/>
    <col min="10" max="10" width="10.5703125" style="223" hidden="1" customWidth="1"/>
    <col min="11" max="11" width="3.140625" style="223" hidden="1" customWidth="1"/>
    <col min="12" max="14" width="7.5703125" style="223" hidden="1" customWidth="1"/>
    <col min="15" max="16" width="0" style="223" hidden="1" customWidth="1"/>
    <col min="17" max="17" width="8.28515625" style="223" hidden="1" customWidth="1"/>
    <col min="18" max="18" width="0" style="223" hidden="1" customWidth="1"/>
    <col min="19" max="16384" width="7.5703125" style="223"/>
  </cols>
  <sheetData>
    <row r="1" spans="1:17" s="192" customFormat="1" ht="20.100000000000001" customHeight="1">
      <c r="A1" s="191" t="s">
        <v>647</v>
      </c>
    </row>
    <row r="2" spans="1:17" s="194" customFormat="1" ht="20.100000000000001" customHeight="1">
      <c r="A2" s="193"/>
    </row>
    <row r="3" spans="1:17" s="196" customFormat="1" ht="20.100000000000001" customHeight="1">
      <c r="A3" s="195"/>
      <c r="E3" s="197"/>
      <c r="F3" s="198"/>
      <c r="L3" s="199" t="s">
        <v>227</v>
      </c>
      <c r="M3" s="200" t="s">
        <v>228</v>
      </c>
      <c r="N3" s="200" t="s">
        <v>229</v>
      </c>
    </row>
    <row r="4" spans="1:17" s="204" customFormat="1" ht="16.899999999999999" customHeight="1">
      <c r="A4" s="201"/>
      <c r="B4" s="202" t="s">
        <v>62</v>
      </c>
      <c r="C4" s="202" t="s">
        <v>63</v>
      </c>
      <c r="D4" s="202" t="s">
        <v>24</v>
      </c>
      <c r="E4" s="890" t="s">
        <v>230</v>
      </c>
      <c r="F4" s="890"/>
      <c r="G4" s="203" t="s">
        <v>24</v>
      </c>
      <c r="I4" s="202" t="s">
        <v>63</v>
      </c>
      <c r="J4" s="202" t="s">
        <v>24</v>
      </c>
      <c r="L4" s="205">
        <f>(D10+D14)/1000</f>
        <v>231.33699999999999</v>
      </c>
      <c r="M4" s="206">
        <f>L4/L5*100-100</f>
        <v>26.412970420926655</v>
      </c>
      <c r="N4" s="206">
        <f>L4/9</f>
        <v>25.704111111111111</v>
      </c>
    </row>
    <row r="5" spans="1:17" s="204" customFormat="1" ht="16.899999999999999" customHeight="1">
      <c r="B5" s="207" t="s">
        <v>28</v>
      </c>
      <c r="C5" s="207" t="s">
        <v>28</v>
      </c>
      <c r="D5" s="207" t="s">
        <v>28</v>
      </c>
      <c r="E5" s="891" t="s">
        <v>231</v>
      </c>
      <c r="F5" s="891"/>
      <c r="G5" s="208" t="s">
        <v>53</v>
      </c>
      <c r="I5" s="207" t="s">
        <v>28</v>
      </c>
      <c r="J5" s="207" t="s">
        <v>28</v>
      </c>
      <c r="L5" s="205">
        <f>(J10+J14)/1000</f>
        <v>183.001</v>
      </c>
      <c r="M5" s="205"/>
      <c r="N5" s="205"/>
    </row>
    <row r="6" spans="1:17" s="204" customFormat="1" ht="16.899999999999999" customHeight="1">
      <c r="B6" s="207">
        <v>2025</v>
      </c>
      <c r="C6" s="207">
        <v>2025</v>
      </c>
      <c r="D6" s="207">
        <v>2025</v>
      </c>
      <c r="E6" s="209" t="s">
        <v>62</v>
      </c>
      <c r="F6" s="209" t="s">
        <v>63</v>
      </c>
      <c r="G6" s="208" t="s">
        <v>64</v>
      </c>
      <c r="I6" s="207">
        <v>2024</v>
      </c>
      <c r="J6" s="207">
        <v>2024</v>
      </c>
      <c r="N6" s="205"/>
    </row>
    <row r="7" spans="1:17" s="204" customFormat="1" ht="16.899999999999999" customHeight="1">
      <c r="B7" s="207"/>
      <c r="C7" s="207"/>
      <c r="D7" s="207"/>
      <c r="E7" s="209" t="s">
        <v>28</v>
      </c>
      <c r="F7" s="209" t="s">
        <v>28</v>
      </c>
      <c r="G7" s="208" t="s">
        <v>232</v>
      </c>
      <c r="I7" s="207"/>
      <c r="J7" s="207"/>
      <c r="L7" s="205">
        <f>SUM(D15:D17)/1000</f>
        <v>174.93299999999999</v>
      </c>
      <c r="M7" s="205">
        <f>L7/L8*100-100</f>
        <v>6.8221371388792278</v>
      </c>
      <c r="N7" s="206">
        <f>L7/9</f>
        <v>19.436999999999998</v>
      </c>
    </row>
    <row r="8" spans="1:17" s="204" customFormat="1" ht="16.899999999999999" customHeight="1">
      <c r="B8" s="210"/>
      <c r="C8" s="210"/>
      <c r="D8" s="210"/>
      <c r="E8" s="211">
        <v>2025</v>
      </c>
      <c r="F8" s="211">
        <v>2024</v>
      </c>
      <c r="G8" s="212" t="s">
        <v>233</v>
      </c>
      <c r="I8" s="210"/>
      <c r="J8" s="210"/>
      <c r="L8" s="205">
        <f>SUM(J15:J17)/1000</f>
        <v>163.761</v>
      </c>
    </row>
    <row r="9" spans="1:17" s="204" customFormat="1" ht="15.95" customHeight="1">
      <c r="B9" s="213"/>
      <c r="C9" s="213"/>
      <c r="D9" s="213"/>
      <c r="I9" s="213"/>
      <c r="J9" s="213"/>
    </row>
    <row r="10" spans="1:17" s="204" customFormat="1" ht="30" customHeight="1">
      <c r="A10" s="214" t="s">
        <v>234</v>
      </c>
      <c r="B10" s="215">
        <v>20472</v>
      </c>
      <c r="C10" s="215">
        <v>16802</v>
      </c>
      <c r="D10" s="215">
        <v>144984</v>
      </c>
      <c r="E10" s="216">
        <f>C10/B10*100</f>
        <v>82.073075420085971</v>
      </c>
      <c r="F10" s="216">
        <f>C10/I10*100</f>
        <v>149.80385164051356</v>
      </c>
      <c r="G10" s="216">
        <f>D10/J10*100</f>
        <v>118.93878488572413</v>
      </c>
      <c r="H10" s="205"/>
      <c r="I10" s="217">
        <v>11216</v>
      </c>
      <c r="J10" s="217">
        <v>121898</v>
      </c>
      <c r="L10" s="205">
        <f>E10-100</f>
        <v>-17.926924579914029</v>
      </c>
      <c r="M10" s="205">
        <f>F10-100</f>
        <v>49.803851640513557</v>
      </c>
      <c r="N10" s="205">
        <f>G10-100</f>
        <v>18.938784885724132</v>
      </c>
      <c r="O10" s="205"/>
      <c r="P10" s="205">
        <f>+C10/1000</f>
        <v>16.802</v>
      </c>
      <c r="Q10" s="205">
        <f>+D10/1000</f>
        <v>144.98400000000001</v>
      </c>
    </row>
    <row r="11" spans="1:17" s="204" customFormat="1" ht="30" customHeight="1">
      <c r="A11" s="214" t="s">
        <v>235</v>
      </c>
      <c r="B11" s="215">
        <v>326122</v>
      </c>
      <c r="C11" s="215">
        <v>165734.60900000005</v>
      </c>
      <c r="D11" s="215">
        <v>1420210.9889999998</v>
      </c>
      <c r="E11" s="216">
        <f t="shared" ref="E11:E17" si="0">C11/B11*100</f>
        <v>50.819818656821703</v>
      </c>
      <c r="F11" s="216">
        <f>C11/I11*100</f>
        <v>178.55869443426928</v>
      </c>
      <c r="G11" s="216">
        <f t="shared" ref="G11:G12" si="1">D11/J11*100</f>
        <v>122.58672308361061</v>
      </c>
      <c r="H11" s="205"/>
      <c r="I11" s="217">
        <v>92818</v>
      </c>
      <c r="J11" s="217">
        <v>1158535.731501152</v>
      </c>
      <c r="L11" s="205">
        <f>E11-100</f>
        <v>-49.180181343178297</v>
      </c>
      <c r="M11" s="205">
        <f t="shared" ref="L11:N17" si="2">F11-100</f>
        <v>78.558694434269285</v>
      </c>
      <c r="N11" s="205">
        <f t="shared" si="2"/>
        <v>22.586723083610607</v>
      </c>
      <c r="O11" s="205"/>
      <c r="P11" s="205">
        <f t="shared" ref="P11:Q17" si="3">+C11/1000</f>
        <v>165.73460900000006</v>
      </c>
      <c r="Q11" s="205">
        <f t="shared" si="3"/>
        <v>1420.2109889999999</v>
      </c>
    </row>
    <row r="12" spans="1:17" s="204" customFormat="1" ht="30" customHeight="1">
      <c r="A12" s="214" t="s">
        <v>236</v>
      </c>
      <c r="B12" s="215">
        <v>106947</v>
      </c>
      <c r="C12" s="215">
        <v>96968</v>
      </c>
      <c r="D12" s="215">
        <v>873964</v>
      </c>
      <c r="E12" s="216">
        <f t="shared" si="0"/>
        <v>90.669209982514715</v>
      </c>
      <c r="F12" s="216">
        <f>C12/I12*100</f>
        <v>153.94678351432017</v>
      </c>
      <c r="G12" s="216">
        <f t="shared" si="1"/>
        <v>118.89097629292461</v>
      </c>
      <c r="H12" s="205"/>
      <c r="I12" s="217">
        <v>62988</v>
      </c>
      <c r="J12" s="218">
        <v>735097</v>
      </c>
      <c r="L12" s="205">
        <f t="shared" si="2"/>
        <v>-9.3307900174852847</v>
      </c>
      <c r="M12" s="205">
        <f t="shared" si="2"/>
        <v>53.946783514320174</v>
      </c>
      <c r="N12" s="205">
        <f t="shared" si="2"/>
        <v>18.890976292924606</v>
      </c>
      <c r="O12" s="205"/>
      <c r="P12" s="205">
        <f t="shared" si="3"/>
        <v>96.968000000000004</v>
      </c>
      <c r="Q12" s="205">
        <f t="shared" si="3"/>
        <v>873.96400000000006</v>
      </c>
    </row>
    <row r="13" spans="1:17" s="204" customFormat="1" ht="30" customHeight="1">
      <c r="A13" s="219" t="s">
        <v>237</v>
      </c>
      <c r="B13" s="220">
        <f>B11/B10</f>
        <v>15.930148495506057</v>
      </c>
      <c r="C13" s="220">
        <f t="shared" ref="C13:D13" si="4">C11/C10</f>
        <v>9.8639810141649829</v>
      </c>
      <c r="D13" s="220">
        <f t="shared" si="4"/>
        <v>9.795639442973016</v>
      </c>
      <c r="E13" s="216">
        <f t="shared" si="0"/>
        <v>61.920207567102345</v>
      </c>
      <c r="F13" s="216">
        <f>C13/I13*100</f>
        <v>119.19499564187383</v>
      </c>
      <c r="G13" s="216">
        <f>D13/J13*100</f>
        <v>103.06707202481628</v>
      </c>
      <c r="H13" s="205"/>
      <c r="I13" s="220">
        <f>I11/I10</f>
        <v>8.275499286733238</v>
      </c>
      <c r="J13" s="220">
        <f>J11/J10</f>
        <v>9.5041406052695869</v>
      </c>
      <c r="L13" s="205">
        <f t="shared" si="2"/>
        <v>-38.079792432897655</v>
      </c>
      <c r="M13" s="205">
        <f t="shared" si="2"/>
        <v>19.194995641873831</v>
      </c>
      <c r="N13" s="205">
        <f t="shared" si="2"/>
        <v>3.0670720248162837</v>
      </c>
      <c r="O13" s="205"/>
      <c r="P13" s="205">
        <f t="shared" si="3"/>
        <v>9.8639810141649825E-3</v>
      </c>
      <c r="Q13" s="205">
        <f t="shared" si="3"/>
        <v>9.795639442973016E-3</v>
      </c>
    </row>
    <row r="14" spans="1:17" s="204" customFormat="1" ht="30" customHeight="1">
      <c r="A14" s="214" t="s">
        <v>238</v>
      </c>
      <c r="B14" s="215">
        <v>12428</v>
      </c>
      <c r="C14" s="215">
        <v>10734</v>
      </c>
      <c r="D14" s="215">
        <v>86353</v>
      </c>
      <c r="E14" s="216">
        <f t="shared" si="0"/>
        <v>86.36948825233344</v>
      </c>
      <c r="F14" s="216">
        <f t="shared" ref="F14:G17" si="5">C14/I14*100</f>
        <v>165.67371507948758</v>
      </c>
      <c r="G14" s="216">
        <f t="shared" si="5"/>
        <v>141.32366659574816</v>
      </c>
      <c r="H14" s="205">
        <f>E14-100</f>
        <v>-13.63051174766656</v>
      </c>
      <c r="I14" s="215">
        <v>6479</v>
      </c>
      <c r="J14" s="215">
        <v>61103</v>
      </c>
      <c r="L14" s="205">
        <f>E14-100</f>
        <v>-13.63051174766656</v>
      </c>
      <c r="M14" s="205">
        <f>F14-100</f>
        <v>65.673715079487579</v>
      </c>
      <c r="N14" s="205">
        <f t="shared" si="2"/>
        <v>41.323666595748165</v>
      </c>
      <c r="O14" s="205"/>
      <c r="P14" s="205">
        <f>+C14/1000</f>
        <v>10.734</v>
      </c>
      <c r="Q14" s="205">
        <f>+D14/1000</f>
        <v>86.352999999999994</v>
      </c>
    </row>
    <row r="15" spans="1:17" s="221" customFormat="1" ht="30" customHeight="1">
      <c r="A15" s="219" t="s">
        <v>239</v>
      </c>
      <c r="B15" s="215">
        <v>6534</v>
      </c>
      <c r="C15" s="215">
        <v>4564</v>
      </c>
      <c r="D15" s="215">
        <v>99472</v>
      </c>
      <c r="E15" s="216">
        <f t="shared" si="0"/>
        <v>69.85001530456077</v>
      </c>
      <c r="F15" s="216">
        <f t="shared" si="5"/>
        <v>107.81951334750768</v>
      </c>
      <c r="G15" s="216">
        <f t="shared" si="5"/>
        <v>114.46193500874529</v>
      </c>
      <c r="H15" s="205">
        <f t="shared" ref="H15:H17" si="6">E15-100</f>
        <v>-30.14998469543923</v>
      </c>
      <c r="I15" s="215">
        <v>4233</v>
      </c>
      <c r="J15" s="215">
        <v>86904</v>
      </c>
      <c r="L15" s="205">
        <f>E15-100</f>
        <v>-30.14998469543923</v>
      </c>
      <c r="M15" s="205">
        <f t="shared" si="2"/>
        <v>7.8195133475076801</v>
      </c>
      <c r="N15" s="205">
        <f t="shared" si="2"/>
        <v>14.461935008745286</v>
      </c>
      <c r="O15" s="205"/>
      <c r="P15" s="205">
        <f t="shared" si="3"/>
        <v>4.5640000000000001</v>
      </c>
      <c r="Q15" s="205">
        <f t="shared" si="3"/>
        <v>99.471999999999994</v>
      </c>
    </row>
    <row r="16" spans="1:17" s="221" customFormat="1" ht="30" customHeight="1">
      <c r="A16" s="219" t="s">
        <v>240</v>
      </c>
      <c r="B16" s="215">
        <v>6874</v>
      </c>
      <c r="C16" s="215">
        <v>6160</v>
      </c>
      <c r="D16" s="215">
        <v>53181</v>
      </c>
      <c r="E16" s="216">
        <f t="shared" si="0"/>
        <v>89.613034623217928</v>
      </c>
      <c r="F16" s="216">
        <f t="shared" si="5"/>
        <v>83.130904183535762</v>
      </c>
      <c r="G16" s="216">
        <f t="shared" si="5"/>
        <v>86.485827194223546</v>
      </c>
      <c r="H16" s="205">
        <f t="shared" si="6"/>
        <v>-10.386965376782072</v>
      </c>
      <c r="I16" s="215">
        <v>7410</v>
      </c>
      <c r="J16" s="215">
        <v>61491</v>
      </c>
      <c r="L16" s="205">
        <f t="shared" si="2"/>
        <v>-10.386965376782072</v>
      </c>
      <c r="M16" s="205">
        <f t="shared" si="2"/>
        <v>-16.869095816464238</v>
      </c>
      <c r="N16" s="205">
        <f t="shared" si="2"/>
        <v>-13.514172805776454</v>
      </c>
      <c r="O16" s="205"/>
      <c r="P16" s="205">
        <f t="shared" si="3"/>
        <v>6.16</v>
      </c>
      <c r="Q16" s="205">
        <f t="shared" si="3"/>
        <v>53.180999999999997</v>
      </c>
    </row>
    <row r="17" spans="1:17" s="221" customFormat="1" ht="30" customHeight="1">
      <c r="A17" s="214" t="s">
        <v>241</v>
      </c>
      <c r="B17" s="215">
        <v>3834</v>
      </c>
      <c r="C17" s="215">
        <v>4182</v>
      </c>
      <c r="D17" s="215">
        <v>22280</v>
      </c>
      <c r="E17" s="216">
        <f t="shared" si="0"/>
        <v>109.07668231611893</v>
      </c>
      <c r="F17" s="216">
        <f t="shared" si="5"/>
        <v>260.56074766355141</v>
      </c>
      <c r="G17" s="216">
        <f t="shared" si="5"/>
        <v>144.99544448783027</v>
      </c>
      <c r="H17" s="205">
        <f t="shared" si="6"/>
        <v>9.0766823161189336</v>
      </c>
      <c r="I17" s="222">
        <v>1605</v>
      </c>
      <c r="J17" s="222">
        <v>15366</v>
      </c>
      <c r="L17" s="205">
        <f t="shared" si="2"/>
        <v>9.0766823161189336</v>
      </c>
      <c r="M17" s="205">
        <f t="shared" si="2"/>
        <v>160.56074766355141</v>
      </c>
      <c r="N17" s="205">
        <f t="shared" si="2"/>
        <v>44.99544448783027</v>
      </c>
      <c r="O17" s="205"/>
      <c r="P17" s="205">
        <f t="shared" si="3"/>
        <v>4.1820000000000004</v>
      </c>
      <c r="Q17" s="205">
        <f t="shared" si="3"/>
        <v>22.28</v>
      </c>
    </row>
    <row r="18" spans="1:17" s="221" customFormat="1" ht="20.100000000000001" customHeight="1">
      <c r="A18" s="223"/>
      <c r="B18" s="224"/>
      <c r="C18" s="224"/>
      <c r="D18" s="224"/>
      <c r="E18" s="223"/>
      <c r="F18" s="223"/>
      <c r="G18" s="223"/>
      <c r="H18" s="205"/>
      <c r="I18" s="224"/>
      <c r="J18" s="224"/>
      <c r="O18" s="205"/>
    </row>
    <row r="19" spans="1:17">
      <c r="C19" s="224"/>
      <c r="D19" s="224"/>
    </row>
    <row r="20" spans="1:17">
      <c r="C20" s="224"/>
      <c r="D20" s="225"/>
    </row>
    <row r="21" spans="1:17">
      <c r="D21" s="224"/>
    </row>
    <row r="22" spans="1:17" ht="20.100000000000001" customHeight="1"/>
    <row r="23" spans="1:17" ht="20.100000000000001" customHeight="1"/>
    <row r="24" spans="1:17" ht="20.100000000000001" customHeight="1"/>
    <row r="25" spans="1:17" ht="20.100000000000001" customHeight="1"/>
    <row r="26" spans="1:17" ht="20.100000000000001" customHeight="1"/>
    <row r="27" spans="1:17" ht="20.100000000000001" customHeight="1"/>
    <row r="28" spans="1:17" ht="21.6" customHeight="1"/>
    <row r="29" spans="1:17" ht="21.6" customHeight="1"/>
    <row r="30" spans="1:17" ht="21.6" customHeight="1"/>
    <row r="40" spans="1:10" ht="15">
      <c r="A40" s="226"/>
      <c r="B40" s="226"/>
      <c r="C40" s="226"/>
      <c r="D40" s="226"/>
      <c r="E40" s="226"/>
      <c r="F40" s="226"/>
      <c r="G40" s="226"/>
      <c r="I40" s="226"/>
      <c r="J40" s="226"/>
    </row>
    <row r="41" spans="1:10" ht="15">
      <c r="A41" s="226"/>
      <c r="B41" s="226"/>
      <c r="C41" s="226"/>
      <c r="D41" s="226"/>
      <c r="E41" s="226"/>
      <c r="F41" s="226"/>
      <c r="G41" s="226"/>
      <c r="I41" s="226"/>
      <c r="J41" s="226"/>
    </row>
    <row r="42" spans="1:10" ht="15">
      <c r="A42" s="226"/>
      <c r="B42" s="226"/>
      <c r="C42" s="226"/>
      <c r="D42" s="226"/>
      <c r="E42" s="226"/>
      <c r="F42" s="226"/>
      <c r="G42" s="226"/>
      <c r="I42" s="226"/>
      <c r="J42" s="226"/>
    </row>
    <row r="43" spans="1:10" ht="15">
      <c r="A43" s="226"/>
      <c r="B43" s="226"/>
      <c r="C43" s="226"/>
      <c r="D43" s="226"/>
      <c r="E43" s="226"/>
      <c r="F43" s="226"/>
      <c r="G43" s="226"/>
      <c r="I43" s="226"/>
      <c r="J43" s="226"/>
    </row>
    <row r="44" spans="1:10" ht="15">
      <c r="A44" s="226"/>
      <c r="B44" s="226"/>
      <c r="C44" s="226"/>
      <c r="D44" s="226"/>
      <c r="E44" s="226"/>
      <c r="F44" s="226"/>
      <c r="G44" s="226"/>
      <c r="I44" s="226"/>
      <c r="J44" s="226"/>
    </row>
    <row r="45" spans="1:10" ht="15">
      <c r="A45" s="226"/>
      <c r="B45" s="226"/>
      <c r="C45" s="226"/>
      <c r="D45" s="226"/>
      <c r="E45" s="226"/>
      <c r="F45" s="226"/>
      <c r="G45" s="226"/>
      <c r="I45" s="226"/>
      <c r="J45" s="226"/>
    </row>
    <row r="46" spans="1:10" ht="15">
      <c r="A46" s="226"/>
      <c r="B46" s="226"/>
      <c r="C46" s="226"/>
      <c r="D46" s="226"/>
      <c r="E46" s="226"/>
      <c r="F46" s="226"/>
      <c r="G46" s="226"/>
      <c r="I46" s="226"/>
      <c r="J46" s="226"/>
    </row>
    <row r="47" spans="1:10" ht="15">
      <c r="A47" s="226"/>
      <c r="B47" s="226"/>
      <c r="C47" s="226"/>
      <c r="D47" s="226"/>
      <c r="E47" s="226"/>
      <c r="F47" s="226"/>
      <c r="G47" s="226"/>
      <c r="I47" s="226"/>
      <c r="J47" s="226"/>
    </row>
    <row r="48" spans="1:10" ht="15">
      <c r="A48" s="226"/>
      <c r="B48" s="226"/>
      <c r="C48" s="226"/>
      <c r="D48" s="226"/>
      <c r="E48" s="226"/>
      <c r="F48" s="226"/>
      <c r="G48" s="226"/>
      <c r="I48" s="226"/>
      <c r="J48" s="226"/>
    </row>
    <row r="49" spans="1:10" ht="15">
      <c r="A49" s="226"/>
      <c r="B49" s="226"/>
      <c r="C49" s="226"/>
      <c r="D49" s="226"/>
      <c r="E49" s="226"/>
      <c r="F49" s="226"/>
      <c r="G49" s="226"/>
      <c r="I49" s="226"/>
      <c r="J49" s="226"/>
    </row>
    <row r="50" spans="1:10" ht="15">
      <c r="A50" s="226"/>
      <c r="B50" s="226"/>
      <c r="C50" s="226"/>
      <c r="D50" s="226"/>
      <c r="E50" s="226"/>
      <c r="F50" s="226"/>
      <c r="G50" s="226"/>
      <c r="I50" s="226"/>
      <c r="J50" s="226"/>
    </row>
    <row r="51" spans="1:10" ht="15">
      <c r="A51" s="226"/>
      <c r="B51" s="226"/>
      <c r="C51" s="226"/>
      <c r="D51" s="226"/>
      <c r="E51" s="226"/>
      <c r="F51" s="226"/>
      <c r="G51" s="226"/>
      <c r="I51" s="226"/>
      <c r="J51" s="226"/>
    </row>
  </sheetData>
  <mergeCells count="2">
    <mergeCell ref="E4:F4"/>
    <mergeCell ref="E5:F5"/>
  </mergeCells>
  <pageMargins left="0.71" right="0.17" top="0.74803149606299202" bottom="0.511811023622047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66"/>
  <sheetViews>
    <sheetView zoomScaleNormal="100" workbookViewId="0">
      <selection activeCell="D13" sqref="D13"/>
    </sheetView>
  </sheetViews>
  <sheetFormatPr defaultColWidth="8.7109375" defaultRowHeight="12.75"/>
  <cols>
    <col min="1" max="1" width="1.28515625" style="194" customWidth="1"/>
    <col min="2" max="2" width="40.28515625" style="194" customWidth="1"/>
    <col min="3" max="5" width="8.140625" style="194" customWidth="1"/>
    <col min="6" max="6" width="0.42578125" style="194" customWidth="1"/>
    <col min="7" max="7" width="7.140625" style="194" customWidth="1"/>
    <col min="8" max="8" width="7.7109375" style="194" customWidth="1"/>
    <col min="9" max="9" width="6.7109375" style="194" customWidth="1"/>
    <col min="10" max="11" width="8.7109375" style="194" hidden="1" customWidth="1"/>
    <col min="12" max="12" width="8.140625" style="194" hidden="1" customWidth="1"/>
    <col min="13" max="13" width="9.28515625" style="194" hidden="1" customWidth="1"/>
    <col min="14" max="14" width="8.140625" style="194" hidden="1" customWidth="1"/>
    <col min="15" max="19" width="0" style="194" hidden="1" customWidth="1"/>
    <col min="20" max="16384" width="8.7109375" style="194"/>
  </cols>
  <sheetData>
    <row r="1" spans="1:18" s="192" customFormat="1" ht="20.100000000000001" customHeight="1">
      <c r="A1" s="191" t="s">
        <v>648</v>
      </c>
      <c r="B1" s="191"/>
      <c r="C1" s="227"/>
      <c r="D1" s="227"/>
      <c r="E1" s="227"/>
      <c r="F1" s="227"/>
      <c r="G1" s="227"/>
      <c r="L1" s="227"/>
      <c r="M1" s="227"/>
      <c r="N1" s="227"/>
    </row>
    <row r="2" spans="1:18" s="196" customFormat="1" ht="20.100000000000001" customHeight="1">
      <c r="A2" s="195"/>
      <c r="B2" s="195"/>
      <c r="C2" s="195"/>
      <c r="D2" s="195"/>
      <c r="E2" s="195"/>
      <c r="F2" s="195"/>
      <c r="G2" s="228"/>
      <c r="L2" s="195"/>
      <c r="M2" s="195"/>
      <c r="N2" s="195"/>
    </row>
    <row r="3" spans="1:18" s="196" customFormat="1" ht="15" customHeight="1">
      <c r="A3" s="229"/>
      <c r="B3" s="229"/>
      <c r="C3" s="892" t="s">
        <v>242</v>
      </c>
      <c r="D3" s="884"/>
      <c r="E3" s="884"/>
      <c r="F3" s="117"/>
      <c r="G3" s="893" t="s">
        <v>243</v>
      </c>
      <c r="H3" s="893"/>
      <c r="I3" s="893"/>
      <c r="L3" s="894" t="s">
        <v>244</v>
      </c>
      <c r="M3" s="884"/>
      <c r="N3" s="884"/>
    </row>
    <row r="4" spans="1:18" s="196" customFormat="1" ht="15" customHeight="1">
      <c r="A4" s="231"/>
      <c r="B4" s="231"/>
      <c r="C4" s="886"/>
      <c r="D4" s="886"/>
      <c r="E4" s="886"/>
      <c r="F4" s="118"/>
      <c r="G4" s="895" t="s">
        <v>245</v>
      </c>
      <c r="H4" s="895"/>
      <c r="I4" s="895"/>
      <c r="L4" s="886"/>
      <c r="M4" s="886"/>
      <c r="N4" s="886"/>
    </row>
    <row r="5" spans="1:18" s="196" customFormat="1" ht="15" customHeight="1">
      <c r="A5" s="231"/>
      <c r="B5" s="231"/>
      <c r="C5" s="230" t="s">
        <v>246</v>
      </c>
      <c r="D5" s="230" t="s">
        <v>247</v>
      </c>
      <c r="E5" s="230" t="s">
        <v>248</v>
      </c>
      <c r="F5" s="118"/>
      <c r="G5" s="230" t="s">
        <v>246</v>
      </c>
      <c r="H5" s="230" t="s">
        <v>247</v>
      </c>
      <c r="I5" s="230" t="s">
        <v>248</v>
      </c>
      <c r="L5" s="230" t="s">
        <v>246</v>
      </c>
      <c r="M5" s="230" t="s">
        <v>247</v>
      </c>
      <c r="N5" s="230" t="s">
        <v>248</v>
      </c>
    </row>
    <row r="6" spans="1:18" s="196" customFormat="1" ht="15" customHeight="1">
      <c r="A6" s="231"/>
      <c r="B6" s="231"/>
      <c r="C6" s="233" t="s">
        <v>249</v>
      </c>
      <c r="D6" s="233" t="s">
        <v>250</v>
      </c>
      <c r="E6" s="233" t="s">
        <v>251</v>
      </c>
      <c r="F6" s="118"/>
      <c r="G6" s="233" t="s">
        <v>252</v>
      </c>
      <c r="H6" s="233" t="s">
        <v>250</v>
      </c>
      <c r="I6" s="233" t="s">
        <v>251</v>
      </c>
      <c r="L6" s="233" t="s">
        <v>249</v>
      </c>
      <c r="M6" s="233" t="s">
        <v>250</v>
      </c>
      <c r="N6" s="233" t="s">
        <v>251</v>
      </c>
    </row>
    <row r="7" spans="1:18" s="196" customFormat="1" ht="15" customHeight="1">
      <c r="A7" s="231"/>
      <c r="B7" s="231"/>
      <c r="C7" s="232" t="s">
        <v>253</v>
      </c>
      <c r="D7" s="232" t="s">
        <v>254</v>
      </c>
      <c r="E7" s="232" t="s">
        <v>255</v>
      </c>
      <c r="F7" s="120"/>
      <c r="G7" s="232" t="s">
        <v>256</v>
      </c>
      <c r="H7" s="232"/>
      <c r="I7" s="232"/>
      <c r="L7" s="232" t="s">
        <v>253</v>
      </c>
      <c r="M7" s="232" t="s">
        <v>254</v>
      </c>
      <c r="N7" s="232" t="s">
        <v>255</v>
      </c>
    </row>
    <row r="8" spans="1:18" s="196" customFormat="1" ht="20.100000000000001" customHeight="1">
      <c r="A8" s="195"/>
      <c r="B8" s="195"/>
      <c r="C8" s="118"/>
      <c r="D8" s="118"/>
      <c r="E8" s="118"/>
      <c r="F8" s="118"/>
      <c r="G8" s="118"/>
      <c r="L8" s="118"/>
      <c r="M8" s="118"/>
      <c r="N8" s="118"/>
    </row>
    <row r="9" spans="1:18" s="237" customFormat="1" ht="20.100000000000001" customHeight="1">
      <c r="A9" s="234" t="s">
        <v>257</v>
      </c>
      <c r="B9" s="234"/>
      <c r="C9" s="235">
        <f>C11+C12+C17</f>
        <v>144984</v>
      </c>
      <c r="D9" s="235">
        <f t="shared" ref="D9:E9" si="0">D11+D12+D17</f>
        <v>1420211.426</v>
      </c>
      <c r="E9" s="235">
        <f t="shared" si="0"/>
        <v>873964</v>
      </c>
      <c r="F9" s="235"/>
      <c r="G9" s="236">
        <f>C9/L9*100</f>
        <v>118.93878488572413</v>
      </c>
      <c r="H9" s="236">
        <f t="shared" ref="H9:I9" si="1">D9/M9*100</f>
        <v>122.58677392571045</v>
      </c>
      <c r="I9" s="236">
        <f t="shared" si="1"/>
        <v>118.89097629292461</v>
      </c>
      <c r="L9" s="235">
        <f t="shared" ref="L9:N9" si="2">L11+L12+L17</f>
        <v>121898</v>
      </c>
      <c r="M9" s="235">
        <f t="shared" si="2"/>
        <v>1158535.6074878608</v>
      </c>
      <c r="N9" s="235">
        <f t="shared" si="2"/>
        <v>735097</v>
      </c>
      <c r="P9" s="238">
        <f>+G9-100</f>
        <v>18.938784885724132</v>
      </c>
      <c r="Q9" s="238">
        <f t="shared" ref="Q9:R9" si="3">+H9-100</f>
        <v>22.586773925710446</v>
      </c>
      <c r="R9" s="238">
        <f t="shared" si="3"/>
        <v>18.890976292924606</v>
      </c>
    </row>
    <row r="10" spans="1:18" s="237" customFormat="1" ht="18" customHeight="1">
      <c r="A10" s="234" t="s">
        <v>258</v>
      </c>
      <c r="B10" s="234"/>
      <c r="C10" s="235"/>
      <c r="D10" s="235"/>
      <c r="E10" s="235"/>
      <c r="F10" s="235"/>
      <c r="G10" s="236"/>
      <c r="H10" s="236"/>
      <c r="I10" s="236"/>
      <c r="L10" s="221"/>
      <c r="M10" s="235"/>
      <c r="N10" s="235"/>
    </row>
    <row r="11" spans="1:18" s="243" customFormat="1" ht="18" customHeight="1">
      <c r="A11" s="239"/>
      <c r="B11" s="240" t="s">
        <v>259</v>
      </c>
      <c r="C11" s="241">
        <v>1332</v>
      </c>
      <c r="D11" s="241">
        <v>21737.514999999999</v>
      </c>
      <c r="E11" s="241">
        <v>7752</v>
      </c>
      <c r="F11" s="241"/>
      <c r="G11" s="242">
        <f t="shared" ref="G11:I29" si="4">C11/L11*100</f>
        <v>110.6312292358804</v>
      </c>
      <c r="H11" s="242">
        <f t="shared" si="4"/>
        <v>128.02326928402934</v>
      </c>
      <c r="I11" s="242">
        <f t="shared" si="4"/>
        <v>96.96060037523452</v>
      </c>
      <c r="L11" s="241">
        <v>1204</v>
      </c>
      <c r="M11" s="241">
        <v>16979.346896519</v>
      </c>
      <c r="N11" s="241">
        <v>7995</v>
      </c>
      <c r="P11" s="238">
        <f>+G11-100</f>
        <v>10.631229235880397</v>
      </c>
      <c r="Q11" s="238">
        <f t="shared" ref="Q11:R12" si="5">+H11-100</f>
        <v>28.02326928402934</v>
      </c>
      <c r="R11" s="238">
        <f t="shared" si="5"/>
        <v>-3.0393996247654798</v>
      </c>
    </row>
    <row r="12" spans="1:18" s="243" customFormat="1" ht="18" customHeight="1">
      <c r="A12" s="239"/>
      <c r="B12" s="240" t="s">
        <v>260</v>
      </c>
      <c r="C12" s="241">
        <f>SUM(C13:C16)</f>
        <v>32360</v>
      </c>
      <c r="D12" s="241">
        <f t="shared" ref="D12:E12" si="6">SUM(D13:D16)</f>
        <v>417699.00199999998</v>
      </c>
      <c r="E12" s="241">
        <f t="shared" si="6"/>
        <v>390817</v>
      </c>
      <c r="F12" s="241">
        <v>0</v>
      </c>
      <c r="G12" s="242">
        <f t="shared" si="4"/>
        <v>114.47978207804152</v>
      </c>
      <c r="H12" s="242">
        <f t="shared" si="4"/>
        <v>113.81235862538466</v>
      </c>
      <c r="I12" s="242">
        <f t="shared" si="4"/>
        <v>112.91731795474836</v>
      </c>
      <c r="L12" s="241">
        <f t="shared" ref="L12:N12" si="7">SUM(L13:L16)</f>
        <v>28267</v>
      </c>
      <c r="M12" s="241">
        <f t="shared" si="7"/>
        <v>367006.71793901001</v>
      </c>
      <c r="N12" s="241">
        <f t="shared" si="7"/>
        <v>346109</v>
      </c>
      <c r="P12" s="238">
        <f>+G12-100</f>
        <v>14.479782078041524</v>
      </c>
      <c r="Q12" s="238">
        <f t="shared" si="5"/>
        <v>13.812358625384661</v>
      </c>
      <c r="R12" s="238">
        <f t="shared" si="5"/>
        <v>12.917317954748356</v>
      </c>
    </row>
    <row r="13" spans="1:18" s="196" customFormat="1" ht="18" customHeight="1">
      <c r="A13" s="244"/>
      <c r="B13" s="245" t="s">
        <v>71</v>
      </c>
      <c r="C13" s="246">
        <v>507</v>
      </c>
      <c r="D13" s="246">
        <v>15046.253000000001</v>
      </c>
      <c r="E13" s="246">
        <v>3049</v>
      </c>
      <c r="F13" s="246"/>
      <c r="G13" s="247">
        <f t="shared" si="4"/>
        <v>103.89344262295081</v>
      </c>
      <c r="H13" s="247">
        <f t="shared" si="4"/>
        <v>108.87648571201889</v>
      </c>
      <c r="I13" s="247">
        <f t="shared" si="4"/>
        <v>45.918674698795179</v>
      </c>
      <c r="L13" s="246">
        <v>488</v>
      </c>
      <c r="M13" s="246">
        <v>13819.561589999999</v>
      </c>
      <c r="N13" s="246">
        <v>6640</v>
      </c>
    </row>
    <row r="14" spans="1:18" s="196" customFormat="1" ht="18" customHeight="1">
      <c r="A14" s="244"/>
      <c r="B14" s="245" t="s">
        <v>77</v>
      </c>
      <c r="C14" s="246">
        <v>19473</v>
      </c>
      <c r="D14" s="246">
        <v>161463.80500000002</v>
      </c>
      <c r="E14" s="246">
        <v>330673</v>
      </c>
      <c r="F14" s="246"/>
      <c r="G14" s="247">
        <f t="shared" si="4"/>
        <v>131.95771498272006</v>
      </c>
      <c r="H14" s="247">
        <f t="shared" si="4"/>
        <v>109.97868858006012</v>
      </c>
      <c r="I14" s="247">
        <f t="shared" si="4"/>
        <v>118.26264533688114</v>
      </c>
      <c r="L14" s="246">
        <v>14757</v>
      </c>
      <c r="M14" s="246">
        <v>146813.72098964499</v>
      </c>
      <c r="N14" s="246">
        <v>279609</v>
      </c>
    </row>
    <row r="15" spans="1:18" s="196" customFormat="1" ht="18" customHeight="1">
      <c r="A15" s="244"/>
      <c r="B15" s="245" t="s">
        <v>261</v>
      </c>
      <c r="C15" s="246">
        <v>1115</v>
      </c>
      <c r="D15" s="246">
        <v>43137.951000000001</v>
      </c>
      <c r="E15" s="246">
        <v>6278</v>
      </c>
      <c r="F15" s="246"/>
      <c r="G15" s="247">
        <f t="shared" si="4"/>
        <v>124.44196428571428</v>
      </c>
      <c r="H15" s="247">
        <f t="shared" si="4"/>
        <v>207.90294425993423</v>
      </c>
      <c r="I15" s="247">
        <f t="shared" si="4"/>
        <v>97.393732547316176</v>
      </c>
      <c r="J15" s="248">
        <f>+G15-100</f>
        <v>24.441964285714278</v>
      </c>
      <c r="L15" s="246">
        <v>896</v>
      </c>
      <c r="M15" s="246">
        <v>20749.081333867998</v>
      </c>
      <c r="N15" s="246">
        <v>6446</v>
      </c>
    </row>
    <row r="16" spans="1:18" s="196" customFormat="1" ht="18" customHeight="1">
      <c r="A16" s="244"/>
      <c r="B16" s="245" t="s">
        <v>262</v>
      </c>
      <c r="C16" s="246">
        <v>11265</v>
      </c>
      <c r="D16" s="246">
        <v>198050.99299999999</v>
      </c>
      <c r="E16" s="246">
        <v>50817</v>
      </c>
      <c r="F16" s="246"/>
      <c r="G16" s="247">
        <f t="shared" si="4"/>
        <v>92.899554675903019</v>
      </c>
      <c r="H16" s="247">
        <f t="shared" si="4"/>
        <v>106.69450893970307</v>
      </c>
      <c r="I16" s="247">
        <f t="shared" si="4"/>
        <v>95.137978807054338</v>
      </c>
      <c r="J16" s="248">
        <f>+G16-100</f>
        <v>-7.1004453240969809</v>
      </c>
      <c r="L16" s="246">
        <v>12126</v>
      </c>
      <c r="M16" s="246">
        <v>185624.35402549701</v>
      </c>
      <c r="N16" s="246">
        <v>53414</v>
      </c>
    </row>
    <row r="17" spans="1:18" s="197" customFormat="1" ht="18" customHeight="1">
      <c r="A17" s="249"/>
      <c r="B17" s="240" t="s">
        <v>263</v>
      </c>
      <c r="C17" s="241">
        <f>SUM(C18:C29)</f>
        <v>111292</v>
      </c>
      <c r="D17" s="241">
        <f t="shared" ref="D17:E17" si="8">SUM(D18:D29)</f>
        <v>980774.90899999987</v>
      </c>
      <c r="E17" s="241">
        <f t="shared" si="8"/>
        <v>475395</v>
      </c>
      <c r="F17" s="241"/>
      <c r="G17" s="242">
        <f t="shared" si="4"/>
        <v>120.41070250035162</v>
      </c>
      <c r="H17" s="242">
        <f t="shared" si="4"/>
        <v>126.62520019590733</v>
      </c>
      <c r="I17" s="242">
        <f t="shared" si="4"/>
        <v>124.7778830582189</v>
      </c>
      <c r="J17" s="248">
        <f t="shared" ref="J17:J29" si="9">+G17-100</f>
        <v>20.410702500351618</v>
      </c>
      <c r="L17" s="241">
        <f t="shared" ref="L17:N17" si="10">SUM(L18:L29)</f>
        <v>92427</v>
      </c>
      <c r="M17" s="241">
        <f t="shared" si="10"/>
        <v>774549.54265233187</v>
      </c>
      <c r="N17" s="241">
        <f t="shared" si="10"/>
        <v>380993</v>
      </c>
      <c r="P17" s="238">
        <f>+G17-100</f>
        <v>20.410702500351618</v>
      </c>
      <c r="Q17" s="238">
        <f t="shared" ref="Q17:R17" si="11">+H17-100</f>
        <v>26.625200195907325</v>
      </c>
      <c r="R17" s="238">
        <f t="shared" si="11"/>
        <v>24.777883058218904</v>
      </c>
    </row>
    <row r="18" spans="1:18" s="196" customFormat="1" ht="18" customHeight="1">
      <c r="A18" s="244"/>
      <c r="B18" s="245" t="s">
        <v>264</v>
      </c>
      <c r="C18" s="246">
        <v>61908</v>
      </c>
      <c r="D18" s="246">
        <v>227302</v>
      </c>
      <c r="E18" s="246">
        <v>229156</v>
      </c>
      <c r="F18" s="246"/>
      <c r="G18" s="247">
        <f t="shared" si="4"/>
        <v>123.91265186845739</v>
      </c>
      <c r="H18" s="247">
        <f t="shared" si="4"/>
        <v>66.191806033215002</v>
      </c>
      <c r="I18" s="247">
        <f t="shared" si="4"/>
        <v>122.24522021167634</v>
      </c>
      <c r="J18" s="248">
        <f t="shared" si="9"/>
        <v>23.912651868457388</v>
      </c>
      <c r="L18" s="246">
        <v>49961</v>
      </c>
      <c r="M18" s="246">
        <v>343399</v>
      </c>
      <c r="N18" s="246">
        <v>187456</v>
      </c>
    </row>
    <row r="19" spans="1:18" s="196" customFormat="1" ht="18" customHeight="1">
      <c r="A19" s="244"/>
      <c r="B19" s="245" t="s">
        <v>265</v>
      </c>
      <c r="C19" s="246">
        <v>8251</v>
      </c>
      <c r="D19" s="246">
        <v>86724.005000000005</v>
      </c>
      <c r="E19" s="246">
        <v>40896</v>
      </c>
      <c r="F19" s="246"/>
      <c r="G19" s="247">
        <f t="shared" si="4"/>
        <v>126.87990158388436</v>
      </c>
      <c r="H19" s="247">
        <f t="shared" si="4"/>
        <v>237.27038933878993</v>
      </c>
      <c r="I19" s="247">
        <f t="shared" si="4"/>
        <v>141.51844418298845</v>
      </c>
      <c r="J19" s="248">
        <f t="shared" si="9"/>
        <v>26.879901583884362</v>
      </c>
      <c r="L19" s="246">
        <v>6503</v>
      </c>
      <c r="M19" s="246">
        <v>36550.707082193003</v>
      </c>
      <c r="N19" s="246">
        <v>28898</v>
      </c>
    </row>
    <row r="20" spans="1:18" s="196" customFormat="1" ht="18" customHeight="1">
      <c r="A20" s="244"/>
      <c r="B20" s="245" t="s">
        <v>266</v>
      </c>
      <c r="C20" s="246">
        <v>5434</v>
      </c>
      <c r="D20" s="246">
        <v>35920.857000000004</v>
      </c>
      <c r="E20" s="246">
        <v>24460</v>
      </c>
      <c r="F20" s="246"/>
      <c r="G20" s="247">
        <f t="shared" si="4"/>
        <v>119.63892558344342</v>
      </c>
      <c r="H20" s="247">
        <f t="shared" si="4"/>
        <v>80.037066895829454</v>
      </c>
      <c r="I20" s="247">
        <f t="shared" si="4"/>
        <v>124.30756721044875</v>
      </c>
      <c r="J20" s="248">
        <f t="shared" si="9"/>
        <v>19.638925583443424</v>
      </c>
      <c r="L20" s="246">
        <v>4542</v>
      </c>
      <c r="M20" s="246">
        <v>44880.276593283997</v>
      </c>
      <c r="N20" s="246">
        <v>19677</v>
      </c>
    </row>
    <row r="21" spans="1:18" s="196" customFormat="1" ht="18" customHeight="1">
      <c r="A21" s="244"/>
      <c r="B21" s="245" t="s">
        <v>267</v>
      </c>
      <c r="C21" s="246">
        <v>4019</v>
      </c>
      <c r="D21" s="246">
        <v>38177.126000000004</v>
      </c>
      <c r="E21" s="246">
        <v>20088</v>
      </c>
      <c r="F21" s="246"/>
      <c r="G21" s="247">
        <f t="shared" si="4"/>
        <v>106.85987769210317</v>
      </c>
      <c r="H21" s="247">
        <f t="shared" si="4"/>
        <v>298.60535423741169</v>
      </c>
      <c r="I21" s="247">
        <f t="shared" si="4"/>
        <v>117.81127206615447</v>
      </c>
      <c r="J21" s="248">
        <f t="shared" si="9"/>
        <v>6.8598776921031686</v>
      </c>
      <c r="L21" s="246">
        <v>3761</v>
      </c>
      <c r="M21" s="246">
        <v>12785.144491966001</v>
      </c>
      <c r="N21" s="246">
        <v>17051</v>
      </c>
    </row>
    <row r="22" spans="1:18" s="196" customFormat="1" ht="18" customHeight="1">
      <c r="A22" s="244"/>
      <c r="B22" s="245" t="s">
        <v>268</v>
      </c>
      <c r="C22" s="246">
        <v>954</v>
      </c>
      <c r="D22" s="246">
        <v>33154.868999999999</v>
      </c>
      <c r="E22" s="246">
        <v>3632</v>
      </c>
      <c r="F22" s="246"/>
      <c r="G22" s="247">
        <f t="shared" si="4"/>
        <v>95.114656031904289</v>
      </c>
      <c r="H22" s="247">
        <f t="shared" si="4"/>
        <v>183.57686202127186</v>
      </c>
      <c r="I22" s="247">
        <f t="shared" si="4"/>
        <v>71.920792079207914</v>
      </c>
      <c r="J22" s="248">
        <f t="shared" si="9"/>
        <v>-4.8853439680957109</v>
      </c>
      <c r="L22" s="246">
        <v>1003</v>
      </c>
      <c r="M22" s="246">
        <v>18060.483567998999</v>
      </c>
      <c r="N22" s="246">
        <v>5050</v>
      </c>
    </row>
    <row r="23" spans="1:18" s="196" customFormat="1" ht="18" customHeight="1">
      <c r="A23" s="244"/>
      <c r="B23" s="245" t="s">
        <v>269</v>
      </c>
      <c r="C23" s="246">
        <v>4090</v>
      </c>
      <c r="D23" s="246">
        <v>334665.96999999997</v>
      </c>
      <c r="E23" s="246">
        <v>27033</v>
      </c>
      <c r="F23" s="246"/>
      <c r="G23" s="247">
        <f t="shared" si="4"/>
        <v>118.68833430063843</v>
      </c>
      <c r="H23" s="247">
        <f t="shared" si="4"/>
        <v>160.54552411409307</v>
      </c>
      <c r="I23" s="247">
        <f t="shared" si="4"/>
        <v>141.00985864065515</v>
      </c>
      <c r="J23" s="248">
        <f t="shared" si="9"/>
        <v>18.688334300638431</v>
      </c>
      <c r="L23" s="246">
        <v>3446</v>
      </c>
      <c r="M23" s="246">
        <v>208455.49687337701</v>
      </c>
      <c r="N23" s="246">
        <v>19171</v>
      </c>
    </row>
    <row r="24" spans="1:18" s="196" customFormat="1" ht="30" customHeight="1">
      <c r="A24" s="244"/>
      <c r="B24" s="245" t="s">
        <v>270</v>
      </c>
      <c r="C24" s="246">
        <v>9252</v>
      </c>
      <c r="D24" s="246">
        <v>165403.014</v>
      </c>
      <c r="E24" s="246">
        <v>38758</v>
      </c>
      <c r="F24" s="246"/>
      <c r="G24" s="247">
        <f t="shared" si="4"/>
        <v>98.383666524883026</v>
      </c>
      <c r="H24" s="247">
        <f t="shared" si="4"/>
        <v>348.2346981790925</v>
      </c>
      <c r="I24" s="247">
        <f t="shared" si="4"/>
        <v>90.361839037582769</v>
      </c>
      <c r="J24" s="248">
        <f t="shared" si="9"/>
        <v>-1.6163334751169742</v>
      </c>
      <c r="L24" s="246">
        <v>9404</v>
      </c>
      <c r="M24" s="246">
        <v>47497.568411444001</v>
      </c>
      <c r="N24" s="246">
        <v>42892</v>
      </c>
    </row>
    <row r="25" spans="1:18" s="196" customFormat="1" ht="18" customHeight="1">
      <c r="A25" s="244"/>
      <c r="B25" s="245" t="s">
        <v>271</v>
      </c>
      <c r="C25" s="246">
        <v>7500</v>
      </c>
      <c r="D25" s="246">
        <v>17231.647000000001</v>
      </c>
      <c r="E25" s="246">
        <v>33033</v>
      </c>
      <c r="F25" s="246"/>
      <c r="G25" s="247">
        <f t="shared" si="4"/>
        <v>191.131498470948</v>
      </c>
      <c r="H25" s="247">
        <f t="shared" si="4"/>
        <v>134.10199484744018</v>
      </c>
      <c r="I25" s="247">
        <f t="shared" si="4"/>
        <v>191.11895394584587</v>
      </c>
      <c r="J25" s="248">
        <f t="shared" si="9"/>
        <v>91.131498470948003</v>
      </c>
      <c r="L25" s="246">
        <v>3924</v>
      </c>
      <c r="M25" s="246">
        <v>12849.657471242999</v>
      </c>
      <c r="N25" s="246">
        <v>17284</v>
      </c>
    </row>
    <row r="26" spans="1:18" s="196" customFormat="1" ht="18" customHeight="1">
      <c r="A26" s="244"/>
      <c r="B26" s="245" t="s">
        <v>272</v>
      </c>
      <c r="C26" s="246">
        <v>1476</v>
      </c>
      <c r="D26" s="246">
        <v>9765.4230000000007</v>
      </c>
      <c r="E26" s="246">
        <v>8491</v>
      </c>
      <c r="F26" s="246"/>
      <c r="G26" s="247">
        <f t="shared" si="4"/>
        <v>124.66216216216218</v>
      </c>
      <c r="H26" s="247">
        <f t="shared" si="4"/>
        <v>118.76411013711807</v>
      </c>
      <c r="I26" s="247">
        <f t="shared" si="4"/>
        <v>131.01373244869617</v>
      </c>
      <c r="J26" s="248">
        <f t="shared" si="9"/>
        <v>24.662162162162176</v>
      </c>
      <c r="L26" s="246">
        <v>1184</v>
      </c>
      <c r="M26" s="246">
        <v>8222.5370852569995</v>
      </c>
      <c r="N26" s="246">
        <v>6481</v>
      </c>
    </row>
    <row r="27" spans="1:18" s="196" customFormat="1" ht="18" customHeight="1">
      <c r="A27" s="244"/>
      <c r="B27" s="245" t="s">
        <v>273</v>
      </c>
      <c r="C27" s="246">
        <v>1089</v>
      </c>
      <c r="D27" s="246">
        <v>4658.3889999999992</v>
      </c>
      <c r="E27" s="246">
        <v>4737</v>
      </c>
      <c r="F27" s="246"/>
      <c r="G27" s="247">
        <f t="shared" si="4"/>
        <v>107.50246791707798</v>
      </c>
      <c r="H27" s="247">
        <f t="shared" si="4"/>
        <v>69.809603836477109</v>
      </c>
      <c r="I27" s="247">
        <f t="shared" si="4"/>
        <v>106.59315931593159</v>
      </c>
      <c r="J27" s="248">
        <f t="shared" si="9"/>
        <v>7.5024679170779791</v>
      </c>
      <c r="L27" s="246">
        <v>1013</v>
      </c>
      <c r="M27" s="246">
        <v>6672.9915999980003</v>
      </c>
      <c r="N27" s="246">
        <v>4444</v>
      </c>
    </row>
    <row r="28" spans="1:18" ht="30" customHeight="1">
      <c r="A28" s="244"/>
      <c r="B28" s="245" t="s">
        <v>274</v>
      </c>
      <c r="C28" s="246">
        <v>6117</v>
      </c>
      <c r="D28" s="246">
        <v>25010.467000000001</v>
      </c>
      <c r="E28" s="246">
        <v>40824</v>
      </c>
      <c r="F28" s="246"/>
      <c r="G28" s="247">
        <f t="shared" si="4"/>
        <v>94.925512104283044</v>
      </c>
      <c r="H28" s="247">
        <f t="shared" si="4"/>
        <v>77.804068499505988</v>
      </c>
      <c r="I28" s="247">
        <f t="shared" si="4"/>
        <v>144.25441696113074</v>
      </c>
      <c r="J28" s="248">
        <f t="shared" si="9"/>
        <v>-5.0744878957169561</v>
      </c>
      <c r="L28" s="246">
        <v>6444</v>
      </c>
      <c r="M28" s="246">
        <v>32145.448795083001</v>
      </c>
      <c r="N28" s="246">
        <v>28300</v>
      </c>
    </row>
    <row r="29" spans="1:18" ht="18" customHeight="1">
      <c r="A29" s="244"/>
      <c r="B29" s="245" t="s">
        <v>275</v>
      </c>
      <c r="C29" s="246">
        <v>1202</v>
      </c>
      <c r="D29" s="246">
        <v>2761.1420000000003</v>
      </c>
      <c r="E29" s="246">
        <v>4287</v>
      </c>
      <c r="F29" s="246"/>
      <c r="G29" s="247">
        <f t="shared" si="4"/>
        <v>96.77938808373591</v>
      </c>
      <c r="H29" s="247">
        <f t="shared" si="4"/>
        <v>91.119861526691935</v>
      </c>
      <c r="I29" s="247">
        <f t="shared" si="4"/>
        <v>99.953369083702498</v>
      </c>
      <c r="J29" s="248">
        <f t="shared" si="9"/>
        <v>-3.2206119162640903</v>
      </c>
      <c r="L29" s="246">
        <v>1242</v>
      </c>
      <c r="M29" s="246">
        <v>3030.230680488</v>
      </c>
      <c r="N29" s="246">
        <v>4289</v>
      </c>
    </row>
    <row r="30" spans="1:18" ht="18" customHeight="1">
      <c r="C30" s="235"/>
      <c r="D30" s="235"/>
      <c r="E30" s="235"/>
      <c r="F30" s="246"/>
      <c r="G30" s="247"/>
      <c r="H30" s="250"/>
      <c r="I30" s="250"/>
      <c r="L30" s="204"/>
      <c r="M30" s="246"/>
      <c r="N30" s="246"/>
    </row>
    <row r="31" spans="1:18" ht="20.100000000000001" customHeight="1">
      <c r="A31" s="204"/>
      <c r="B31" s="204"/>
      <c r="C31" s="246"/>
      <c r="D31" s="246"/>
      <c r="E31" s="246"/>
      <c r="F31" s="204"/>
      <c r="G31" s="204"/>
      <c r="L31" s="246"/>
      <c r="M31" s="246"/>
      <c r="N31" s="246"/>
    </row>
    <row r="32" spans="1:18" ht="20.100000000000001" customHeight="1">
      <c r="A32" s="204"/>
      <c r="B32" s="204"/>
      <c r="C32" s="204"/>
      <c r="D32" s="204"/>
      <c r="E32" s="204"/>
      <c r="F32" s="204"/>
      <c r="G32" s="204"/>
      <c r="L32" s="204"/>
      <c r="M32" s="204"/>
      <c r="N32" s="204"/>
    </row>
    <row r="33" spans="1:14" ht="20.100000000000001" customHeight="1">
      <c r="A33" s="204"/>
      <c r="B33" s="204"/>
      <c r="C33" s="204"/>
      <c r="D33" s="204"/>
      <c r="E33" s="204"/>
      <c r="F33" s="204"/>
      <c r="G33" s="204"/>
      <c r="L33" s="204"/>
      <c r="M33" s="204"/>
      <c r="N33" s="204"/>
    </row>
    <row r="34" spans="1:14" ht="20.100000000000001" customHeight="1">
      <c r="A34" s="204"/>
      <c r="B34" s="204"/>
      <c r="C34" s="204"/>
      <c r="D34" s="204"/>
      <c r="E34" s="204"/>
      <c r="F34" s="204"/>
      <c r="G34" s="204"/>
      <c r="L34" s="204"/>
      <c r="M34" s="204"/>
      <c r="N34" s="204"/>
    </row>
    <row r="35" spans="1:14" ht="20.100000000000001" customHeight="1">
      <c r="A35" s="204"/>
      <c r="B35" s="204"/>
      <c r="C35" s="204"/>
      <c r="D35" s="204"/>
      <c r="E35" s="204"/>
      <c r="F35" s="204"/>
      <c r="G35" s="204"/>
      <c r="L35" s="204"/>
      <c r="M35" s="204"/>
      <c r="N35" s="204"/>
    </row>
    <row r="36" spans="1:14" ht="20.100000000000001" customHeight="1">
      <c r="A36" s="204"/>
      <c r="B36" s="204"/>
      <c r="C36" s="204"/>
      <c r="D36" s="204"/>
      <c r="E36" s="204"/>
      <c r="F36" s="204"/>
      <c r="G36" s="204"/>
      <c r="L36" s="204"/>
      <c r="M36" s="204"/>
      <c r="N36" s="204"/>
    </row>
    <row r="37" spans="1:14" ht="20.100000000000001" customHeight="1">
      <c r="A37" s="204"/>
      <c r="B37" s="204"/>
      <c r="C37" s="204"/>
      <c r="D37" s="204"/>
      <c r="E37" s="204"/>
      <c r="F37" s="204"/>
      <c r="G37" s="204"/>
      <c r="L37" s="204"/>
      <c r="M37" s="204"/>
      <c r="N37" s="204"/>
    </row>
    <row r="38" spans="1:14" ht="20.100000000000001" customHeight="1">
      <c r="A38" s="204"/>
      <c r="B38" s="204"/>
      <c r="C38" s="204"/>
      <c r="D38" s="204"/>
      <c r="E38" s="204"/>
      <c r="F38" s="204"/>
      <c r="G38" s="204"/>
      <c r="L38" s="204"/>
      <c r="M38" s="204"/>
      <c r="N38" s="204"/>
    </row>
    <row r="39" spans="1:14" ht="20.100000000000001" customHeight="1">
      <c r="A39" s="204"/>
      <c r="B39" s="204"/>
      <c r="C39" s="204"/>
      <c r="D39" s="204"/>
      <c r="E39" s="204"/>
      <c r="F39" s="204"/>
      <c r="G39" s="204"/>
      <c r="L39" s="204"/>
      <c r="M39" s="204"/>
      <c r="N39" s="204"/>
    </row>
    <row r="40" spans="1:14" ht="20.100000000000001" customHeight="1">
      <c r="A40" s="204"/>
      <c r="B40" s="204"/>
      <c r="C40" s="204"/>
      <c r="D40" s="204"/>
      <c r="E40" s="204"/>
      <c r="F40" s="204"/>
      <c r="G40" s="204"/>
      <c r="L40" s="204"/>
      <c r="M40" s="204"/>
      <c r="N40" s="204"/>
    </row>
    <row r="41" spans="1:14" ht="20.100000000000001" customHeight="1">
      <c r="A41" s="204"/>
      <c r="B41" s="204"/>
      <c r="C41" s="204"/>
      <c r="D41" s="204"/>
      <c r="E41" s="204"/>
      <c r="F41" s="204"/>
      <c r="G41" s="204"/>
      <c r="L41" s="204"/>
      <c r="M41" s="204"/>
      <c r="N41" s="204"/>
    </row>
    <row r="42" spans="1:14" ht="20.100000000000001" customHeight="1">
      <c r="A42" s="204"/>
      <c r="B42" s="204"/>
      <c r="C42" s="204"/>
      <c r="D42" s="204"/>
      <c r="E42" s="204"/>
      <c r="F42" s="204"/>
      <c r="G42" s="204"/>
      <c r="L42" s="204"/>
      <c r="M42" s="204"/>
      <c r="N42" s="204"/>
    </row>
    <row r="43" spans="1:14" ht="20.100000000000001" customHeight="1">
      <c r="A43" s="204"/>
      <c r="B43" s="204"/>
      <c r="C43" s="204"/>
      <c r="D43" s="204"/>
      <c r="E43" s="204"/>
      <c r="F43" s="204"/>
      <c r="G43" s="204"/>
      <c r="L43" s="204"/>
      <c r="M43" s="204"/>
      <c r="N43" s="204"/>
    </row>
    <row r="44" spans="1:14" ht="20.100000000000001" customHeight="1">
      <c r="A44" s="204"/>
      <c r="B44" s="204"/>
      <c r="C44" s="204"/>
      <c r="D44" s="204"/>
      <c r="E44" s="204"/>
      <c r="F44" s="204"/>
      <c r="G44" s="204"/>
      <c r="L44" s="204"/>
      <c r="M44" s="204"/>
      <c r="N44" s="204"/>
    </row>
    <row r="45" spans="1:14" ht="20.100000000000001" customHeight="1">
      <c r="A45" s="204"/>
      <c r="B45" s="204"/>
      <c r="C45" s="204"/>
      <c r="D45" s="204"/>
      <c r="E45" s="204"/>
      <c r="F45" s="204"/>
      <c r="G45" s="204"/>
      <c r="L45" s="204"/>
      <c r="M45" s="204"/>
      <c r="N45" s="204"/>
    </row>
    <row r="46" spans="1:14" ht="20.100000000000001" customHeight="1">
      <c r="A46" s="204"/>
      <c r="B46" s="204"/>
      <c r="C46" s="204"/>
      <c r="D46" s="204"/>
      <c r="E46" s="204"/>
      <c r="F46" s="204"/>
      <c r="G46" s="204"/>
      <c r="L46" s="204"/>
      <c r="M46" s="204"/>
      <c r="N46" s="204"/>
    </row>
    <row r="47" spans="1:14" ht="20.100000000000001" customHeight="1"/>
    <row r="48" spans="1:14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</sheetData>
  <mergeCells count="4">
    <mergeCell ref="C3:E4"/>
    <mergeCell ref="G3:I3"/>
    <mergeCell ref="L3:N4"/>
    <mergeCell ref="G4:I4"/>
  </mergeCells>
  <pageMargins left="0.86614173228346503" right="0.17" top="0.74803149606299202" bottom="0.511811023622047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D73"/>
  <sheetViews>
    <sheetView zoomScale="90" zoomScaleNormal="90" workbookViewId="0">
      <selection activeCell="D13" sqref="D13"/>
    </sheetView>
  </sheetViews>
  <sheetFormatPr defaultColWidth="8.7109375" defaultRowHeight="12.75"/>
  <cols>
    <col min="1" max="1" width="49.28515625" style="194" customWidth="1"/>
    <col min="2" max="2" width="9.85546875" style="194" customWidth="1"/>
    <col min="3" max="3" width="9.28515625" style="194" customWidth="1"/>
    <col min="4" max="4" width="20.5703125" style="194" customWidth="1"/>
    <col min="5" max="16384" width="8.7109375" style="194"/>
  </cols>
  <sheetData>
    <row r="1" spans="1:4" s="192" customFormat="1" ht="20.100000000000001" customHeight="1">
      <c r="A1" s="191" t="s">
        <v>649</v>
      </c>
      <c r="B1" s="251"/>
      <c r="C1" s="227"/>
    </row>
    <row r="2" spans="1:4" ht="20.100000000000001" customHeight="1">
      <c r="A2" s="204"/>
      <c r="B2" s="251"/>
      <c r="C2" s="204"/>
    </row>
    <row r="3" spans="1:4" s="196" customFormat="1" ht="20.100000000000001" customHeight="1">
      <c r="A3" s="195"/>
      <c r="B3" s="228"/>
      <c r="C3" s="228"/>
      <c r="D3" s="252" t="s">
        <v>276</v>
      </c>
    </row>
    <row r="4" spans="1:4" s="196" customFormat="1" ht="15.95" customHeight="1">
      <c r="A4" s="229"/>
      <c r="B4" s="230" t="s">
        <v>24</v>
      </c>
      <c r="C4" s="230" t="s">
        <v>24</v>
      </c>
      <c r="D4" s="230" t="s">
        <v>243</v>
      </c>
    </row>
    <row r="5" spans="1:4" s="196" customFormat="1" ht="15.95" customHeight="1">
      <c r="A5" s="231"/>
      <c r="B5" s="232" t="s">
        <v>277</v>
      </c>
      <c r="C5" s="232" t="s">
        <v>53</v>
      </c>
      <c r="D5" s="232" t="s">
        <v>278</v>
      </c>
    </row>
    <row r="6" spans="1:4" s="196" customFormat="1" ht="20.100000000000001" customHeight="1">
      <c r="A6" s="195"/>
      <c r="B6" s="118"/>
      <c r="C6" s="118"/>
      <c r="D6" s="118"/>
    </row>
    <row r="7" spans="1:4" s="237" customFormat="1" ht="20.100000000000001" customHeight="1">
      <c r="A7" s="253" t="s">
        <v>257</v>
      </c>
      <c r="B7" s="254">
        <f>SUM(B8,B9,B14)</f>
        <v>61103</v>
      </c>
      <c r="C7" s="254">
        <f>SUM(C8,C9,C14)</f>
        <v>86353</v>
      </c>
      <c r="D7" s="255">
        <f>C7/B7*100</f>
        <v>141.32366659574816</v>
      </c>
    </row>
    <row r="8" spans="1:4" s="237" customFormat="1" ht="20.100000000000001" customHeight="1">
      <c r="A8" s="240" t="s">
        <v>259</v>
      </c>
      <c r="B8" s="256">
        <v>816</v>
      </c>
      <c r="C8" s="256">
        <v>1268</v>
      </c>
      <c r="D8" s="257">
        <f t="shared" ref="D8:D26" si="0">C8/B8*100</f>
        <v>155.39215686274511</v>
      </c>
    </row>
    <row r="9" spans="1:4" s="237" customFormat="1" ht="20.100000000000001" customHeight="1">
      <c r="A9" s="240" t="s">
        <v>260</v>
      </c>
      <c r="B9" s="256">
        <f>SUM(B10:B13)</f>
        <v>16355</v>
      </c>
      <c r="C9" s="256">
        <f>SUM(C10:C13)</f>
        <v>23315</v>
      </c>
      <c r="D9" s="257">
        <f t="shared" si="0"/>
        <v>142.55579333537145</v>
      </c>
    </row>
    <row r="10" spans="1:4" s="196" customFormat="1" ht="20.100000000000001" customHeight="1">
      <c r="A10" s="258" t="s">
        <v>71</v>
      </c>
      <c r="B10" s="259">
        <v>397</v>
      </c>
      <c r="C10" s="259">
        <v>606</v>
      </c>
      <c r="D10" s="260">
        <f t="shared" si="0"/>
        <v>152.64483627204029</v>
      </c>
    </row>
    <row r="11" spans="1:4" s="196" customFormat="1" ht="20.100000000000001" customHeight="1">
      <c r="A11" s="258" t="s">
        <v>77</v>
      </c>
      <c r="B11" s="259">
        <v>7027</v>
      </c>
      <c r="C11" s="259">
        <v>10455</v>
      </c>
      <c r="D11" s="260">
        <f t="shared" si="0"/>
        <v>148.78326455101751</v>
      </c>
    </row>
    <row r="12" spans="1:4" s="196" customFormat="1" ht="20.100000000000001" customHeight="1">
      <c r="A12" s="258" t="s">
        <v>261</v>
      </c>
      <c r="B12" s="259">
        <v>964</v>
      </c>
      <c r="C12" s="259">
        <v>1500</v>
      </c>
      <c r="D12" s="260">
        <f t="shared" si="0"/>
        <v>155.60165975103735</v>
      </c>
    </row>
    <row r="13" spans="1:4" s="196" customFormat="1" ht="20.100000000000001" customHeight="1">
      <c r="A13" s="258" t="s">
        <v>262</v>
      </c>
      <c r="B13" s="259">
        <v>7967</v>
      </c>
      <c r="C13" s="259">
        <v>10754</v>
      </c>
      <c r="D13" s="260">
        <f t="shared" si="0"/>
        <v>134.98179992468934</v>
      </c>
    </row>
    <row r="14" spans="1:4" s="237" customFormat="1" ht="20.100000000000001" customHeight="1">
      <c r="A14" s="261" t="s">
        <v>263</v>
      </c>
      <c r="B14" s="256">
        <f>SUM(B15:B26)</f>
        <v>43932</v>
      </c>
      <c r="C14" s="256">
        <f>SUM(C15:C26)</f>
        <v>61770</v>
      </c>
      <c r="D14" s="257">
        <f t="shared" si="0"/>
        <v>140.60366020213058</v>
      </c>
    </row>
    <row r="15" spans="1:4" s="196" customFormat="1" ht="20.100000000000001" customHeight="1">
      <c r="A15" s="258" t="s">
        <v>264</v>
      </c>
      <c r="B15" s="259">
        <v>22337</v>
      </c>
      <c r="C15" s="259">
        <v>30475</v>
      </c>
      <c r="D15" s="260">
        <f t="shared" si="0"/>
        <v>136.43282446165554</v>
      </c>
    </row>
    <row r="16" spans="1:4" s="196" customFormat="1" ht="20.100000000000001" customHeight="1">
      <c r="A16" s="258" t="s">
        <v>265</v>
      </c>
      <c r="B16" s="259">
        <v>3036</v>
      </c>
      <c r="C16" s="259">
        <v>4085</v>
      </c>
      <c r="D16" s="260">
        <f t="shared" si="0"/>
        <v>134.55204216073781</v>
      </c>
    </row>
    <row r="17" spans="1:4" s="196" customFormat="1" ht="20.100000000000001" customHeight="1">
      <c r="A17" s="258" t="s">
        <v>266</v>
      </c>
      <c r="B17" s="259">
        <v>3040</v>
      </c>
      <c r="C17" s="259">
        <v>4297</v>
      </c>
      <c r="D17" s="260">
        <f t="shared" si="0"/>
        <v>141.3486842105263</v>
      </c>
    </row>
    <row r="18" spans="1:4" s="196" customFormat="1" ht="20.100000000000001" customHeight="1">
      <c r="A18" s="258" t="s">
        <v>267</v>
      </c>
      <c r="B18" s="259">
        <v>1362</v>
      </c>
      <c r="C18" s="259">
        <v>1888</v>
      </c>
      <c r="D18" s="260">
        <f t="shared" si="0"/>
        <v>138.61967694566812</v>
      </c>
    </row>
    <row r="19" spans="1:4" s="196" customFormat="1" ht="20.100000000000001" customHeight="1">
      <c r="A19" s="258" t="s">
        <v>268</v>
      </c>
      <c r="B19" s="259">
        <v>484</v>
      </c>
      <c r="C19" s="259">
        <v>764</v>
      </c>
      <c r="D19" s="260">
        <f t="shared" si="0"/>
        <v>157.85123966942149</v>
      </c>
    </row>
    <row r="20" spans="1:4" s="196" customFormat="1" ht="20.100000000000001" customHeight="1">
      <c r="A20" s="258" t="s">
        <v>269</v>
      </c>
      <c r="B20" s="259">
        <v>2553</v>
      </c>
      <c r="C20" s="259">
        <v>3578</v>
      </c>
      <c r="D20" s="260">
        <f t="shared" si="0"/>
        <v>140.14884449667056</v>
      </c>
    </row>
    <row r="21" spans="1:4" s="196" customFormat="1" ht="27.95" customHeight="1">
      <c r="A21" s="258" t="s">
        <v>279</v>
      </c>
      <c r="B21" s="259">
        <v>4499</v>
      </c>
      <c r="C21" s="259">
        <v>6626</v>
      </c>
      <c r="D21" s="260">
        <f t="shared" si="0"/>
        <v>147.27717270504556</v>
      </c>
    </row>
    <row r="22" spans="1:4" s="196" customFormat="1" ht="20.100000000000001" customHeight="1">
      <c r="A22" s="258" t="s">
        <v>271</v>
      </c>
      <c r="B22" s="259">
        <v>1364</v>
      </c>
      <c r="C22" s="259">
        <v>2236</v>
      </c>
      <c r="D22" s="260">
        <f t="shared" si="0"/>
        <v>163.92961876832845</v>
      </c>
    </row>
    <row r="23" spans="1:4" s="196" customFormat="1" ht="20.100000000000001" customHeight="1">
      <c r="A23" s="258" t="s">
        <v>272</v>
      </c>
      <c r="B23" s="259">
        <v>296</v>
      </c>
      <c r="C23" s="259">
        <v>455</v>
      </c>
      <c r="D23" s="260">
        <f t="shared" si="0"/>
        <v>153.7162162162162</v>
      </c>
    </row>
    <row r="24" spans="1:4" s="196" customFormat="1" ht="20.100000000000001" customHeight="1">
      <c r="A24" s="258" t="s">
        <v>273</v>
      </c>
      <c r="B24" s="259">
        <v>408</v>
      </c>
      <c r="C24" s="259">
        <v>605</v>
      </c>
      <c r="D24" s="260">
        <f t="shared" si="0"/>
        <v>148.28431372549019</v>
      </c>
    </row>
    <row r="25" spans="1:4" ht="27.95" customHeight="1">
      <c r="A25" s="258" t="s">
        <v>280</v>
      </c>
      <c r="B25" s="259">
        <v>2953</v>
      </c>
      <c r="C25" s="259">
        <v>4337</v>
      </c>
      <c r="D25" s="260">
        <f t="shared" si="0"/>
        <v>146.86759227903826</v>
      </c>
    </row>
    <row r="26" spans="1:4" ht="20.100000000000001" customHeight="1">
      <c r="A26" s="258" t="s">
        <v>275</v>
      </c>
      <c r="B26" s="259">
        <v>1600</v>
      </c>
      <c r="C26" s="259">
        <v>2424</v>
      </c>
      <c r="D26" s="260">
        <f t="shared" si="0"/>
        <v>151.5</v>
      </c>
    </row>
    <row r="27" spans="1:4" ht="20.100000000000001" customHeight="1">
      <c r="A27" s="204"/>
      <c r="B27" s="204"/>
      <c r="C27" s="204"/>
    </row>
    <row r="28" spans="1:4" ht="20.100000000000001" customHeight="1">
      <c r="A28" s="204"/>
      <c r="B28" s="204"/>
      <c r="C28" s="204"/>
    </row>
    <row r="29" spans="1:4" ht="20.100000000000001" customHeight="1">
      <c r="A29" s="204"/>
      <c r="B29" s="204"/>
      <c r="C29" s="204"/>
    </row>
    <row r="30" spans="1:4" ht="20.100000000000001" customHeight="1">
      <c r="A30" s="204"/>
      <c r="B30" s="204"/>
      <c r="C30" s="204"/>
    </row>
    <row r="31" spans="1:4" ht="20.100000000000001" customHeight="1">
      <c r="A31" s="204"/>
      <c r="B31" s="204"/>
      <c r="C31" s="204"/>
    </row>
    <row r="32" spans="1:4" ht="20.100000000000001" customHeight="1">
      <c r="A32" s="204"/>
      <c r="B32" s="204"/>
      <c r="C32" s="204"/>
    </row>
    <row r="33" spans="1:4" ht="20.100000000000001" customHeight="1">
      <c r="A33" s="204"/>
      <c r="B33" s="204"/>
      <c r="C33" s="204"/>
    </row>
    <row r="34" spans="1:4" ht="20.100000000000001" customHeight="1">
      <c r="A34" s="204"/>
      <c r="B34" s="204"/>
      <c r="C34" s="204"/>
    </row>
    <row r="35" spans="1:4" ht="20.100000000000001" customHeight="1">
      <c r="A35" s="204"/>
      <c r="B35" s="204"/>
      <c r="C35" s="204"/>
    </row>
    <row r="36" spans="1:4" ht="20.100000000000001" customHeight="1">
      <c r="A36" s="204"/>
      <c r="B36" s="204"/>
      <c r="C36" s="204"/>
    </row>
    <row r="37" spans="1:4" ht="20.100000000000001" customHeight="1">
      <c r="A37" s="204"/>
      <c r="B37" s="204"/>
      <c r="C37" s="204"/>
    </row>
    <row r="38" spans="1:4" ht="20.100000000000001" customHeight="1">
      <c r="A38" s="204"/>
      <c r="B38" s="204"/>
      <c r="C38" s="204"/>
    </row>
    <row r="39" spans="1:4" ht="20.100000000000001" customHeight="1">
      <c r="A39" s="204"/>
      <c r="B39" s="204"/>
      <c r="C39" s="204"/>
    </row>
    <row r="40" spans="1:4" ht="20.100000000000001" customHeight="1">
      <c r="A40" s="204"/>
      <c r="B40" s="204"/>
      <c r="C40" s="204"/>
    </row>
    <row r="41" spans="1:4" ht="20.100000000000001" customHeight="1">
      <c r="A41" s="204"/>
      <c r="B41" s="204"/>
      <c r="C41" s="204"/>
    </row>
    <row r="42" spans="1:4" ht="20.100000000000001" customHeight="1">
      <c r="A42" s="204"/>
      <c r="B42" s="204"/>
      <c r="C42" s="204"/>
    </row>
    <row r="43" spans="1:4" ht="20.100000000000001" customHeight="1">
      <c r="A43" s="204"/>
      <c r="B43" s="204"/>
      <c r="C43" s="204"/>
    </row>
    <row r="44" spans="1:4" ht="20.100000000000001" customHeight="1">
      <c r="A44" s="204"/>
      <c r="B44" s="204"/>
      <c r="C44" s="204"/>
      <c r="D44" s="204"/>
    </row>
    <row r="45" spans="1:4" ht="20.100000000000001" customHeight="1">
      <c r="A45" s="204"/>
      <c r="B45" s="204"/>
      <c r="C45" s="204"/>
      <c r="D45" s="204"/>
    </row>
    <row r="46" spans="1:4" ht="20.100000000000001" customHeight="1">
      <c r="A46" s="204"/>
      <c r="B46" s="204"/>
      <c r="C46" s="204"/>
      <c r="D46" s="204"/>
    </row>
    <row r="47" spans="1:4" ht="20.100000000000001" customHeight="1">
      <c r="A47" s="204"/>
      <c r="B47" s="204"/>
      <c r="C47" s="204"/>
      <c r="D47" s="204"/>
    </row>
    <row r="48" spans="1:4" ht="20.100000000000001" customHeight="1">
      <c r="A48" s="204"/>
      <c r="B48" s="204"/>
      <c r="C48" s="204"/>
      <c r="D48" s="204"/>
    </row>
    <row r="49" spans="1:4" ht="20.100000000000001" customHeight="1">
      <c r="A49" s="204"/>
      <c r="B49" s="204"/>
      <c r="C49" s="204"/>
      <c r="D49" s="204"/>
    </row>
    <row r="50" spans="1:4" ht="20.100000000000001" customHeight="1">
      <c r="A50" s="204"/>
      <c r="B50" s="204"/>
      <c r="C50" s="204"/>
      <c r="D50" s="204"/>
    </row>
    <row r="51" spans="1:4" ht="20.100000000000001" customHeight="1">
      <c r="A51" s="204"/>
      <c r="B51" s="204"/>
      <c r="C51" s="204"/>
      <c r="D51" s="204"/>
    </row>
    <row r="52" spans="1:4" ht="20.100000000000001" customHeight="1">
      <c r="A52" s="204"/>
      <c r="B52" s="204"/>
      <c r="C52" s="204"/>
      <c r="D52" s="204"/>
    </row>
    <row r="53" spans="1:4" ht="20.100000000000001" customHeight="1">
      <c r="A53" s="204"/>
      <c r="B53" s="204"/>
      <c r="C53" s="204"/>
      <c r="D53" s="204"/>
    </row>
    <row r="54" spans="1:4" ht="20.100000000000001" customHeight="1">
      <c r="A54" s="204"/>
      <c r="B54" s="204"/>
      <c r="C54" s="204"/>
      <c r="D54" s="204"/>
    </row>
    <row r="55" spans="1:4" ht="20.100000000000001" customHeight="1">
      <c r="A55" s="204"/>
      <c r="B55" s="204"/>
      <c r="C55" s="204"/>
      <c r="D55" s="204"/>
    </row>
    <row r="56" spans="1:4" ht="20.100000000000001" customHeight="1">
      <c r="A56" s="204"/>
      <c r="B56" s="204"/>
      <c r="C56" s="204"/>
      <c r="D56" s="204"/>
    </row>
    <row r="57" spans="1:4" ht="20.100000000000001" customHeight="1">
      <c r="A57" s="204"/>
      <c r="B57" s="204"/>
      <c r="C57" s="204"/>
      <c r="D57" s="204"/>
    </row>
    <row r="58" spans="1:4" ht="20.100000000000001" customHeight="1"/>
    <row r="59" spans="1:4" ht="20.100000000000001" customHeight="1"/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</sheetData>
  <pageMargins left="0.86614173228346503" right="0.17" top="0.74803149606299202" bottom="0.511811023622047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75"/>
  <sheetViews>
    <sheetView workbookViewId="0">
      <selection activeCell="D13" sqref="D13"/>
    </sheetView>
  </sheetViews>
  <sheetFormatPr defaultColWidth="8.7109375" defaultRowHeight="12.75"/>
  <cols>
    <col min="1" max="1" width="46.5703125" style="194" customWidth="1"/>
    <col min="2" max="2" width="9.85546875" style="194" customWidth="1"/>
    <col min="3" max="3" width="9.28515625" style="194" customWidth="1"/>
    <col min="4" max="4" width="20.85546875" style="194" customWidth="1"/>
    <col min="5" max="16384" width="8.7109375" style="194"/>
  </cols>
  <sheetData>
    <row r="1" spans="1:4" s="192" customFormat="1" ht="20.100000000000001" customHeight="1">
      <c r="A1" s="191" t="s">
        <v>650</v>
      </c>
      <c r="B1" s="251"/>
      <c r="C1" s="227"/>
      <c r="D1" s="227"/>
    </row>
    <row r="2" spans="1:4" ht="20.100000000000001" customHeight="1">
      <c r="A2" s="204"/>
      <c r="B2" s="251"/>
      <c r="C2" s="204"/>
    </row>
    <row r="3" spans="1:4" s="196" customFormat="1" ht="15.95" customHeight="1">
      <c r="A3" s="195"/>
      <c r="B3" s="228"/>
      <c r="C3" s="228"/>
      <c r="D3" s="252" t="s">
        <v>276</v>
      </c>
    </row>
    <row r="4" spans="1:4" s="196" customFormat="1" ht="15.75" customHeight="1">
      <c r="A4" s="229"/>
      <c r="B4" s="230" t="s">
        <v>24</v>
      </c>
      <c r="C4" s="230" t="s">
        <v>24</v>
      </c>
      <c r="D4" s="230" t="s">
        <v>243</v>
      </c>
    </row>
    <row r="5" spans="1:4" s="196" customFormat="1" ht="15.75" customHeight="1">
      <c r="A5" s="231"/>
      <c r="B5" s="232" t="s">
        <v>277</v>
      </c>
      <c r="C5" s="232" t="s">
        <v>53</v>
      </c>
      <c r="D5" s="232" t="s">
        <v>278</v>
      </c>
    </row>
    <row r="6" spans="1:4" s="196" customFormat="1" ht="20.100000000000001" customHeight="1">
      <c r="A6" s="195"/>
      <c r="B6" s="118"/>
      <c r="C6" s="118"/>
      <c r="D6" s="118"/>
    </row>
    <row r="7" spans="1:4" s="237" customFormat="1" ht="20.100000000000001" customHeight="1">
      <c r="A7" s="253" t="s">
        <v>257</v>
      </c>
      <c r="B7" s="254">
        <f>B8+B9+B14</f>
        <v>86904</v>
      </c>
      <c r="C7" s="254">
        <f>C8+C9+C14</f>
        <v>99472</v>
      </c>
      <c r="D7" s="262">
        <f t="shared" ref="D7:D26" si="0">+C7/B7*100</f>
        <v>114.46193500874529</v>
      </c>
    </row>
    <row r="8" spans="1:4" s="237" customFormat="1" ht="20.100000000000001" customHeight="1">
      <c r="A8" s="240" t="s">
        <v>259</v>
      </c>
      <c r="B8" s="256">
        <v>1001</v>
      </c>
      <c r="C8" s="256">
        <v>1123</v>
      </c>
      <c r="D8" s="263">
        <f t="shared" si="0"/>
        <v>112.1878121878122</v>
      </c>
    </row>
    <row r="9" spans="1:4" s="237" customFormat="1" ht="20.100000000000001" customHeight="1">
      <c r="A9" s="240" t="s">
        <v>260</v>
      </c>
      <c r="B9" s="256">
        <f>SUM(B10:B13)</f>
        <v>22372</v>
      </c>
      <c r="C9" s="256">
        <f>SUM(C10:C13)</f>
        <v>25731</v>
      </c>
      <c r="D9" s="263">
        <f t="shared" si="0"/>
        <v>115.01430359377794</v>
      </c>
    </row>
    <row r="10" spans="1:4" s="196" customFormat="1" ht="20.100000000000001" customHeight="1">
      <c r="A10" s="258" t="s">
        <v>71</v>
      </c>
      <c r="B10" s="259">
        <v>462</v>
      </c>
      <c r="C10" s="259">
        <v>510</v>
      </c>
      <c r="D10" s="264">
        <f t="shared" si="0"/>
        <v>110.3896103896104</v>
      </c>
    </row>
    <row r="11" spans="1:4" s="196" customFormat="1" ht="19.5" customHeight="1">
      <c r="A11" s="258" t="s">
        <v>77</v>
      </c>
      <c r="B11" s="259">
        <v>10015</v>
      </c>
      <c r="C11" s="259">
        <v>11544</v>
      </c>
      <c r="D11" s="264">
        <f t="shared" si="0"/>
        <v>115.26709935097355</v>
      </c>
    </row>
    <row r="12" spans="1:4" s="196" customFormat="1" ht="19.5" customHeight="1">
      <c r="A12" s="258" t="s">
        <v>261</v>
      </c>
      <c r="B12" s="259">
        <v>608</v>
      </c>
      <c r="C12" s="259">
        <v>659</v>
      </c>
      <c r="D12" s="264">
        <f t="shared" si="0"/>
        <v>108.38815789473684</v>
      </c>
    </row>
    <row r="13" spans="1:4" s="196" customFormat="1" ht="20.100000000000001" customHeight="1">
      <c r="A13" s="258" t="s">
        <v>262</v>
      </c>
      <c r="B13" s="259">
        <v>11287</v>
      </c>
      <c r="C13" s="259">
        <v>13018</v>
      </c>
      <c r="D13" s="264">
        <f t="shared" si="0"/>
        <v>115.33622751838396</v>
      </c>
    </row>
    <row r="14" spans="1:4" s="237" customFormat="1" ht="20.100000000000001" customHeight="1">
      <c r="A14" s="261" t="s">
        <v>263</v>
      </c>
      <c r="B14" s="256">
        <f>SUM(B15:B26)</f>
        <v>63531</v>
      </c>
      <c r="C14" s="256">
        <f>SUM(C15:C26)</f>
        <v>72618</v>
      </c>
      <c r="D14" s="263">
        <f t="shared" si="0"/>
        <v>114.30325352977286</v>
      </c>
    </row>
    <row r="15" spans="1:4" s="196" customFormat="1" ht="20.100000000000001" customHeight="1">
      <c r="A15" s="258" t="s">
        <v>264</v>
      </c>
      <c r="B15" s="259">
        <v>34359</v>
      </c>
      <c r="C15" s="259">
        <v>39119</v>
      </c>
      <c r="D15" s="264">
        <f t="shared" si="0"/>
        <v>113.85372100468582</v>
      </c>
    </row>
    <row r="16" spans="1:4" s="196" customFormat="1" ht="20.100000000000001" customHeight="1">
      <c r="A16" s="258" t="s">
        <v>265</v>
      </c>
      <c r="B16" s="259">
        <v>4519</v>
      </c>
      <c r="C16" s="259">
        <v>5106</v>
      </c>
      <c r="D16" s="264">
        <f t="shared" si="0"/>
        <v>112.98959946890905</v>
      </c>
    </row>
    <row r="17" spans="1:4" s="196" customFormat="1" ht="20.100000000000001" customHeight="1">
      <c r="A17" s="258" t="s">
        <v>266</v>
      </c>
      <c r="B17" s="259">
        <v>3948</v>
      </c>
      <c r="C17" s="259">
        <v>4126</v>
      </c>
      <c r="D17" s="264">
        <f t="shared" si="0"/>
        <v>104.50861195542048</v>
      </c>
    </row>
    <row r="18" spans="1:4" s="196" customFormat="1" ht="20.100000000000001" customHeight="1">
      <c r="A18" s="258" t="s">
        <v>267</v>
      </c>
      <c r="B18" s="259">
        <v>2260</v>
      </c>
      <c r="C18" s="259">
        <v>2808</v>
      </c>
      <c r="D18" s="264">
        <f t="shared" si="0"/>
        <v>124.24778761061947</v>
      </c>
    </row>
    <row r="19" spans="1:4" s="196" customFormat="1" ht="21.75" customHeight="1">
      <c r="A19" s="258" t="s">
        <v>268</v>
      </c>
      <c r="B19" s="259">
        <v>718</v>
      </c>
      <c r="C19" s="259">
        <v>784</v>
      </c>
      <c r="D19" s="264">
        <f t="shared" si="0"/>
        <v>109.19220055710306</v>
      </c>
    </row>
    <row r="20" spans="1:4" s="196" customFormat="1" ht="20.100000000000001" customHeight="1">
      <c r="A20" s="258" t="s">
        <v>269</v>
      </c>
      <c r="B20" s="259">
        <v>3739</v>
      </c>
      <c r="C20" s="259">
        <v>3759</v>
      </c>
      <c r="D20" s="264">
        <f t="shared" si="0"/>
        <v>100.5349023803156</v>
      </c>
    </row>
    <row r="21" spans="1:4" s="196" customFormat="1" ht="30" customHeight="1">
      <c r="A21" s="258" t="s">
        <v>279</v>
      </c>
      <c r="B21" s="259">
        <v>6628</v>
      </c>
      <c r="C21" s="259">
        <v>7810</v>
      </c>
      <c r="D21" s="264">
        <f t="shared" si="0"/>
        <v>117.83343391671697</v>
      </c>
    </row>
    <row r="22" spans="1:4" s="196" customFormat="1" ht="20.100000000000001" customHeight="1">
      <c r="A22" s="258" t="s">
        <v>271</v>
      </c>
      <c r="B22" s="259">
        <v>1758</v>
      </c>
      <c r="C22" s="259">
        <v>2227</v>
      </c>
      <c r="D22" s="264">
        <f t="shared" si="0"/>
        <v>126.67804323094425</v>
      </c>
    </row>
    <row r="23" spans="1:4" s="196" customFormat="1" ht="21" customHeight="1">
      <c r="A23" s="258" t="s">
        <v>272</v>
      </c>
      <c r="B23" s="259">
        <v>346</v>
      </c>
      <c r="C23" s="259">
        <v>460</v>
      </c>
      <c r="D23" s="264">
        <f t="shared" si="0"/>
        <v>132.94797687861271</v>
      </c>
    </row>
    <row r="24" spans="1:4" s="196" customFormat="1" ht="20.100000000000001" customHeight="1">
      <c r="A24" s="258" t="s">
        <v>273</v>
      </c>
      <c r="B24" s="259">
        <v>470</v>
      </c>
      <c r="C24" s="259">
        <v>578</v>
      </c>
      <c r="D24" s="264">
        <f t="shared" si="0"/>
        <v>122.97872340425533</v>
      </c>
    </row>
    <row r="25" spans="1:4" ht="29.25" customHeight="1">
      <c r="A25" s="258" t="s">
        <v>280</v>
      </c>
      <c r="B25" s="259">
        <v>4233</v>
      </c>
      <c r="C25" s="259">
        <v>5119</v>
      </c>
      <c r="D25" s="264">
        <f t="shared" si="0"/>
        <v>120.93078195133475</v>
      </c>
    </row>
    <row r="26" spans="1:4" ht="20.100000000000001" customHeight="1">
      <c r="A26" s="258" t="s">
        <v>275</v>
      </c>
      <c r="B26" s="259">
        <v>553</v>
      </c>
      <c r="C26" s="259">
        <v>722</v>
      </c>
      <c r="D26" s="264">
        <f t="shared" si="0"/>
        <v>130.56057866184449</v>
      </c>
    </row>
    <row r="27" spans="1:4" ht="29.25" customHeight="1">
      <c r="A27" s="265"/>
      <c r="B27" s="204"/>
      <c r="C27" s="204"/>
      <c r="D27" s="204"/>
    </row>
    <row r="28" spans="1:4" ht="20.100000000000001" customHeight="1">
      <c r="A28" s="265"/>
      <c r="B28" s="204"/>
      <c r="C28" s="204"/>
      <c r="D28" s="204"/>
    </row>
    <row r="29" spans="1:4" ht="20.100000000000001" customHeight="1">
      <c r="A29" s="204"/>
      <c r="B29" s="204"/>
      <c r="C29" s="204"/>
    </row>
    <row r="30" spans="1:4" ht="20.100000000000001" customHeight="1">
      <c r="A30" s="204"/>
      <c r="B30" s="204"/>
      <c r="C30" s="204"/>
    </row>
    <row r="31" spans="1:4" ht="20.100000000000001" customHeight="1">
      <c r="A31" s="204"/>
      <c r="B31" s="204"/>
      <c r="C31" s="204"/>
    </row>
    <row r="32" spans="1:4" ht="20.100000000000001" customHeight="1">
      <c r="A32" s="204"/>
      <c r="B32" s="204"/>
      <c r="C32" s="204"/>
    </row>
    <row r="33" spans="1:3" ht="20.100000000000001" customHeight="1">
      <c r="A33" s="204"/>
      <c r="B33" s="204"/>
      <c r="C33" s="204"/>
    </row>
    <row r="34" spans="1:3" ht="20.100000000000001" customHeight="1">
      <c r="A34" s="204"/>
      <c r="B34" s="204"/>
      <c r="C34" s="204"/>
    </row>
    <row r="35" spans="1:3" ht="20.100000000000001" customHeight="1">
      <c r="A35" s="204"/>
      <c r="B35" s="204"/>
      <c r="C35" s="204"/>
    </row>
    <row r="36" spans="1:3" ht="20.100000000000001" customHeight="1">
      <c r="A36" s="204"/>
      <c r="B36" s="204"/>
      <c r="C36" s="204"/>
    </row>
    <row r="37" spans="1:3" ht="20.100000000000001" customHeight="1">
      <c r="A37" s="204"/>
      <c r="B37" s="204"/>
      <c r="C37" s="204"/>
    </row>
    <row r="38" spans="1:3" ht="20.100000000000001" customHeight="1">
      <c r="A38" s="204"/>
      <c r="B38" s="204"/>
      <c r="C38" s="204"/>
    </row>
    <row r="39" spans="1:3" ht="20.100000000000001" customHeight="1">
      <c r="A39" s="204"/>
      <c r="B39" s="204"/>
      <c r="C39" s="204"/>
    </row>
    <row r="40" spans="1:3" ht="20.100000000000001" customHeight="1">
      <c r="A40" s="204"/>
      <c r="B40" s="204"/>
      <c r="C40" s="204"/>
    </row>
    <row r="41" spans="1:3" ht="20.100000000000001" customHeight="1">
      <c r="A41" s="204"/>
      <c r="B41" s="204"/>
      <c r="C41" s="204"/>
    </row>
    <row r="42" spans="1:3" ht="20.100000000000001" customHeight="1">
      <c r="A42" s="204"/>
      <c r="B42" s="204"/>
      <c r="C42" s="204"/>
    </row>
    <row r="43" spans="1:3" ht="20.100000000000001" customHeight="1">
      <c r="A43" s="204"/>
      <c r="B43" s="204"/>
      <c r="C43" s="204"/>
    </row>
    <row r="44" spans="1:3" ht="20.100000000000001" customHeight="1">
      <c r="A44" s="204"/>
      <c r="B44" s="204"/>
      <c r="C44" s="204"/>
    </row>
    <row r="45" spans="1:3" ht="20.100000000000001" customHeight="1">
      <c r="A45" s="204"/>
      <c r="B45" s="204"/>
      <c r="C45" s="204"/>
    </row>
    <row r="46" spans="1:3" ht="20.100000000000001" customHeight="1">
      <c r="A46" s="204"/>
      <c r="B46" s="204"/>
      <c r="C46" s="204"/>
    </row>
    <row r="47" spans="1:3" ht="20.100000000000001" customHeight="1">
      <c r="A47" s="204"/>
      <c r="B47" s="204"/>
      <c r="C47" s="204"/>
    </row>
    <row r="48" spans="1:3" ht="20.100000000000001" customHeight="1">
      <c r="A48" s="204"/>
      <c r="B48" s="204"/>
      <c r="C48" s="204"/>
    </row>
    <row r="49" spans="1:3" ht="20.100000000000001" customHeight="1">
      <c r="A49" s="204"/>
      <c r="B49" s="204"/>
      <c r="C49" s="204"/>
    </row>
    <row r="50" spans="1:3" ht="20.100000000000001" customHeight="1">
      <c r="A50" s="204"/>
      <c r="B50" s="204"/>
      <c r="C50" s="204"/>
    </row>
    <row r="51" spans="1:3" ht="20.100000000000001" customHeight="1">
      <c r="A51" s="204"/>
      <c r="B51" s="204"/>
      <c r="C51" s="204"/>
    </row>
    <row r="52" spans="1:3" ht="20.100000000000001" customHeight="1">
      <c r="A52" s="204"/>
      <c r="B52" s="204"/>
      <c r="C52" s="204"/>
    </row>
    <row r="53" spans="1:3" ht="20.100000000000001" customHeight="1">
      <c r="A53" s="204"/>
      <c r="B53" s="204"/>
      <c r="C53" s="204"/>
    </row>
    <row r="54" spans="1:3" ht="20.100000000000001" customHeight="1">
      <c r="A54" s="204"/>
      <c r="B54" s="204"/>
      <c r="C54" s="204"/>
    </row>
    <row r="55" spans="1:3" ht="20.100000000000001" customHeight="1">
      <c r="A55" s="204"/>
      <c r="B55" s="204"/>
      <c r="C55" s="204"/>
    </row>
    <row r="56" spans="1:3" ht="20.100000000000001" customHeight="1">
      <c r="A56" s="204"/>
      <c r="B56" s="204"/>
      <c r="C56" s="204"/>
    </row>
    <row r="57" spans="1:3" ht="20.100000000000001" customHeight="1">
      <c r="A57" s="204"/>
      <c r="B57" s="204"/>
      <c r="C57" s="204"/>
    </row>
    <row r="58" spans="1:3" ht="20.100000000000001" customHeight="1">
      <c r="A58" s="204"/>
      <c r="B58" s="204"/>
      <c r="C58" s="204"/>
    </row>
    <row r="59" spans="1:3" ht="20.100000000000001" customHeight="1">
      <c r="A59" s="204"/>
      <c r="B59" s="204"/>
      <c r="C59" s="204"/>
    </row>
    <row r="60" spans="1:3" ht="20.100000000000001" customHeight="1"/>
    <row r="61" spans="1:3" ht="20.100000000000001" customHeight="1"/>
    <row r="62" spans="1:3" ht="20.100000000000001" customHeight="1"/>
    <row r="63" spans="1:3" ht="20.100000000000001" customHeight="1"/>
    <row r="64" spans="1:3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pageMargins left="0.86614173228346503" right="0.17" top="0.74803149606299202" bottom="0.511811023622047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75"/>
  <sheetViews>
    <sheetView workbookViewId="0">
      <selection activeCell="D13" sqref="D13"/>
    </sheetView>
  </sheetViews>
  <sheetFormatPr defaultColWidth="8.7109375" defaultRowHeight="12.75"/>
  <cols>
    <col min="1" max="1" width="45" style="194" customWidth="1"/>
    <col min="2" max="2" width="9.85546875" style="194" customWidth="1"/>
    <col min="3" max="3" width="9.28515625" style="194" customWidth="1"/>
    <col min="4" max="4" width="20.7109375" style="194" customWidth="1"/>
    <col min="5" max="5" width="10" style="194" hidden="1" customWidth="1"/>
    <col min="6" max="6" width="10.28515625" style="194" customWidth="1"/>
    <col min="7" max="9" width="5.5703125" style="194" customWidth="1"/>
    <col min="10" max="16384" width="8.7109375" style="194"/>
  </cols>
  <sheetData>
    <row r="1" spans="1:6" s="192" customFormat="1" ht="20.100000000000001" customHeight="1">
      <c r="A1" s="191" t="s">
        <v>651</v>
      </c>
      <c r="B1" s="251"/>
      <c r="C1" s="227"/>
    </row>
    <row r="2" spans="1:6" ht="20.100000000000001" customHeight="1">
      <c r="A2" s="204"/>
      <c r="B2" s="251"/>
      <c r="C2" s="204"/>
    </row>
    <row r="3" spans="1:6" s="196" customFormat="1" ht="15.95" customHeight="1">
      <c r="A3" s="195"/>
      <c r="B3" s="228"/>
      <c r="C3" s="228"/>
      <c r="D3" s="252" t="s">
        <v>276</v>
      </c>
    </row>
    <row r="4" spans="1:6" s="196" customFormat="1" ht="15.95" customHeight="1">
      <c r="A4" s="229"/>
      <c r="B4" s="230" t="s">
        <v>24</v>
      </c>
      <c r="C4" s="230" t="s">
        <v>24</v>
      </c>
      <c r="D4" s="230" t="s">
        <v>243</v>
      </c>
    </row>
    <row r="5" spans="1:6" s="196" customFormat="1" ht="15.95" customHeight="1">
      <c r="A5" s="231"/>
      <c r="B5" s="232" t="s">
        <v>277</v>
      </c>
      <c r="C5" s="232" t="s">
        <v>53</v>
      </c>
      <c r="D5" s="232" t="s">
        <v>278</v>
      </c>
    </row>
    <row r="6" spans="1:6" s="196" customFormat="1" ht="20.100000000000001" customHeight="1">
      <c r="A6" s="195"/>
      <c r="B6" s="118"/>
      <c r="C6" s="118"/>
      <c r="D6" s="118"/>
    </row>
    <row r="7" spans="1:6" s="237" customFormat="1" ht="20.100000000000001" customHeight="1">
      <c r="A7" s="253" t="s">
        <v>257</v>
      </c>
      <c r="B7" s="254">
        <f>B8+B9+B14</f>
        <v>15366</v>
      </c>
      <c r="C7" s="254">
        <f>C8+C9+C14</f>
        <v>22280</v>
      </c>
      <c r="D7" s="255">
        <f>C7/B7*100</f>
        <v>144.99544448783027</v>
      </c>
    </row>
    <row r="8" spans="1:6" s="237" customFormat="1" ht="20.100000000000001" customHeight="1">
      <c r="A8" s="240" t="s">
        <v>259</v>
      </c>
      <c r="B8" s="256">
        <v>298</v>
      </c>
      <c r="C8" s="256">
        <v>450</v>
      </c>
      <c r="D8" s="257">
        <f t="shared" ref="D8:D26" si="0">C8/B8*100</f>
        <v>151.00671140939596</v>
      </c>
      <c r="E8" s="262"/>
      <c r="F8" s="262"/>
    </row>
    <row r="9" spans="1:6" s="237" customFormat="1" ht="20.100000000000001" customHeight="1">
      <c r="A9" s="240" t="s">
        <v>260</v>
      </c>
      <c r="B9" s="256">
        <f>SUM(B10:B13)</f>
        <v>3011</v>
      </c>
      <c r="C9" s="256">
        <f>SUM(C10:C13)</f>
        <v>4478</v>
      </c>
      <c r="D9" s="257">
        <f t="shared" si="0"/>
        <v>148.72135503155098</v>
      </c>
      <c r="E9" s="254"/>
      <c r="F9" s="254"/>
    </row>
    <row r="10" spans="1:6" s="196" customFormat="1" ht="20.100000000000001" customHeight="1">
      <c r="A10" s="258" t="s">
        <v>71</v>
      </c>
      <c r="B10" s="259">
        <v>100</v>
      </c>
      <c r="C10" s="259">
        <v>169</v>
      </c>
      <c r="D10" s="260">
        <f t="shared" si="0"/>
        <v>169</v>
      </c>
    </row>
    <row r="11" spans="1:6" s="196" customFormat="1" ht="19.5" customHeight="1">
      <c r="A11" s="258" t="s">
        <v>77</v>
      </c>
      <c r="B11" s="259">
        <v>1626</v>
      </c>
      <c r="C11" s="259">
        <v>2445</v>
      </c>
      <c r="D11" s="260">
        <f t="shared" si="0"/>
        <v>150.36900369003689</v>
      </c>
      <c r="E11" s="248">
        <f>+D11-100</f>
        <v>50.369003690036891</v>
      </c>
    </row>
    <row r="12" spans="1:6" s="196" customFormat="1" ht="19.5" customHeight="1">
      <c r="A12" s="258" t="s">
        <v>261</v>
      </c>
      <c r="B12" s="259">
        <v>186</v>
      </c>
      <c r="C12" s="259">
        <v>266</v>
      </c>
      <c r="D12" s="260">
        <f t="shared" si="0"/>
        <v>143.01075268817206</v>
      </c>
      <c r="E12" s="248">
        <f>+D12-100</f>
        <v>43.010752688172062</v>
      </c>
    </row>
    <row r="13" spans="1:6" s="196" customFormat="1" ht="20.100000000000001" customHeight="1">
      <c r="A13" s="258" t="s">
        <v>262</v>
      </c>
      <c r="B13" s="259">
        <v>1099</v>
      </c>
      <c r="C13" s="259">
        <v>1598</v>
      </c>
      <c r="D13" s="260">
        <f t="shared" si="0"/>
        <v>145.40491355777979</v>
      </c>
      <c r="E13" s="248">
        <f>+D13-100</f>
        <v>45.404913557779793</v>
      </c>
    </row>
    <row r="14" spans="1:6" s="237" customFormat="1" ht="20.100000000000001" customHeight="1">
      <c r="A14" s="261" t="s">
        <v>263</v>
      </c>
      <c r="B14" s="256">
        <f>SUM(B15:B26)</f>
        <v>12057</v>
      </c>
      <c r="C14" s="256">
        <f>SUM(C15:C26)</f>
        <v>17352</v>
      </c>
      <c r="D14" s="257">
        <f t="shared" si="0"/>
        <v>143.91639711370988</v>
      </c>
      <c r="E14" s="248">
        <f t="shared" ref="E14:E26" si="1">+D14-100</f>
        <v>43.916397113709877</v>
      </c>
    </row>
    <row r="15" spans="1:6" s="196" customFormat="1" ht="20.100000000000001" customHeight="1">
      <c r="A15" s="258" t="s">
        <v>264</v>
      </c>
      <c r="B15" s="259">
        <v>6167</v>
      </c>
      <c r="C15" s="259">
        <v>8114</v>
      </c>
      <c r="D15" s="260">
        <f t="shared" si="0"/>
        <v>131.57126641803146</v>
      </c>
      <c r="E15" s="248">
        <f t="shared" si="1"/>
        <v>31.571266418031456</v>
      </c>
    </row>
    <row r="16" spans="1:6" s="196" customFormat="1" ht="20.100000000000001" customHeight="1">
      <c r="A16" s="258" t="s">
        <v>265</v>
      </c>
      <c r="B16" s="259">
        <v>575</v>
      </c>
      <c r="C16" s="259">
        <v>864</v>
      </c>
      <c r="D16" s="260">
        <f t="shared" si="0"/>
        <v>150.26086956521738</v>
      </c>
      <c r="E16" s="248">
        <f t="shared" si="1"/>
        <v>50.260869565217376</v>
      </c>
    </row>
    <row r="17" spans="1:7" s="196" customFormat="1" ht="20.100000000000001" customHeight="1">
      <c r="A17" s="258" t="s">
        <v>266</v>
      </c>
      <c r="B17" s="259">
        <v>701</v>
      </c>
      <c r="C17" s="259">
        <v>1159</v>
      </c>
      <c r="D17" s="260">
        <f t="shared" si="0"/>
        <v>165.3352353780314</v>
      </c>
      <c r="E17" s="248">
        <f t="shared" si="1"/>
        <v>65.335235378031399</v>
      </c>
    </row>
    <row r="18" spans="1:7" s="196" customFormat="1" ht="20.100000000000001" customHeight="1">
      <c r="A18" s="258" t="s">
        <v>267</v>
      </c>
      <c r="B18" s="259">
        <v>528</v>
      </c>
      <c r="C18" s="259">
        <v>765</v>
      </c>
      <c r="D18" s="260">
        <f t="shared" si="0"/>
        <v>144.88636363636365</v>
      </c>
      <c r="E18" s="248">
        <f t="shared" si="1"/>
        <v>44.886363636363654</v>
      </c>
    </row>
    <row r="19" spans="1:7" s="196" customFormat="1" ht="21.75" customHeight="1">
      <c r="A19" s="258" t="s">
        <v>268</v>
      </c>
      <c r="B19" s="259">
        <v>166</v>
      </c>
      <c r="C19" s="259">
        <v>257</v>
      </c>
      <c r="D19" s="260">
        <f t="shared" si="0"/>
        <v>154.81927710843374</v>
      </c>
      <c r="E19" s="248">
        <f t="shared" si="1"/>
        <v>54.819277108433738</v>
      </c>
    </row>
    <row r="20" spans="1:7" s="196" customFormat="1" ht="20.100000000000001" customHeight="1">
      <c r="A20" s="258" t="s">
        <v>269</v>
      </c>
      <c r="B20" s="259">
        <v>907</v>
      </c>
      <c r="C20" s="259">
        <v>1260</v>
      </c>
      <c r="D20" s="260">
        <f t="shared" si="0"/>
        <v>138.91951488423373</v>
      </c>
      <c r="E20" s="248">
        <f t="shared" si="1"/>
        <v>38.919514884233735</v>
      </c>
    </row>
    <row r="21" spans="1:7" s="196" customFormat="1" ht="30" customHeight="1">
      <c r="A21" s="258" t="s">
        <v>279</v>
      </c>
      <c r="B21" s="259">
        <v>1069</v>
      </c>
      <c r="C21" s="259">
        <v>1547</v>
      </c>
      <c r="D21" s="260">
        <f t="shared" si="0"/>
        <v>144.71468662301217</v>
      </c>
      <c r="E21" s="248">
        <f t="shared" si="1"/>
        <v>44.71468662301217</v>
      </c>
    </row>
    <row r="22" spans="1:7" s="196" customFormat="1" ht="20.100000000000001" customHeight="1">
      <c r="A22" s="258" t="s">
        <v>271</v>
      </c>
      <c r="B22" s="259">
        <v>608</v>
      </c>
      <c r="C22" s="259">
        <v>1265</v>
      </c>
      <c r="D22" s="260">
        <f t="shared" si="0"/>
        <v>208.05921052631581</v>
      </c>
      <c r="E22" s="248">
        <f t="shared" si="1"/>
        <v>108.05921052631581</v>
      </c>
    </row>
    <row r="23" spans="1:7" s="196" customFormat="1" ht="21" customHeight="1">
      <c r="A23" s="258" t="s">
        <v>272</v>
      </c>
      <c r="B23" s="259">
        <v>180</v>
      </c>
      <c r="C23" s="259">
        <v>275</v>
      </c>
      <c r="D23" s="260">
        <f t="shared" si="0"/>
        <v>152.77777777777777</v>
      </c>
      <c r="E23" s="248">
        <f t="shared" si="1"/>
        <v>52.777777777777771</v>
      </c>
    </row>
    <row r="24" spans="1:7" s="196" customFormat="1" ht="20.100000000000001" customHeight="1">
      <c r="A24" s="258" t="s">
        <v>273</v>
      </c>
      <c r="B24" s="259">
        <v>141</v>
      </c>
      <c r="C24" s="259">
        <v>209</v>
      </c>
      <c r="D24" s="260">
        <f t="shared" si="0"/>
        <v>148.22695035460993</v>
      </c>
      <c r="E24" s="248">
        <f t="shared" si="1"/>
        <v>48.226950354609926</v>
      </c>
    </row>
    <row r="25" spans="1:7" ht="29.25" customHeight="1">
      <c r="A25" s="258" t="s">
        <v>280</v>
      </c>
      <c r="B25" s="259">
        <v>798</v>
      </c>
      <c r="C25" s="259">
        <v>1315</v>
      </c>
      <c r="D25" s="260">
        <f t="shared" si="0"/>
        <v>164.78696741854637</v>
      </c>
      <c r="E25" s="248">
        <f t="shared" si="1"/>
        <v>64.786967418546368</v>
      </c>
    </row>
    <row r="26" spans="1:7" ht="20.100000000000001" customHeight="1">
      <c r="A26" s="258" t="s">
        <v>275</v>
      </c>
      <c r="B26" s="259">
        <v>217</v>
      </c>
      <c r="C26" s="259">
        <v>322</v>
      </c>
      <c r="D26" s="260">
        <f t="shared" si="0"/>
        <v>148.38709677419354</v>
      </c>
      <c r="E26" s="248">
        <f t="shared" si="1"/>
        <v>48.387096774193537</v>
      </c>
    </row>
    <row r="27" spans="1:7" ht="20.100000000000001" customHeight="1">
      <c r="A27" s="265"/>
      <c r="B27" s="204"/>
      <c r="C27" s="204"/>
      <c r="D27" s="204"/>
      <c r="E27" s="204"/>
      <c r="F27" s="204"/>
      <c r="G27" s="204"/>
    </row>
    <row r="28" spans="1:7" ht="20.100000000000001" customHeight="1">
      <c r="A28" s="204"/>
      <c r="B28" s="204"/>
      <c r="C28" s="204"/>
    </row>
    <row r="29" spans="1:7" ht="20.100000000000001" customHeight="1">
      <c r="A29" s="204"/>
      <c r="B29" s="204"/>
      <c r="C29" s="204"/>
    </row>
    <row r="30" spans="1:7" ht="20.100000000000001" customHeight="1">
      <c r="A30" s="204"/>
      <c r="B30" s="204"/>
      <c r="C30" s="204"/>
    </row>
    <row r="31" spans="1:7" ht="20.100000000000001" customHeight="1">
      <c r="A31" s="204"/>
      <c r="B31" s="204"/>
      <c r="C31" s="204"/>
    </row>
    <row r="32" spans="1:7" ht="20.100000000000001" customHeight="1">
      <c r="A32" s="204"/>
      <c r="B32" s="204"/>
      <c r="C32" s="204"/>
    </row>
    <row r="33" spans="1:3" ht="20.100000000000001" customHeight="1">
      <c r="A33" s="204"/>
      <c r="B33" s="204"/>
      <c r="C33" s="204"/>
    </row>
    <row r="34" spans="1:3" ht="20.100000000000001" customHeight="1">
      <c r="A34" s="204"/>
      <c r="B34" s="204"/>
      <c r="C34" s="204"/>
    </row>
    <row r="35" spans="1:3" ht="20.100000000000001" customHeight="1">
      <c r="A35" s="204"/>
      <c r="B35" s="204"/>
      <c r="C35" s="204"/>
    </row>
    <row r="36" spans="1:3" ht="20.100000000000001" customHeight="1">
      <c r="A36" s="204"/>
      <c r="B36" s="204"/>
      <c r="C36" s="204"/>
    </row>
    <row r="37" spans="1:3" ht="20.100000000000001" customHeight="1">
      <c r="A37" s="204"/>
      <c r="B37" s="204"/>
      <c r="C37" s="204"/>
    </row>
    <row r="38" spans="1:3" ht="20.100000000000001" customHeight="1">
      <c r="A38" s="204"/>
      <c r="B38" s="204"/>
      <c r="C38" s="204"/>
    </row>
    <row r="39" spans="1:3" ht="20.100000000000001" customHeight="1">
      <c r="A39" s="204"/>
      <c r="B39" s="204"/>
      <c r="C39" s="204"/>
    </row>
    <row r="40" spans="1:3" ht="20.100000000000001" customHeight="1">
      <c r="A40" s="204"/>
      <c r="B40" s="204"/>
      <c r="C40" s="204"/>
    </row>
    <row r="41" spans="1:3" ht="20.100000000000001" customHeight="1">
      <c r="A41" s="204"/>
      <c r="B41" s="204"/>
      <c r="C41" s="204"/>
    </row>
    <row r="42" spans="1:3" ht="20.100000000000001" customHeight="1">
      <c r="A42" s="204"/>
      <c r="B42" s="204"/>
      <c r="C42" s="204"/>
    </row>
    <row r="43" spans="1:3" ht="20.100000000000001" customHeight="1">
      <c r="A43" s="204"/>
      <c r="B43" s="204"/>
      <c r="C43" s="204"/>
    </row>
    <row r="44" spans="1:3" ht="20.100000000000001" customHeight="1">
      <c r="A44" s="204"/>
      <c r="B44" s="204"/>
      <c r="C44" s="204"/>
    </row>
    <row r="45" spans="1:3" ht="20.100000000000001" customHeight="1">
      <c r="A45" s="204"/>
      <c r="B45" s="204"/>
      <c r="C45" s="204"/>
    </row>
    <row r="46" spans="1:3" ht="20.100000000000001" customHeight="1">
      <c r="A46" s="204"/>
      <c r="B46" s="204"/>
      <c r="C46" s="204"/>
    </row>
    <row r="47" spans="1:3" ht="20.100000000000001" customHeight="1">
      <c r="A47" s="204"/>
      <c r="B47" s="204"/>
      <c r="C47" s="204"/>
    </row>
    <row r="48" spans="1:3" ht="20.100000000000001" customHeight="1">
      <c r="A48" s="204"/>
      <c r="B48" s="204"/>
      <c r="C48" s="204"/>
    </row>
    <row r="49" spans="1:3" ht="20.100000000000001" customHeight="1">
      <c r="A49" s="204"/>
      <c r="B49" s="204"/>
      <c r="C49" s="204"/>
    </row>
    <row r="50" spans="1:3" ht="20.100000000000001" customHeight="1">
      <c r="A50" s="204"/>
      <c r="B50" s="204"/>
      <c r="C50" s="204"/>
    </row>
    <row r="51" spans="1:3" ht="20.100000000000001" customHeight="1">
      <c r="A51" s="204"/>
      <c r="B51" s="204"/>
      <c r="C51" s="204"/>
    </row>
    <row r="52" spans="1:3" ht="20.100000000000001" customHeight="1">
      <c r="A52" s="204"/>
      <c r="B52" s="204"/>
      <c r="C52" s="204"/>
    </row>
    <row r="53" spans="1:3" ht="20.100000000000001" customHeight="1">
      <c r="A53" s="204"/>
      <c r="B53" s="204"/>
      <c r="C53" s="204"/>
    </row>
    <row r="54" spans="1:3" ht="20.100000000000001" customHeight="1">
      <c r="A54" s="204"/>
      <c r="B54" s="204"/>
      <c r="C54" s="204"/>
    </row>
    <row r="55" spans="1:3" ht="20.100000000000001" customHeight="1">
      <c r="A55" s="204"/>
      <c r="B55" s="204"/>
      <c r="C55" s="204"/>
    </row>
    <row r="56" spans="1:3" ht="20.100000000000001" customHeight="1">
      <c r="A56" s="204"/>
      <c r="B56" s="204"/>
      <c r="C56" s="204"/>
    </row>
    <row r="57" spans="1:3" ht="20.100000000000001" customHeight="1">
      <c r="A57" s="204"/>
      <c r="B57" s="204"/>
      <c r="C57" s="204"/>
    </row>
    <row r="58" spans="1:3" ht="20.100000000000001" customHeight="1">
      <c r="A58" s="204"/>
      <c r="B58" s="204"/>
      <c r="C58" s="204"/>
    </row>
    <row r="59" spans="1:3" ht="20.100000000000001" customHeight="1"/>
    <row r="60" spans="1:3" ht="20.100000000000001" customHeight="1"/>
    <row r="61" spans="1:3" ht="20.100000000000001" customHeight="1"/>
    <row r="62" spans="1:3" ht="20.100000000000001" customHeight="1"/>
    <row r="63" spans="1:3" ht="20.100000000000001" customHeight="1"/>
    <row r="64" spans="1:3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pageMargins left="0.86614173228346503" right="0.17" top="0.74803149606299202" bottom="0.511811023622047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M40"/>
  <sheetViews>
    <sheetView workbookViewId="0">
      <selection activeCell="D13" sqref="D13"/>
    </sheetView>
  </sheetViews>
  <sheetFormatPr defaultColWidth="9.7109375" defaultRowHeight="15"/>
  <cols>
    <col min="1" max="1" width="2.7109375" style="268" customWidth="1"/>
    <col min="2" max="2" width="34.85546875" style="268" customWidth="1"/>
    <col min="3" max="8" width="8.5703125" style="268" customWidth="1"/>
    <col min="9" max="16384" width="9.7109375" style="268"/>
  </cols>
  <sheetData>
    <row r="1" spans="1:13" ht="15.75">
      <c r="A1" s="266" t="s">
        <v>652</v>
      </c>
      <c r="B1" s="267"/>
      <c r="C1" s="267"/>
      <c r="D1" s="267"/>
      <c r="E1" s="267"/>
      <c r="F1" s="267"/>
      <c r="G1" s="267"/>
      <c r="H1" s="267"/>
      <c r="I1" s="267"/>
    </row>
    <row r="2" spans="1:13" ht="20.100000000000001" customHeight="1">
      <c r="A2" s="269"/>
      <c r="B2" s="269"/>
      <c r="C2" s="269"/>
      <c r="D2" s="269"/>
      <c r="E2" s="269"/>
      <c r="F2" s="267"/>
      <c r="G2" s="267"/>
      <c r="H2" s="267"/>
      <c r="I2" s="267"/>
    </row>
    <row r="3" spans="1:13" ht="20.100000000000001" customHeight="1">
      <c r="A3" s="267"/>
      <c r="B3" s="267"/>
      <c r="C3" s="267"/>
      <c r="D3" s="267"/>
      <c r="E3" s="267"/>
      <c r="F3" s="270"/>
      <c r="G3" s="267"/>
      <c r="H3" s="271" t="s">
        <v>281</v>
      </c>
      <c r="I3" s="267"/>
    </row>
    <row r="4" spans="1:13" ht="20.100000000000001" customHeight="1">
      <c r="A4" s="272"/>
      <c r="B4" s="272"/>
      <c r="C4" s="273" t="s">
        <v>2</v>
      </c>
      <c r="D4" s="273" t="s">
        <v>19</v>
      </c>
      <c r="E4" s="273" t="s">
        <v>115</v>
      </c>
      <c r="F4" s="896" t="s">
        <v>21</v>
      </c>
      <c r="G4" s="896"/>
      <c r="H4" s="896"/>
      <c r="I4" s="267"/>
    </row>
    <row r="5" spans="1:13" ht="20.100000000000001" customHeight="1">
      <c r="A5" s="267"/>
      <c r="B5" s="267"/>
      <c r="C5" s="274" t="s">
        <v>22</v>
      </c>
      <c r="D5" s="274" t="s">
        <v>42</v>
      </c>
      <c r="E5" s="274" t="s">
        <v>24</v>
      </c>
      <c r="F5" s="274" t="s">
        <v>25</v>
      </c>
      <c r="G5" s="274" t="s">
        <v>26</v>
      </c>
      <c r="H5" s="274" t="s">
        <v>24</v>
      </c>
      <c r="I5" s="267"/>
    </row>
    <row r="6" spans="1:13" ht="20.100000000000001" customHeight="1">
      <c r="A6" s="267"/>
      <c r="B6" s="267"/>
      <c r="C6" s="30" t="s">
        <v>28</v>
      </c>
      <c r="D6" s="30" t="s">
        <v>28</v>
      </c>
      <c r="E6" s="30" t="s">
        <v>28</v>
      </c>
      <c r="F6" s="30" t="s">
        <v>28</v>
      </c>
      <c r="G6" s="30" t="s">
        <v>28</v>
      </c>
      <c r="H6" s="30" t="s">
        <v>28</v>
      </c>
      <c r="I6" s="267"/>
    </row>
    <row r="7" spans="1:13" ht="20.100000000000001" customHeight="1">
      <c r="A7" s="267"/>
      <c r="B7" s="267"/>
      <c r="C7" s="32">
        <v>2025</v>
      </c>
      <c r="D7" s="32">
        <v>2025</v>
      </c>
      <c r="E7" s="32">
        <v>2025</v>
      </c>
      <c r="F7" s="32">
        <v>2025</v>
      </c>
      <c r="G7" s="32">
        <v>2025</v>
      </c>
      <c r="H7" s="32">
        <v>2025</v>
      </c>
      <c r="I7" s="267"/>
    </row>
    <row r="8" spans="1:13" ht="20.100000000000001" customHeight="1">
      <c r="A8" s="267"/>
      <c r="B8" s="267"/>
      <c r="C8" s="267"/>
      <c r="D8" s="267"/>
      <c r="E8" s="267"/>
      <c r="F8" s="267"/>
      <c r="G8" s="267"/>
      <c r="H8" s="267"/>
      <c r="I8" s="267"/>
    </row>
    <row r="9" spans="1:13" ht="30" customHeight="1">
      <c r="A9" s="275" t="s">
        <v>257</v>
      </c>
      <c r="B9" s="276"/>
      <c r="C9" s="277">
        <v>929.36525104673808</v>
      </c>
      <c r="D9" s="277">
        <v>1100.1232448009068</v>
      </c>
      <c r="E9" s="277">
        <v>2701.8243686085948</v>
      </c>
      <c r="F9" s="277">
        <v>111.40640451789771</v>
      </c>
      <c r="G9" s="277">
        <v>113.3063882552283</v>
      </c>
      <c r="H9" s="277">
        <v>111.62435423410828</v>
      </c>
      <c r="I9" s="267"/>
    </row>
    <row r="10" spans="1:13" ht="30" customHeight="1">
      <c r="A10" s="278"/>
      <c r="B10" s="279" t="s">
        <v>282</v>
      </c>
      <c r="C10" s="280">
        <v>182.94246701</v>
      </c>
      <c r="D10" s="280">
        <v>248.26753300000004</v>
      </c>
      <c r="E10" s="280">
        <v>550.07475621000003</v>
      </c>
      <c r="F10" s="280">
        <v>125.86592425027932</v>
      </c>
      <c r="G10" s="280">
        <v>132.46096125613101</v>
      </c>
      <c r="H10" s="280">
        <v>127.82051398408744</v>
      </c>
      <c r="I10" s="267"/>
      <c r="J10" s="281"/>
      <c r="K10" s="281"/>
      <c r="L10" s="281"/>
      <c r="M10" s="281"/>
    </row>
    <row r="11" spans="1:13" ht="30" customHeight="1">
      <c r="A11" s="278"/>
      <c r="B11" s="279" t="s">
        <v>283</v>
      </c>
      <c r="C11" s="280">
        <v>11.2855573486402</v>
      </c>
      <c r="D11" s="280">
        <v>12.0786708876667</v>
      </c>
      <c r="E11" s="280">
        <v>32.405141138321923</v>
      </c>
      <c r="F11" s="280">
        <v>105.28941400191201</v>
      </c>
      <c r="G11" s="280">
        <v>106.96600330914777</v>
      </c>
      <c r="H11" s="280">
        <v>105.40284950773786</v>
      </c>
      <c r="I11" s="267"/>
      <c r="J11" s="281"/>
      <c r="K11" s="281"/>
      <c r="L11" s="281"/>
      <c r="M11" s="281"/>
    </row>
    <row r="12" spans="1:13" ht="25.5">
      <c r="A12" s="278"/>
      <c r="B12" s="282" t="s">
        <v>284</v>
      </c>
      <c r="C12" s="280">
        <v>32.634589516714492</v>
      </c>
      <c r="D12" s="280">
        <v>34.329087058337301</v>
      </c>
      <c r="E12" s="280">
        <v>89.585273690401493</v>
      </c>
      <c r="F12" s="280">
        <v>104.86292890496631</v>
      </c>
      <c r="G12" s="280">
        <v>107.33101737445649</v>
      </c>
      <c r="H12" s="280">
        <v>105.75815582425648</v>
      </c>
      <c r="I12" s="267"/>
      <c r="J12" s="281"/>
      <c r="K12" s="281"/>
      <c r="L12" s="281"/>
      <c r="M12" s="281"/>
    </row>
    <row r="13" spans="1:13" ht="38.25">
      <c r="A13" s="278"/>
      <c r="B13" s="283" t="s">
        <v>285</v>
      </c>
      <c r="C13" s="280">
        <v>18.478713771079001</v>
      </c>
      <c r="D13" s="280">
        <v>18.5643786864829</v>
      </c>
      <c r="E13" s="280">
        <v>52.314542689230493</v>
      </c>
      <c r="F13" s="280">
        <v>105.0714233227466</v>
      </c>
      <c r="G13" s="280">
        <v>108.36409650884811</v>
      </c>
      <c r="H13" s="280">
        <v>105.70673477316078</v>
      </c>
      <c r="I13" s="267"/>
      <c r="J13" s="281"/>
      <c r="K13" s="281"/>
      <c r="L13" s="281"/>
      <c r="M13" s="281"/>
    </row>
    <row r="14" spans="1:13" ht="30" customHeight="1">
      <c r="A14" s="278"/>
      <c r="B14" s="278" t="s">
        <v>286</v>
      </c>
      <c r="C14" s="280">
        <v>493.29523821168402</v>
      </c>
      <c r="D14" s="280">
        <v>582.17942568237095</v>
      </c>
      <c r="E14" s="280">
        <v>1441.2525069279079</v>
      </c>
      <c r="F14" s="280">
        <v>108.04601636933037</v>
      </c>
      <c r="G14" s="280">
        <v>108.17754640693822</v>
      </c>
      <c r="H14" s="280">
        <v>107.76845816795732</v>
      </c>
      <c r="I14" s="267"/>
      <c r="J14" s="281"/>
      <c r="K14" s="281"/>
      <c r="L14" s="281"/>
      <c r="M14" s="281"/>
    </row>
    <row r="15" spans="1:13" ht="30" customHeight="1">
      <c r="A15" s="278"/>
      <c r="B15" s="278" t="s">
        <v>287</v>
      </c>
      <c r="C15" s="284">
        <v>166.34967533333301</v>
      </c>
      <c r="D15" s="284">
        <v>174.94938823999999</v>
      </c>
      <c r="E15" s="280">
        <v>462.13968728228804</v>
      </c>
      <c r="F15" s="280">
        <v>111.55109786476977</v>
      </c>
      <c r="G15" s="280">
        <v>112.18863750753438</v>
      </c>
      <c r="H15" s="280">
        <v>111.19934085635428</v>
      </c>
      <c r="I15" s="267"/>
      <c r="J15" s="281"/>
      <c r="K15" s="281"/>
      <c r="L15" s="281"/>
      <c r="M15" s="281"/>
    </row>
    <row r="16" spans="1:13" ht="30" customHeight="1">
      <c r="A16" s="278"/>
      <c r="B16" s="278" t="s">
        <v>288</v>
      </c>
      <c r="C16" s="285">
        <v>24.379009855287297</v>
      </c>
      <c r="D16" s="285">
        <v>29.754761246048897</v>
      </c>
      <c r="E16" s="285">
        <v>74.052460670444688</v>
      </c>
      <c r="F16" s="286">
        <v>102.63345042354342</v>
      </c>
      <c r="G16" s="287">
        <v>102.67148599668219</v>
      </c>
      <c r="H16" s="287">
        <v>102.54578735041761</v>
      </c>
      <c r="I16" s="267"/>
      <c r="J16" s="281"/>
      <c r="K16" s="281"/>
      <c r="L16" s="281"/>
      <c r="M16" s="281"/>
    </row>
    <row r="17" spans="1:13" ht="30" customHeight="1">
      <c r="A17" s="278"/>
      <c r="B17" s="288"/>
      <c r="I17" s="267"/>
      <c r="J17" s="281"/>
      <c r="K17" s="281"/>
      <c r="L17" s="281"/>
      <c r="M17" s="281"/>
    </row>
    <row r="18" spans="1:13" ht="20.100000000000001" customHeight="1">
      <c r="A18" s="278"/>
      <c r="B18" s="289"/>
      <c r="C18" s="290"/>
      <c r="D18" s="290"/>
      <c r="E18" s="290"/>
      <c r="F18" s="290"/>
      <c r="G18" s="287"/>
      <c r="H18" s="287"/>
      <c r="I18" s="267"/>
      <c r="J18" s="281"/>
      <c r="K18" s="281"/>
    </row>
    <row r="19" spans="1:13" ht="20.100000000000001" customHeight="1">
      <c r="A19" s="291"/>
      <c r="B19" s="292"/>
      <c r="C19" s="293"/>
      <c r="D19" s="293"/>
      <c r="E19" s="293"/>
      <c r="F19" s="284"/>
      <c r="G19" s="267"/>
      <c r="H19" s="267"/>
      <c r="I19" s="267"/>
    </row>
    <row r="20" spans="1:13" ht="20.100000000000001" customHeight="1">
      <c r="A20" s="291"/>
      <c r="B20" s="292"/>
      <c r="C20" s="293"/>
      <c r="H20" s="284"/>
    </row>
    <row r="21" spans="1:13" ht="20.100000000000001" customHeight="1">
      <c r="A21" s="291"/>
      <c r="B21" s="292"/>
      <c r="C21" s="293"/>
      <c r="H21" s="284"/>
    </row>
    <row r="22" spans="1:13" ht="20.100000000000001" customHeight="1">
      <c r="A22" s="291"/>
      <c r="B22" s="292"/>
      <c r="C22" s="293"/>
      <c r="D22" s="293"/>
      <c r="E22" s="293"/>
      <c r="F22" s="293"/>
      <c r="G22" s="293"/>
      <c r="H22" s="284"/>
    </row>
    <row r="23" spans="1:13" ht="20.100000000000001" customHeight="1">
      <c r="A23" s="291"/>
      <c r="B23" s="292"/>
      <c r="C23" s="293"/>
      <c r="D23" s="293"/>
      <c r="E23" s="293"/>
      <c r="F23" s="293"/>
      <c r="G23" s="293"/>
      <c r="H23" s="284"/>
    </row>
    <row r="24" spans="1:13" ht="20.100000000000001" customHeight="1">
      <c r="A24" s="291"/>
      <c r="B24" s="292"/>
      <c r="C24" s="293"/>
      <c r="D24" s="293"/>
      <c r="E24" s="293"/>
      <c r="F24" s="293"/>
      <c r="G24" s="293"/>
      <c r="H24" s="284"/>
    </row>
    <row r="25" spans="1:13" ht="20.100000000000001" customHeight="1">
      <c r="A25" s="291"/>
      <c r="B25" s="292"/>
      <c r="C25" s="293"/>
      <c r="D25" s="293"/>
      <c r="E25" s="293"/>
      <c r="F25" s="293"/>
      <c r="G25" s="293"/>
      <c r="H25" s="284"/>
    </row>
    <row r="26" spans="1:13" ht="20.100000000000001" customHeight="1">
      <c r="A26" s="291"/>
      <c r="B26" s="292"/>
      <c r="C26" s="293"/>
      <c r="D26" s="293"/>
      <c r="E26" s="293"/>
      <c r="F26" s="293"/>
      <c r="G26" s="293"/>
      <c r="H26" s="284"/>
    </row>
    <row r="27" spans="1:13" ht="20.100000000000001" customHeight="1">
      <c r="A27" s="291"/>
      <c r="B27" s="292"/>
      <c r="C27" s="293"/>
      <c r="D27" s="293"/>
      <c r="E27" s="293"/>
      <c r="F27" s="293"/>
      <c r="G27" s="293"/>
      <c r="H27" s="284"/>
    </row>
    <row r="28" spans="1:13" ht="20.100000000000001" customHeight="1">
      <c r="A28" s="291"/>
      <c r="B28" s="292"/>
      <c r="C28" s="293"/>
      <c r="D28" s="293"/>
      <c r="E28" s="293"/>
      <c r="F28" s="293"/>
      <c r="G28" s="293"/>
      <c r="H28" s="284"/>
    </row>
    <row r="29" spans="1:13" ht="20.100000000000001" customHeight="1">
      <c r="A29" s="291"/>
      <c r="B29" s="292"/>
      <c r="C29" s="293"/>
      <c r="D29" s="293"/>
      <c r="E29" s="293"/>
      <c r="F29" s="293"/>
      <c r="G29" s="293"/>
      <c r="H29" s="284"/>
    </row>
    <row r="30" spans="1:13" ht="20.100000000000001" customHeight="1">
      <c r="A30" s="291"/>
      <c r="B30" s="292"/>
      <c r="C30" s="293"/>
      <c r="D30" s="293"/>
      <c r="E30" s="293"/>
      <c r="F30" s="293"/>
      <c r="G30" s="293"/>
      <c r="H30" s="284"/>
    </row>
    <row r="31" spans="1:13" ht="20.100000000000001" customHeight="1">
      <c r="A31" s="291"/>
      <c r="B31" s="292"/>
      <c r="C31" s="293"/>
      <c r="D31" s="293"/>
      <c r="E31" s="293"/>
      <c r="F31" s="293"/>
      <c r="G31" s="293"/>
      <c r="H31" s="284"/>
    </row>
    <row r="32" spans="1:13" ht="20.100000000000001" customHeight="1">
      <c r="A32" s="291"/>
      <c r="B32" s="292"/>
      <c r="C32" s="293"/>
      <c r="D32" s="293"/>
      <c r="E32" s="293"/>
      <c r="F32" s="293"/>
      <c r="G32" s="293"/>
      <c r="H32" s="284"/>
    </row>
    <row r="33" spans="1:8" ht="20.100000000000001" customHeight="1">
      <c r="A33" s="291"/>
      <c r="B33" s="292"/>
      <c r="C33" s="293"/>
      <c r="D33" s="293"/>
      <c r="E33" s="293"/>
      <c r="F33" s="293"/>
      <c r="G33" s="293"/>
      <c r="H33" s="284"/>
    </row>
    <row r="34" spans="1:8" ht="20.100000000000001" customHeight="1">
      <c r="A34" s="291"/>
      <c r="B34" s="292"/>
      <c r="C34" s="293"/>
      <c r="D34" s="293"/>
      <c r="E34" s="293"/>
      <c r="F34" s="293"/>
      <c r="G34" s="293"/>
      <c r="H34" s="284"/>
    </row>
    <row r="35" spans="1:8" ht="20.100000000000001" customHeight="1">
      <c r="A35" s="291"/>
      <c r="B35" s="292"/>
      <c r="C35" s="293"/>
      <c r="D35" s="293"/>
      <c r="E35" s="293"/>
      <c r="F35" s="293"/>
      <c r="G35" s="293"/>
      <c r="H35" s="284"/>
    </row>
    <row r="36" spans="1:8" ht="20.100000000000001" customHeight="1">
      <c r="A36" s="291"/>
      <c r="B36" s="292"/>
      <c r="C36" s="293"/>
      <c r="D36" s="293"/>
      <c r="E36" s="293"/>
      <c r="F36" s="293"/>
      <c r="G36" s="293"/>
      <c r="H36" s="284"/>
    </row>
    <row r="37" spans="1:8" ht="20.100000000000001" customHeight="1">
      <c r="A37" s="291"/>
      <c r="B37" s="292"/>
      <c r="C37" s="293"/>
      <c r="D37" s="293"/>
      <c r="E37" s="293"/>
      <c r="F37" s="293"/>
      <c r="G37" s="293"/>
      <c r="H37" s="284"/>
    </row>
    <row r="38" spans="1:8" ht="20.100000000000001" customHeight="1">
      <c r="A38" s="291"/>
    </row>
    <row r="39" spans="1:8" ht="15" customHeight="1">
      <c r="A39" s="291"/>
    </row>
    <row r="40" spans="1:8" ht="15" customHeight="1">
      <c r="A40" s="291"/>
    </row>
  </sheetData>
  <mergeCells count="1">
    <mergeCell ref="F4:H4"/>
  </mergeCells>
  <pageMargins left="0.86614173228346503" right="0.17" top="0.74803149606299202" bottom="0.511811023622047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72"/>
  <sheetViews>
    <sheetView workbookViewId="0">
      <selection activeCell="D13" sqref="D13"/>
    </sheetView>
  </sheetViews>
  <sheetFormatPr defaultColWidth="8.7109375" defaultRowHeight="15"/>
  <cols>
    <col min="1" max="1" width="1.85546875" style="268" customWidth="1"/>
    <col min="2" max="2" width="31.85546875" style="268" customWidth="1"/>
    <col min="3" max="3" width="10.5703125" style="268" customWidth="1"/>
    <col min="4" max="4" width="9.85546875" style="268" customWidth="1"/>
    <col min="5" max="5" width="10.7109375" style="268" customWidth="1"/>
    <col min="6" max="7" width="12.42578125" style="268" customWidth="1"/>
    <col min="8" max="16384" width="8.7109375" style="268"/>
  </cols>
  <sheetData>
    <row r="1" spans="1:8" ht="20.100000000000001" customHeight="1">
      <c r="A1" s="266" t="s">
        <v>653</v>
      </c>
    </row>
    <row r="2" spans="1:8" ht="7.15" customHeight="1">
      <c r="A2" s="294"/>
      <c r="B2" s="294"/>
      <c r="C2" s="294"/>
      <c r="D2" s="294"/>
      <c r="E2" s="294"/>
      <c r="F2" s="294"/>
    </row>
    <row r="3" spans="1:8" ht="15.95" customHeight="1">
      <c r="A3" s="295"/>
      <c r="B3" s="295"/>
      <c r="C3" s="295"/>
      <c r="D3" s="295"/>
      <c r="E3" s="295"/>
      <c r="G3" s="296" t="s">
        <v>289</v>
      </c>
      <c r="H3" s="297"/>
    </row>
    <row r="4" spans="1:8" ht="15.95" customHeight="1">
      <c r="A4" s="272"/>
      <c r="B4" s="272"/>
      <c r="C4" s="273" t="s">
        <v>2</v>
      </c>
      <c r="D4" s="273" t="s">
        <v>290</v>
      </c>
      <c r="E4" s="273" t="s">
        <v>20</v>
      </c>
      <c r="F4" s="298" t="s">
        <v>291</v>
      </c>
      <c r="G4" s="298" t="s">
        <v>291</v>
      </c>
      <c r="H4" s="274"/>
    </row>
    <row r="5" spans="1:8" ht="15.95" customHeight="1">
      <c r="A5" s="267"/>
      <c r="B5" s="267"/>
      <c r="C5" s="274" t="s">
        <v>117</v>
      </c>
      <c r="D5" s="274" t="s">
        <v>118</v>
      </c>
      <c r="E5" s="274" t="s">
        <v>24</v>
      </c>
      <c r="F5" s="274" t="s">
        <v>292</v>
      </c>
      <c r="G5" s="274" t="s">
        <v>292</v>
      </c>
      <c r="H5" s="274"/>
    </row>
    <row r="6" spans="1:8" ht="15.95" customHeight="1">
      <c r="A6" s="267"/>
      <c r="B6" s="267"/>
      <c r="C6" s="274" t="s">
        <v>28</v>
      </c>
      <c r="D6" s="274" t="s">
        <v>28</v>
      </c>
      <c r="E6" s="274" t="s">
        <v>28</v>
      </c>
      <c r="F6" s="274" t="s">
        <v>293</v>
      </c>
      <c r="G6" s="274" t="s">
        <v>65</v>
      </c>
      <c r="H6" s="274"/>
    </row>
    <row r="7" spans="1:8" ht="15.95" customHeight="1">
      <c r="A7" s="267"/>
      <c r="B7" s="267"/>
      <c r="C7" s="299">
        <v>2025</v>
      </c>
      <c r="D7" s="299">
        <v>2025</v>
      </c>
      <c r="E7" s="299">
        <v>2025</v>
      </c>
      <c r="F7" s="299" t="s">
        <v>294</v>
      </c>
      <c r="G7" s="299" t="s">
        <v>7</v>
      </c>
      <c r="H7" s="274"/>
    </row>
    <row r="8" spans="1:8" ht="4.1500000000000004" customHeight="1">
      <c r="A8" s="267"/>
      <c r="B8" s="267"/>
      <c r="E8" s="274"/>
      <c r="F8" s="274"/>
      <c r="G8" s="274"/>
      <c r="H8" s="274"/>
    </row>
    <row r="9" spans="1:8" ht="15.95" customHeight="1">
      <c r="A9" s="275" t="s">
        <v>257</v>
      </c>
      <c r="B9" s="276"/>
      <c r="C9" s="277">
        <v>83134.591</v>
      </c>
      <c r="D9" s="277">
        <v>87562.880999999994</v>
      </c>
      <c r="E9" s="277">
        <v>550074.65745000006</v>
      </c>
      <c r="F9" s="300">
        <v>55.742759245633962</v>
      </c>
      <c r="G9" s="300">
        <v>127.85132869728622</v>
      </c>
      <c r="H9" s="300"/>
    </row>
    <row r="10" spans="1:8" ht="15.6" customHeight="1">
      <c r="A10" s="278"/>
      <c r="B10" s="288" t="s">
        <v>295</v>
      </c>
      <c r="C10" s="301">
        <v>11489.1</v>
      </c>
      <c r="D10" s="302">
        <v>12516.5</v>
      </c>
      <c r="E10" s="302">
        <v>78371.22</v>
      </c>
      <c r="F10" s="303">
        <v>53.192071183118358</v>
      </c>
      <c r="G10" s="303">
        <v>105.99988990357636</v>
      </c>
      <c r="H10" s="300"/>
    </row>
    <row r="11" spans="1:8" ht="15.6" customHeight="1">
      <c r="A11" s="278"/>
      <c r="B11" s="304" t="s">
        <v>12</v>
      </c>
      <c r="C11" s="301"/>
      <c r="D11" s="302"/>
      <c r="E11" s="302"/>
      <c r="F11" s="303"/>
      <c r="G11" s="303"/>
      <c r="H11" s="303"/>
    </row>
    <row r="12" spans="1:8" ht="15.6" customHeight="1">
      <c r="A12" s="278"/>
      <c r="B12" s="305" t="s">
        <v>296</v>
      </c>
      <c r="C12" s="280">
        <v>6868.12</v>
      </c>
      <c r="D12" s="286">
        <v>7445.52</v>
      </c>
      <c r="E12" s="286">
        <v>47938.239999999998</v>
      </c>
      <c r="F12" s="306">
        <v>57.649106970642613</v>
      </c>
      <c r="G12" s="306">
        <v>101.70164512799624</v>
      </c>
      <c r="H12" s="307"/>
    </row>
    <row r="13" spans="1:8" ht="15.6" customHeight="1">
      <c r="A13" s="278"/>
      <c r="B13" s="305" t="s">
        <v>297</v>
      </c>
      <c r="C13" s="280">
        <v>1703.43</v>
      </c>
      <c r="D13" s="286">
        <v>1823.42</v>
      </c>
      <c r="E13" s="286">
        <v>11985.41</v>
      </c>
      <c r="F13" s="306">
        <v>51.260446337687213</v>
      </c>
      <c r="G13" s="306">
        <v>162.98739348896811</v>
      </c>
      <c r="H13" s="307"/>
    </row>
    <row r="14" spans="1:8" ht="15.6" customHeight="1">
      <c r="A14" s="278"/>
      <c r="B14" s="305" t="s">
        <v>298</v>
      </c>
      <c r="C14" s="280">
        <v>327.42</v>
      </c>
      <c r="D14" s="286">
        <v>406.21</v>
      </c>
      <c r="E14" s="286">
        <v>2118.0809999999997</v>
      </c>
      <c r="F14" s="306">
        <v>36.785203813149423</v>
      </c>
      <c r="G14" s="306">
        <v>276.84800083652476</v>
      </c>
      <c r="H14" s="307"/>
    </row>
    <row r="15" spans="1:8" ht="15.6" customHeight="1">
      <c r="A15" s="278"/>
      <c r="B15" s="305" t="s">
        <v>299</v>
      </c>
      <c r="C15" s="280">
        <v>195.32</v>
      </c>
      <c r="D15" s="286">
        <v>214.72</v>
      </c>
      <c r="E15" s="286">
        <v>1228.75</v>
      </c>
      <c r="F15" s="306">
        <v>42.020039668969297</v>
      </c>
      <c r="G15" s="306">
        <v>172.73736890938233</v>
      </c>
      <c r="H15" s="307"/>
    </row>
    <row r="16" spans="1:8" ht="15.6" customHeight="1">
      <c r="A16" s="278"/>
      <c r="B16" s="305" t="s">
        <v>300</v>
      </c>
      <c r="C16" s="280">
        <v>128.72</v>
      </c>
      <c r="D16" s="286">
        <v>152.63</v>
      </c>
      <c r="E16" s="286">
        <v>681.74</v>
      </c>
      <c r="F16" s="307">
        <v>37.250946381892412</v>
      </c>
      <c r="G16" s="306">
        <v>149.33736391316731</v>
      </c>
      <c r="H16" s="307"/>
    </row>
    <row r="17" spans="1:8" ht="15.6" customHeight="1">
      <c r="A17" s="278"/>
      <c r="B17" s="305" t="s">
        <v>301</v>
      </c>
      <c r="C17" s="280">
        <v>47.92</v>
      </c>
      <c r="D17" s="280">
        <v>60.82</v>
      </c>
      <c r="E17" s="280">
        <v>327.3</v>
      </c>
      <c r="F17" s="307">
        <v>35.447320711069139</v>
      </c>
      <c r="G17" s="307">
        <v>87.152176807349221</v>
      </c>
      <c r="H17" s="307"/>
    </row>
    <row r="18" spans="1:8" ht="15.6" customHeight="1">
      <c r="A18" s="278"/>
      <c r="B18" s="305" t="s">
        <v>302</v>
      </c>
      <c r="C18" s="280">
        <v>24.32</v>
      </c>
      <c r="D18" s="280">
        <v>29.86</v>
      </c>
      <c r="E18" s="280">
        <v>164.90200000000002</v>
      </c>
      <c r="F18" s="307">
        <v>38.937346814448915</v>
      </c>
      <c r="G18" s="307">
        <v>42.075423555827726</v>
      </c>
      <c r="H18" s="307"/>
    </row>
    <row r="19" spans="1:8" ht="15.6" customHeight="1">
      <c r="A19" s="278"/>
      <c r="B19" s="288" t="s">
        <v>303</v>
      </c>
      <c r="C19" s="301">
        <v>71645.490999999995</v>
      </c>
      <c r="D19" s="302">
        <v>75046.380999999994</v>
      </c>
      <c r="E19" s="302">
        <v>471703.43745000003</v>
      </c>
      <c r="F19" s="303">
        <v>56.190431711260779</v>
      </c>
      <c r="G19" s="303">
        <v>132.38555066279241</v>
      </c>
      <c r="H19" s="307"/>
    </row>
    <row r="20" spans="1:8" ht="15.6" customHeight="1">
      <c r="A20" s="278"/>
      <c r="B20" s="308" t="s">
        <v>304</v>
      </c>
      <c r="C20" s="284">
        <v>59524.875</v>
      </c>
      <c r="D20" s="286">
        <v>62633.576000000001</v>
      </c>
      <c r="E20" s="286">
        <v>384423.64150000003</v>
      </c>
      <c r="F20" s="306">
        <v>54.973518993935969</v>
      </c>
      <c r="G20" s="306">
        <v>137.82733114144108</v>
      </c>
      <c r="H20" s="307"/>
    </row>
    <row r="21" spans="1:8" ht="15.6" customHeight="1">
      <c r="A21" s="278"/>
      <c r="B21" s="308" t="s">
        <v>305</v>
      </c>
      <c r="C21" s="284">
        <v>12120.616</v>
      </c>
      <c r="D21" s="286">
        <v>12412.805</v>
      </c>
      <c r="E21" s="286">
        <v>87279.795949999985</v>
      </c>
      <c r="F21" s="306">
        <v>62.260829640891203</v>
      </c>
      <c r="G21" s="306">
        <v>112.77403506925361</v>
      </c>
      <c r="H21" s="307"/>
    </row>
    <row r="22" spans="1:8" ht="15.6" customHeight="1">
      <c r="B22" s="309" t="s">
        <v>306</v>
      </c>
      <c r="C22" s="284"/>
      <c r="D22" s="284"/>
      <c r="E22" s="284"/>
      <c r="F22" s="310"/>
      <c r="G22" s="310"/>
      <c r="H22" s="307"/>
    </row>
    <row r="23" spans="1:8" ht="15.6" customHeight="1">
      <c r="A23" s="291"/>
      <c r="B23" s="292" t="s">
        <v>221</v>
      </c>
      <c r="C23" s="286">
        <v>12962.823</v>
      </c>
      <c r="D23" s="286">
        <v>13411.867</v>
      </c>
      <c r="E23" s="286">
        <v>87792.671000000002</v>
      </c>
      <c r="F23" s="306">
        <v>57.548072564318829</v>
      </c>
      <c r="G23" s="306">
        <v>150.59565812254286</v>
      </c>
      <c r="H23" s="307"/>
    </row>
    <row r="24" spans="1:8" ht="15.6" customHeight="1">
      <c r="A24" s="291"/>
      <c r="B24" s="292" t="s">
        <v>193</v>
      </c>
      <c r="C24" s="286">
        <v>8684.8709999999992</v>
      </c>
      <c r="D24" s="286">
        <v>8786.2279999999992</v>
      </c>
      <c r="E24" s="286">
        <v>59503.843999999997</v>
      </c>
      <c r="F24" s="306">
        <v>56.903184663587581</v>
      </c>
      <c r="G24" s="306">
        <v>131.1412429976202</v>
      </c>
      <c r="H24" s="307"/>
    </row>
    <row r="25" spans="1:8" ht="15.6" customHeight="1">
      <c r="A25" s="291"/>
      <c r="B25" s="292" t="s">
        <v>198</v>
      </c>
      <c r="C25" s="286">
        <v>5796.8289999999997</v>
      </c>
      <c r="D25" s="286">
        <v>6645.7470000000003</v>
      </c>
      <c r="E25" s="286">
        <v>31654.525000000001</v>
      </c>
      <c r="F25" s="306">
        <v>48.1661228629034</v>
      </c>
      <c r="G25" s="306">
        <v>215.73704561555837</v>
      </c>
      <c r="H25" s="307"/>
    </row>
    <row r="26" spans="1:8" ht="15.6" customHeight="1">
      <c r="A26" s="291"/>
      <c r="B26" s="292" t="s">
        <v>197</v>
      </c>
      <c r="C26" s="286">
        <v>3710.8229999999999</v>
      </c>
      <c r="D26" s="286">
        <v>4248.75</v>
      </c>
      <c r="E26" s="286">
        <v>25044.487450000001</v>
      </c>
      <c r="F26" s="306">
        <v>58.02015793820258</v>
      </c>
      <c r="G26" s="306">
        <v>145.61013494024627</v>
      </c>
      <c r="H26" s="307"/>
    </row>
    <row r="27" spans="1:8" ht="15.6" customHeight="1">
      <c r="A27" s="291"/>
      <c r="B27" s="292" t="s">
        <v>196</v>
      </c>
      <c r="C27" s="286">
        <v>3254.652</v>
      </c>
      <c r="D27" s="286">
        <v>3400.6680000000001</v>
      </c>
      <c r="E27" s="286">
        <v>21261.092000000001</v>
      </c>
      <c r="F27" s="306">
        <v>60.402643340738962</v>
      </c>
      <c r="G27" s="306">
        <v>132.16939889759226</v>
      </c>
      <c r="H27" s="307"/>
    </row>
    <row r="28" spans="1:8" ht="15.6" customHeight="1">
      <c r="A28" s="291"/>
      <c r="B28" s="292" t="s">
        <v>220</v>
      </c>
      <c r="C28" s="286">
        <v>3259.348</v>
      </c>
      <c r="D28" s="286">
        <v>3569.424</v>
      </c>
      <c r="E28" s="286">
        <v>17642.248</v>
      </c>
      <c r="F28" s="306">
        <v>47.089387223063468</v>
      </c>
      <c r="G28" s="306">
        <v>160.60429041020521</v>
      </c>
      <c r="H28" s="307"/>
    </row>
    <row r="29" spans="1:8" ht="15.6" customHeight="1">
      <c r="A29" s="291"/>
      <c r="B29" s="292" t="s">
        <v>204</v>
      </c>
      <c r="C29" s="286">
        <v>2316.3719999999998</v>
      </c>
      <c r="D29" s="286">
        <v>2253.1840000000002</v>
      </c>
      <c r="E29" s="286">
        <v>17081.491000000002</v>
      </c>
      <c r="F29" s="306">
        <v>59.102022465596583</v>
      </c>
      <c r="G29" s="306">
        <v>119.85167614918466</v>
      </c>
      <c r="H29" s="307"/>
    </row>
    <row r="30" spans="1:8" ht="15.6" customHeight="1">
      <c r="A30" s="291"/>
      <c r="B30" s="292" t="s">
        <v>225</v>
      </c>
      <c r="C30" s="286">
        <v>2333.585</v>
      </c>
      <c r="D30" s="286">
        <v>2508.4079999999999</v>
      </c>
      <c r="E30" s="286">
        <v>16126.495999999999</v>
      </c>
      <c r="F30" s="306">
        <v>56.402953023129434</v>
      </c>
      <c r="G30" s="306">
        <v>111.83498252380755</v>
      </c>
      <c r="H30" s="307"/>
    </row>
    <row r="31" spans="1:8" ht="15.6" customHeight="1">
      <c r="A31" s="291"/>
      <c r="B31" s="292" t="s">
        <v>307</v>
      </c>
      <c r="C31" s="286">
        <v>1751.3910000000001</v>
      </c>
      <c r="D31" s="286">
        <v>1928.702</v>
      </c>
      <c r="E31" s="286">
        <v>11389.498</v>
      </c>
      <c r="F31" s="306">
        <v>56.075228604018768</v>
      </c>
      <c r="G31" s="306">
        <v>124.54603212095168</v>
      </c>
      <c r="H31" s="307"/>
    </row>
    <row r="32" spans="1:8" ht="15.6" customHeight="1">
      <c r="A32" s="291"/>
      <c r="B32" s="292" t="s">
        <v>219</v>
      </c>
      <c r="C32" s="286">
        <v>1808.665</v>
      </c>
      <c r="D32" s="286">
        <v>1836.68</v>
      </c>
      <c r="E32" s="286">
        <v>11358.973</v>
      </c>
      <c r="F32" s="306">
        <v>69.800275736017042</v>
      </c>
      <c r="G32" s="306">
        <v>123.60710974898849</v>
      </c>
      <c r="H32" s="307"/>
    </row>
    <row r="33" spans="1:8" ht="15.6" customHeight="1">
      <c r="A33" s="291"/>
      <c r="B33" s="292" t="s">
        <v>308</v>
      </c>
      <c r="C33" s="286">
        <v>1682.79</v>
      </c>
      <c r="D33" s="286">
        <v>1737.5530000000001</v>
      </c>
      <c r="E33" s="286">
        <v>11170.57</v>
      </c>
      <c r="F33" s="306">
        <v>63.615622698536114</v>
      </c>
      <c r="G33" s="306">
        <v>133.17603387672821</v>
      </c>
      <c r="H33" s="307"/>
    </row>
    <row r="34" spans="1:8" ht="15.6" customHeight="1">
      <c r="A34" s="291"/>
      <c r="B34" s="292" t="s">
        <v>309</v>
      </c>
      <c r="C34" s="286">
        <v>1442.152</v>
      </c>
      <c r="D34" s="286">
        <v>1572.5119999999999</v>
      </c>
      <c r="E34" s="286">
        <v>10759.189</v>
      </c>
      <c r="F34" s="306">
        <v>61.175697907553825</v>
      </c>
      <c r="G34" s="306">
        <v>107.77148039493012</v>
      </c>
      <c r="H34" s="307"/>
    </row>
    <row r="35" spans="1:8" ht="15.6" customHeight="1">
      <c r="A35" s="291"/>
      <c r="B35" s="292" t="s">
        <v>215</v>
      </c>
      <c r="C35" s="286">
        <v>1615.645</v>
      </c>
      <c r="D35" s="286">
        <v>1402.444</v>
      </c>
      <c r="E35" s="286">
        <v>10560.022000000001</v>
      </c>
      <c r="F35" s="306">
        <v>72.46106992526714</v>
      </c>
      <c r="G35" s="306">
        <v>134.21369368279321</v>
      </c>
      <c r="H35" s="307"/>
    </row>
    <row r="36" spans="1:8" ht="15.6" customHeight="1">
      <c r="A36" s="291"/>
      <c r="B36" s="292" t="s">
        <v>310</v>
      </c>
      <c r="C36" s="286">
        <v>1795.511</v>
      </c>
      <c r="D36" s="286">
        <v>1876.0650000000001</v>
      </c>
      <c r="E36" s="286">
        <v>10466.351000000001</v>
      </c>
      <c r="F36" s="306">
        <v>39.094343746911427</v>
      </c>
      <c r="G36" s="306">
        <v>110.54153396001712</v>
      </c>
      <c r="H36" s="307"/>
    </row>
    <row r="37" spans="1:8" ht="15.6" customHeight="1">
      <c r="A37" s="291"/>
      <c r="B37" s="292" t="s">
        <v>208</v>
      </c>
      <c r="C37" s="286">
        <v>1511.85</v>
      </c>
      <c r="D37" s="286">
        <v>1538.521</v>
      </c>
      <c r="E37" s="286">
        <v>10394.029</v>
      </c>
      <c r="F37" s="306">
        <v>64.13114084501828</v>
      </c>
      <c r="G37" s="306">
        <v>114.23543908863367</v>
      </c>
      <c r="H37" s="307"/>
    </row>
    <row r="38" spans="1:8" ht="15.6" customHeight="1">
      <c r="A38" s="291"/>
      <c r="B38" s="292" t="s">
        <v>222</v>
      </c>
      <c r="C38" s="286">
        <v>1400.664</v>
      </c>
      <c r="D38" s="286">
        <v>1484.874</v>
      </c>
      <c r="E38" s="286">
        <v>10158.816999999999</v>
      </c>
      <c r="F38" s="306">
        <v>49.489179070849374</v>
      </c>
      <c r="G38" s="306">
        <v>131.49847011672881</v>
      </c>
      <c r="H38" s="307"/>
    </row>
    <row r="39" spans="1:8" ht="15.6" customHeight="1">
      <c r="A39" s="291"/>
      <c r="B39" s="292" t="s">
        <v>202</v>
      </c>
      <c r="C39" s="286">
        <v>1279.82</v>
      </c>
      <c r="D39" s="286">
        <v>1138.8230000000001</v>
      </c>
      <c r="E39" s="286">
        <v>9375.0400000000009</v>
      </c>
      <c r="F39" s="306">
        <v>73.115957983031393</v>
      </c>
      <c r="G39" s="306">
        <v>147.88995456839982</v>
      </c>
      <c r="H39" s="307"/>
    </row>
    <row r="40" spans="1:8" ht="15.6" customHeight="1">
      <c r="A40" s="291"/>
      <c r="B40" s="292" t="s">
        <v>218</v>
      </c>
      <c r="C40" s="286">
        <v>1364.2380000000001</v>
      </c>
      <c r="D40" s="286">
        <v>1436.702</v>
      </c>
      <c r="E40" s="286">
        <v>9364.4959999999992</v>
      </c>
      <c r="F40" s="306">
        <v>58.961284874895547</v>
      </c>
      <c r="G40" s="306">
        <v>106.1253307316401</v>
      </c>
      <c r="H40" s="307"/>
    </row>
    <row r="41" spans="1:8" ht="15.6" customHeight="1">
      <c r="A41" s="291"/>
      <c r="B41" s="292" t="s">
        <v>195</v>
      </c>
      <c r="C41" s="286">
        <v>1303.328</v>
      </c>
      <c r="D41" s="286">
        <v>1350.2619999999999</v>
      </c>
      <c r="E41" s="286">
        <v>9161.5529999999999</v>
      </c>
      <c r="F41" s="306">
        <v>66.54299950123</v>
      </c>
      <c r="G41" s="306">
        <v>99.443039705889532</v>
      </c>
      <c r="H41" s="307"/>
    </row>
    <row r="42" spans="1:8" ht="15.6" customHeight="1">
      <c r="A42" s="291"/>
      <c r="B42" s="292" t="s">
        <v>217</v>
      </c>
      <c r="C42" s="286">
        <v>1100.3030000000001</v>
      </c>
      <c r="D42" s="286">
        <v>1228.587</v>
      </c>
      <c r="E42" s="286">
        <v>8841.4950000000008</v>
      </c>
      <c r="F42" s="306">
        <v>57.311448210522506</v>
      </c>
      <c r="G42" s="306">
        <v>136.98688185051</v>
      </c>
      <c r="H42" s="307"/>
    </row>
    <row r="43" spans="1:8" ht="15.6" customHeight="1">
      <c r="A43" s="291"/>
      <c r="B43" s="292" t="s">
        <v>216</v>
      </c>
      <c r="C43" s="286">
        <v>1359.3589999999999</v>
      </c>
      <c r="D43" s="286">
        <v>1456.001</v>
      </c>
      <c r="E43" s="286">
        <v>7914.9470000000001</v>
      </c>
      <c r="F43" s="306">
        <v>45.139006830264677</v>
      </c>
      <c r="G43" s="306">
        <v>130.30935136789518</v>
      </c>
    </row>
    <row r="44" spans="1:8" ht="15.95" customHeight="1">
      <c r="A44" s="291"/>
    </row>
    <row r="45" spans="1:8" ht="15.95" customHeight="1">
      <c r="A45" s="291"/>
    </row>
    <row r="46" spans="1:8" ht="15.95" customHeight="1">
      <c r="A46" s="291"/>
    </row>
    <row r="47" spans="1:8" ht="15.95" customHeight="1">
      <c r="A47" s="291"/>
    </row>
    <row r="48" spans="1:8" ht="15.95" customHeight="1">
      <c r="A48" s="291"/>
    </row>
    <row r="49" spans="1:1" ht="15.95" customHeight="1">
      <c r="A49" s="291"/>
    </row>
    <row r="50" spans="1:1" ht="15.95" customHeight="1">
      <c r="A50" s="291"/>
    </row>
    <row r="51" spans="1:1" ht="15.95" customHeight="1">
      <c r="A51" s="291"/>
    </row>
    <row r="52" spans="1:1" ht="15.95" customHeight="1">
      <c r="A52" s="291"/>
    </row>
    <row r="53" spans="1:1" ht="15.95" customHeight="1">
      <c r="A53" s="291"/>
    </row>
    <row r="54" spans="1:1" ht="15.95" customHeight="1">
      <c r="A54" s="291"/>
    </row>
    <row r="55" spans="1:1" ht="15.95" customHeight="1">
      <c r="A55" s="291"/>
    </row>
    <row r="56" spans="1:1" ht="15.95" customHeight="1">
      <c r="A56" s="291"/>
    </row>
    <row r="57" spans="1:1" ht="15.95" customHeight="1">
      <c r="A57" s="291"/>
    </row>
    <row r="58" spans="1:1" ht="15.95" customHeight="1">
      <c r="A58" s="291"/>
    </row>
    <row r="59" spans="1:1" ht="15.95" customHeight="1">
      <c r="A59" s="291"/>
    </row>
    <row r="60" spans="1:1" ht="15.95" customHeight="1">
      <c r="A60" s="291"/>
    </row>
    <row r="61" spans="1:1" ht="15.95" customHeight="1">
      <c r="A61" s="291"/>
    </row>
    <row r="62" spans="1:1" ht="15.95" customHeight="1">
      <c r="A62" s="291"/>
    </row>
    <row r="63" spans="1:1" ht="15.95" customHeight="1">
      <c r="A63" s="291"/>
    </row>
    <row r="64" spans="1:1" ht="15.95" customHeight="1">
      <c r="A64" s="291"/>
    </row>
    <row r="65" spans="1:6" ht="15.95" customHeight="1">
      <c r="A65" s="291"/>
    </row>
    <row r="66" spans="1:6">
      <c r="A66" s="311"/>
      <c r="B66" s="311"/>
      <c r="C66" s="311"/>
      <c r="D66" s="311"/>
      <c r="E66" s="311"/>
      <c r="F66" s="311"/>
    </row>
    <row r="67" spans="1:6">
      <c r="A67" s="311"/>
      <c r="B67" s="311"/>
      <c r="C67" s="311"/>
      <c r="D67" s="311"/>
      <c r="E67" s="311"/>
      <c r="F67" s="311"/>
    </row>
    <row r="68" spans="1:6">
      <c r="A68" s="311"/>
      <c r="B68" s="311"/>
      <c r="C68" s="311"/>
      <c r="D68" s="311"/>
      <c r="E68" s="311"/>
      <c r="F68" s="311"/>
    </row>
    <row r="69" spans="1:6">
      <c r="A69" s="311"/>
      <c r="B69" s="311"/>
      <c r="C69" s="311"/>
      <c r="D69" s="311"/>
      <c r="E69" s="311"/>
      <c r="F69" s="311"/>
    </row>
    <row r="70" spans="1:6">
      <c r="A70" s="311"/>
      <c r="B70" s="311"/>
      <c r="C70" s="311"/>
      <c r="D70" s="311"/>
      <c r="E70" s="311"/>
      <c r="F70" s="311"/>
    </row>
    <row r="71" spans="1:6">
      <c r="A71" s="311"/>
      <c r="B71" s="311"/>
      <c r="C71" s="311"/>
      <c r="D71" s="311"/>
      <c r="E71" s="311"/>
      <c r="F71" s="311"/>
    </row>
    <row r="72" spans="1:6">
      <c r="A72" s="311"/>
      <c r="B72" s="311"/>
      <c r="C72" s="311"/>
      <c r="D72" s="311"/>
      <c r="E72" s="311"/>
      <c r="F72" s="311"/>
    </row>
  </sheetData>
  <pageMargins left="0.86614173228346503" right="0.17" top="0.74803149606299202" bottom="0.511811023622047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72"/>
  <sheetViews>
    <sheetView workbookViewId="0">
      <selection activeCell="D13" sqref="D13"/>
    </sheetView>
  </sheetViews>
  <sheetFormatPr defaultColWidth="8.7109375" defaultRowHeight="15"/>
  <cols>
    <col min="1" max="1" width="1.85546875" style="268" customWidth="1"/>
    <col min="2" max="2" width="31.7109375" style="268" customWidth="1"/>
    <col min="3" max="8" width="9" style="268" customWidth="1"/>
    <col min="9" max="16384" width="8.7109375" style="268"/>
  </cols>
  <sheetData>
    <row r="1" spans="1:8" ht="20.100000000000001" customHeight="1">
      <c r="A1" s="266" t="s">
        <v>654</v>
      </c>
    </row>
    <row r="2" spans="1:8" ht="15.95" customHeight="1">
      <c r="A2" s="294"/>
      <c r="B2" s="294"/>
      <c r="C2" s="294"/>
      <c r="D2" s="294"/>
      <c r="E2" s="294"/>
      <c r="F2" s="294"/>
      <c r="G2" s="294"/>
    </row>
    <row r="3" spans="1:8" ht="15.95" customHeight="1">
      <c r="A3" s="295"/>
      <c r="B3" s="295"/>
      <c r="C3" s="295"/>
      <c r="D3" s="295"/>
      <c r="E3" s="295"/>
      <c r="H3" s="296" t="s">
        <v>289</v>
      </c>
    </row>
    <row r="4" spans="1:8" ht="15.95" customHeight="1">
      <c r="A4" s="272"/>
      <c r="B4" s="272"/>
      <c r="C4" s="312" t="s">
        <v>2</v>
      </c>
      <c r="D4" s="312" t="s">
        <v>2</v>
      </c>
      <c r="E4" s="312" t="s">
        <v>290</v>
      </c>
      <c r="F4" s="897" t="s">
        <v>21</v>
      </c>
      <c r="G4" s="897"/>
      <c r="H4" s="897"/>
    </row>
    <row r="5" spans="1:8" ht="15.95" customHeight="1">
      <c r="A5" s="267"/>
      <c r="B5" s="267"/>
      <c r="C5" s="313" t="s">
        <v>41</v>
      </c>
      <c r="D5" s="313" t="s">
        <v>22</v>
      </c>
      <c r="E5" s="313" t="s">
        <v>42</v>
      </c>
      <c r="F5" s="313" t="s">
        <v>44</v>
      </c>
      <c r="G5" s="313" t="s">
        <v>25</v>
      </c>
      <c r="H5" s="313" t="s">
        <v>26</v>
      </c>
    </row>
    <row r="6" spans="1:8" ht="15.95" customHeight="1">
      <c r="A6" s="267"/>
      <c r="B6" s="267"/>
      <c r="C6" s="314" t="s">
        <v>53</v>
      </c>
      <c r="D6" s="314" t="s">
        <v>53</v>
      </c>
      <c r="E6" s="314" t="s">
        <v>53</v>
      </c>
      <c r="F6" s="314" t="s">
        <v>53</v>
      </c>
      <c r="G6" s="314" t="s">
        <v>53</v>
      </c>
      <c r="H6" s="314" t="s">
        <v>53</v>
      </c>
    </row>
    <row r="7" spans="1:8" ht="15.95" customHeight="1">
      <c r="A7" s="267"/>
      <c r="B7" s="267"/>
      <c r="C7" s="315"/>
      <c r="D7" s="315"/>
      <c r="E7" s="315"/>
      <c r="F7" s="313"/>
      <c r="G7" s="313"/>
      <c r="H7" s="313"/>
    </row>
    <row r="8" spans="1:8" ht="15.95" customHeight="1">
      <c r="A8" s="275" t="s">
        <v>257</v>
      </c>
      <c r="B8" s="276"/>
      <c r="C8" s="316">
        <v>118864.75744</v>
      </c>
      <c r="D8" s="316">
        <v>182942.46700999999</v>
      </c>
      <c r="E8" s="316">
        <v>248267.43300000005</v>
      </c>
      <c r="F8" s="277">
        <v>121.81847539467769</v>
      </c>
      <c r="G8" s="277">
        <v>125.86592425027933</v>
      </c>
      <c r="H8" s="277">
        <v>132.53430749307569</v>
      </c>
    </row>
    <row r="9" spans="1:8" ht="20.100000000000001" customHeight="1">
      <c r="A9" s="278"/>
      <c r="B9" s="288" t="s">
        <v>295</v>
      </c>
      <c r="C9" s="317">
        <v>16885.66</v>
      </c>
      <c r="D9" s="317">
        <v>26583.239999999998</v>
      </c>
      <c r="E9" s="318">
        <v>34902.32</v>
      </c>
      <c r="F9" s="302">
        <v>107.31103732066538</v>
      </c>
      <c r="G9" s="302">
        <v>105.22731555005247</v>
      </c>
      <c r="H9" s="302">
        <v>105.96607003739837</v>
      </c>
    </row>
    <row r="10" spans="1:8" ht="15.95" customHeight="1">
      <c r="A10" s="278"/>
      <c r="B10" s="304" t="s">
        <v>12</v>
      </c>
      <c r="C10" s="317"/>
      <c r="D10" s="317"/>
      <c r="E10" s="317"/>
      <c r="F10" s="302" t="s">
        <v>311</v>
      </c>
      <c r="G10" s="302" t="s">
        <v>311</v>
      </c>
      <c r="H10" s="302" t="s">
        <v>311</v>
      </c>
    </row>
    <row r="11" spans="1:8" ht="15.95" customHeight="1">
      <c r="A11" s="278"/>
      <c r="B11" s="305" t="s">
        <v>296</v>
      </c>
      <c r="C11" s="319">
        <v>10483.33</v>
      </c>
      <c r="D11" s="319">
        <v>16617.559999999998</v>
      </c>
      <c r="E11" s="320">
        <v>20837.349999999999</v>
      </c>
      <c r="F11" s="286">
        <v>101.5324791043186</v>
      </c>
      <c r="G11" s="286">
        <v>103.48236275831577</v>
      </c>
      <c r="H11" s="286">
        <v>100.40789873124945</v>
      </c>
    </row>
    <row r="12" spans="1:8" ht="15.95" customHeight="1">
      <c r="A12" s="278"/>
      <c r="B12" s="305" t="s">
        <v>297</v>
      </c>
      <c r="C12" s="319">
        <v>2428.1999999999998</v>
      </c>
      <c r="D12" s="319">
        <v>4332.1499999999996</v>
      </c>
      <c r="E12" s="320">
        <v>5225.0600000000004</v>
      </c>
      <c r="F12" s="286">
        <v>164.94915392401276</v>
      </c>
      <c r="G12" s="286">
        <v>148.18621833792264</v>
      </c>
      <c r="H12" s="286">
        <v>176.63920141742457</v>
      </c>
    </row>
    <row r="13" spans="1:8" ht="15.95" customHeight="1">
      <c r="A13" s="278"/>
      <c r="B13" s="305" t="s">
        <v>298</v>
      </c>
      <c r="C13" s="319">
        <v>425.27</v>
      </c>
      <c r="D13" s="319">
        <v>693.36099999999999</v>
      </c>
      <c r="E13" s="320">
        <v>999.45</v>
      </c>
      <c r="F13" s="286">
        <v>313.50534463693327</v>
      </c>
      <c r="G13" s="286">
        <v>274.31595189112204</v>
      </c>
      <c r="H13" s="286">
        <v>265.34540434343972</v>
      </c>
    </row>
    <row r="14" spans="1:8" ht="15.95" customHeight="1">
      <c r="A14" s="278"/>
      <c r="B14" s="305" t="s">
        <v>299</v>
      </c>
      <c r="C14" s="319">
        <v>221.42</v>
      </c>
      <c r="D14" s="319">
        <v>421.05999999999995</v>
      </c>
      <c r="E14" s="320">
        <v>586.27</v>
      </c>
      <c r="F14" s="286">
        <v>155.3061653924388</v>
      </c>
      <c r="G14" s="286">
        <v>164.71462660877049</v>
      </c>
      <c r="H14" s="286">
        <v>187.2229673628409</v>
      </c>
    </row>
    <row r="15" spans="1:8" ht="15.95" customHeight="1">
      <c r="A15" s="278"/>
      <c r="B15" s="305" t="s">
        <v>300</v>
      </c>
      <c r="C15" s="319">
        <v>121.05000000000001</v>
      </c>
      <c r="D15" s="319">
        <v>177.23000000000002</v>
      </c>
      <c r="E15" s="319">
        <v>383.46</v>
      </c>
      <c r="F15" s="280">
        <v>119.03825351558659</v>
      </c>
      <c r="G15" s="280">
        <v>131.22316007700283</v>
      </c>
      <c r="H15" s="280">
        <v>174.49035311248633</v>
      </c>
    </row>
    <row r="16" spans="1:8" ht="15.95" customHeight="1">
      <c r="A16" s="278"/>
      <c r="B16" s="305" t="s">
        <v>301</v>
      </c>
      <c r="C16" s="319">
        <v>76.569999999999993</v>
      </c>
      <c r="D16" s="319">
        <v>100.37</v>
      </c>
      <c r="E16" s="320">
        <v>150.35999999999999</v>
      </c>
      <c r="F16" s="280">
        <v>109.04456058901437</v>
      </c>
      <c r="G16" s="280">
        <v>95.562262570098355</v>
      </c>
      <c r="H16" s="286">
        <v>75.067398901647522</v>
      </c>
    </row>
    <row r="17" spans="1:8" ht="15.95" customHeight="1">
      <c r="A17" s="278"/>
      <c r="B17" s="305" t="s">
        <v>302</v>
      </c>
      <c r="C17" s="319">
        <v>38.270000000000003</v>
      </c>
      <c r="D17" s="319">
        <v>50.951999999999998</v>
      </c>
      <c r="E17" s="320">
        <v>75.680000000000007</v>
      </c>
      <c r="F17" s="286">
        <v>41.163816284823064</v>
      </c>
      <c r="G17" s="286">
        <v>38.226423587665991</v>
      </c>
      <c r="H17" s="286">
        <v>45.683930942895088</v>
      </c>
    </row>
    <row r="18" spans="1:8" ht="15.95" customHeight="1">
      <c r="A18" s="278"/>
      <c r="B18" s="288" t="s">
        <v>303</v>
      </c>
      <c r="C18" s="317"/>
      <c r="D18" s="317"/>
      <c r="E18" s="318"/>
      <c r="F18" s="302"/>
      <c r="G18" s="302"/>
      <c r="H18" s="302"/>
    </row>
    <row r="19" spans="1:8" ht="15.95" customHeight="1">
      <c r="A19" s="278"/>
      <c r="B19" s="308" t="s">
        <v>304</v>
      </c>
      <c r="C19" s="287">
        <v>80185.394809999998</v>
      </c>
      <c r="D19" s="287">
        <v>126975.77468999999</v>
      </c>
      <c r="E19" s="320">
        <v>177262.47200000007</v>
      </c>
      <c r="F19" s="286">
        <v>125.08210563632151</v>
      </c>
      <c r="G19" s="286">
        <v>135.16435000092184</v>
      </c>
      <c r="H19" s="286">
        <v>146.65684373498934</v>
      </c>
    </row>
    <row r="20" spans="1:8" ht="15.95" customHeight="1">
      <c r="A20" s="278"/>
      <c r="B20" s="308" t="s">
        <v>305</v>
      </c>
      <c r="C20" s="287">
        <v>21793.70263</v>
      </c>
      <c r="D20" s="287">
        <v>29383.45232</v>
      </c>
      <c r="E20" s="320">
        <v>36102.640999999989</v>
      </c>
      <c r="F20" s="286">
        <v>122.89321108654667</v>
      </c>
      <c r="G20" s="286">
        <v>112.39659693298918</v>
      </c>
      <c r="H20" s="286">
        <v>107.71437317946</v>
      </c>
    </row>
    <row r="21" spans="1:8" ht="15.95" customHeight="1">
      <c r="B21" s="309" t="s">
        <v>306</v>
      </c>
      <c r="C21" s="287"/>
      <c r="D21" s="287"/>
      <c r="E21" s="287"/>
      <c r="F21" s="284"/>
      <c r="G21" s="284"/>
      <c r="H21" s="284"/>
    </row>
    <row r="22" spans="1:8" ht="15.95" customHeight="1">
      <c r="A22" s="291"/>
      <c r="B22" s="308" t="s">
        <v>221</v>
      </c>
      <c r="C22" s="287">
        <v>16466.599999999999</v>
      </c>
      <c r="D22" s="287">
        <v>32336.987000000001</v>
      </c>
      <c r="E22" s="287">
        <v>38989.083999999995</v>
      </c>
      <c r="F22" s="284">
        <v>134.3403132382798</v>
      </c>
      <c r="G22" s="284">
        <v>163.46627604999966</v>
      </c>
      <c r="H22" s="284">
        <v>148.48733400704521</v>
      </c>
    </row>
    <row r="23" spans="1:8" ht="15.95" customHeight="1">
      <c r="A23" s="291"/>
      <c r="B23" s="308" t="s">
        <v>193</v>
      </c>
      <c r="C23" s="287">
        <v>14204.834000000001</v>
      </c>
      <c r="D23" s="287">
        <v>19397.816999999999</v>
      </c>
      <c r="E23" s="287">
        <v>25901.192999999996</v>
      </c>
      <c r="F23" s="284">
        <v>142.88370960822451</v>
      </c>
      <c r="G23" s="284">
        <v>135.2565987894985</v>
      </c>
      <c r="H23" s="284">
        <v>122.80783531004538</v>
      </c>
    </row>
    <row r="24" spans="1:8" ht="15.95" customHeight="1">
      <c r="A24" s="291"/>
      <c r="B24" s="308" t="s">
        <v>198</v>
      </c>
      <c r="C24" s="287">
        <v>5875.9269999999997</v>
      </c>
      <c r="D24" s="287">
        <v>8732.5889999999999</v>
      </c>
      <c r="E24" s="287">
        <v>17046.009000000002</v>
      </c>
      <c r="F24" s="284">
        <v>162.70325006271739</v>
      </c>
      <c r="G24" s="284">
        <v>176.50315691349704</v>
      </c>
      <c r="H24" s="284">
        <v>278.81461487668031</v>
      </c>
    </row>
    <row r="25" spans="1:8" ht="15.95" customHeight="1">
      <c r="A25" s="291"/>
      <c r="B25" s="308" t="s">
        <v>197</v>
      </c>
      <c r="C25" s="287">
        <v>6499.6734399999996</v>
      </c>
      <c r="D25" s="287">
        <v>7689.5510100000001</v>
      </c>
      <c r="E25" s="287">
        <v>10855.263000000003</v>
      </c>
      <c r="F25" s="284">
        <v>162.35484909607518</v>
      </c>
      <c r="G25" s="284">
        <v>132.27036695559138</v>
      </c>
      <c r="H25" s="284">
        <v>147.03445927440561</v>
      </c>
    </row>
    <row r="26" spans="1:8" ht="15.95" customHeight="1">
      <c r="A26" s="291"/>
      <c r="B26" s="308" t="s">
        <v>220</v>
      </c>
      <c r="C26" s="287">
        <v>2906.71</v>
      </c>
      <c r="D26" s="287">
        <v>5030.6679999999997</v>
      </c>
      <c r="E26" s="287">
        <v>9704.8700000000008</v>
      </c>
      <c r="F26" s="284">
        <v>106.82753771954295</v>
      </c>
      <c r="G26" s="284">
        <v>144.88767080362521</v>
      </c>
      <c r="H26" s="284">
        <v>202.52807675676942</v>
      </c>
    </row>
    <row r="27" spans="1:8" ht="15.95" customHeight="1">
      <c r="A27" s="291"/>
      <c r="B27" s="308" t="s">
        <v>196</v>
      </c>
      <c r="C27" s="287">
        <v>4441.058</v>
      </c>
      <c r="D27" s="287">
        <v>7169.7479999999996</v>
      </c>
      <c r="E27" s="287">
        <v>9650.2860000000001</v>
      </c>
      <c r="F27" s="284">
        <v>142.35916932057322</v>
      </c>
      <c r="G27" s="284">
        <v>139.48320919150783</v>
      </c>
      <c r="H27" s="284">
        <v>123.30418329946082</v>
      </c>
    </row>
    <row r="28" spans="1:8" ht="15.95" customHeight="1">
      <c r="A28" s="291"/>
      <c r="B28" s="308" t="s">
        <v>225</v>
      </c>
      <c r="C28" s="287">
        <v>3845.5169999999998</v>
      </c>
      <c r="D28" s="287">
        <v>5271.616</v>
      </c>
      <c r="E28" s="287">
        <v>7009.3629999999994</v>
      </c>
      <c r="F28" s="284">
        <v>108.37977254299167</v>
      </c>
      <c r="G28" s="284">
        <v>108.82028729657669</v>
      </c>
      <c r="H28" s="284">
        <v>116.29196016049417</v>
      </c>
    </row>
    <row r="29" spans="1:8" ht="15.95" customHeight="1">
      <c r="A29" s="291"/>
      <c r="B29" s="308" t="s">
        <v>204</v>
      </c>
      <c r="C29" s="287">
        <v>4227.4759999999997</v>
      </c>
      <c r="D29" s="287">
        <v>5940.16</v>
      </c>
      <c r="E29" s="287">
        <v>6913.8550000000032</v>
      </c>
      <c r="F29" s="284">
        <v>122.3308005673982</v>
      </c>
      <c r="G29" s="284">
        <v>108.45530574991172</v>
      </c>
      <c r="H29" s="284">
        <v>129.97531657943819</v>
      </c>
    </row>
    <row r="30" spans="1:8" ht="15.95" customHeight="1">
      <c r="A30" s="291"/>
      <c r="B30" s="308" t="s">
        <v>219</v>
      </c>
      <c r="C30" s="287">
        <v>2103.4079999999999</v>
      </c>
      <c r="D30" s="287">
        <v>3804.3629999999998</v>
      </c>
      <c r="E30" s="287">
        <v>5451.2020000000011</v>
      </c>
      <c r="F30" s="284">
        <v>99.956375580589693</v>
      </c>
      <c r="G30" s="284">
        <v>123.10938020794569</v>
      </c>
      <c r="H30" s="284">
        <v>136.44982769811341</v>
      </c>
    </row>
    <row r="31" spans="1:8" ht="15.95" customHeight="1">
      <c r="A31" s="291"/>
      <c r="B31" s="308" t="s">
        <v>310</v>
      </c>
      <c r="C31" s="287">
        <v>2196.145</v>
      </c>
      <c r="D31" s="287">
        <v>3025.4679999999998</v>
      </c>
      <c r="E31" s="287">
        <v>5244.7380000000003</v>
      </c>
      <c r="F31" s="284">
        <v>103.07892761811873</v>
      </c>
      <c r="G31" s="284">
        <v>94.293286857829585</v>
      </c>
      <c r="H31" s="284">
        <v>127.01789939922014</v>
      </c>
    </row>
    <row r="32" spans="1:8" ht="15.95" customHeight="1">
      <c r="A32" s="291"/>
      <c r="B32" s="308" t="s">
        <v>307</v>
      </c>
      <c r="C32" s="287">
        <v>2618.962</v>
      </c>
      <c r="D32" s="287">
        <v>3545.6959999999999</v>
      </c>
      <c r="E32" s="287">
        <v>5224.84</v>
      </c>
      <c r="F32" s="284">
        <v>129.11384417275968</v>
      </c>
      <c r="G32" s="284">
        <v>105.60002096694548</v>
      </c>
      <c r="H32" s="284">
        <v>139.00542496922498</v>
      </c>
    </row>
    <row r="33" spans="1:8" ht="15.95" customHeight="1">
      <c r="A33" s="291"/>
      <c r="B33" s="308" t="s">
        <v>308</v>
      </c>
      <c r="C33" s="287">
        <v>2480.5410000000002</v>
      </c>
      <c r="D33" s="287">
        <v>3625.0039999999999</v>
      </c>
      <c r="E33" s="287">
        <v>5065.0249999999987</v>
      </c>
      <c r="F33" s="284">
        <v>121.79042965460796</v>
      </c>
      <c r="G33" s="284">
        <v>115.11709698183945</v>
      </c>
      <c r="H33" s="284">
        <v>158.17709063643088</v>
      </c>
    </row>
    <row r="34" spans="1:8" ht="15.95" customHeight="1">
      <c r="A34" s="291"/>
      <c r="B34" s="308" t="s">
        <v>208</v>
      </c>
      <c r="C34" s="287">
        <v>2301.6909999999998</v>
      </c>
      <c r="D34" s="287">
        <v>3446.3760000000002</v>
      </c>
      <c r="E34" s="287">
        <v>4645.9620000000004</v>
      </c>
      <c r="F34" s="284">
        <v>121.8960397534001</v>
      </c>
      <c r="G34" s="284">
        <v>110.66837885302138</v>
      </c>
      <c r="H34" s="284">
        <v>113.41600775316803</v>
      </c>
    </row>
    <row r="35" spans="1:8" ht="15.95" customHeight="1">
      <c r="A35" s="291"/>
      <c r="B35" s="308" t="s">
        <v>215</v>
      </c>
      <c r="C35" s="287">
        <v>1845.1869999999999</v>
      </c>
      <c r="D35" s="287">
        <v>4074.5610000000001</v>
      </c>
      <c r="E35" s="287">
        <v>4640.2740000000013</v>
      </c>
      <c r="F35" s="284">
        <v>108.33095068535133</v>
      </c>
      <c r="G35" s="284">
        <v>139.70376867089172</v>
      </c>
      <c r="H35" s="284">
        <v>142.85647435646808</v>
      </c>
    </row>
    <row r="36" spans="1:8" ht="15.95" customHeight="1">
      <c r="A36" s="291"/>
      <c r="B36" s="308" t="s">
        <v>309</v>
      </c>
      <c r="C36" s="287">
        <v>2977.5050000000001</v>
      </c>
      <c r="D36" s="287">
        <v>3476.3870000000002</v>
      </c>
      <c r="E36" s="287">
        <v>4305.2970000000005</v>
      </c>
      <c r="F36" s="284">
        <v>128.23350301902718</v>
      </c>
      <c r="G36" s="284">
        <v>105.34582675752793</v>
      </c>
      <c r="H36" s="284">
        <v>98.713194326618407</v>
      </c>
    </row>
    <row r="37" spans="1:8" ht="15.95" customHeight="1">
      <c r="A37" s="291"/>
      <c r="B37" s="308" t="s">
        <v>222</v>
      </c>
      <c r="C37" s="287">
        <v>2765.1260000000002</v>
      </c>
      <c r="D37" s="287">
        <v>3231.0189999999998</v>
      </c>
      <c r="E37" s="287">
        <v>4162.6719999999987</v>
      </c>
      <c r="F37" s="284">
        <v>136.21464676693381</v>
      </c>
      <c r="G37" s="284">
        <v>124.54962334657588</v>
      </c>
      <c r="H37" s="284">
        <v>134.22401731926129</v>
      </c>
    </row>
    <row r="38" spans="1:8" ht="15.95" customHeight="1">
      <c r="A38" s="291"/>
      <c r="B38" s="308" t="s">
        <v>218</v>
      </c>
      <c r="C38" s="287">
        <v>2076.5309999999999</v>
      </c>
      <c r="D38" s="287">
        <v>3207.3319999999999</v>
      </c>
      <c r="E38" s="287">
        <v>4080.6329999999994</v>
      </c>
      <c r="F38" s="284">
        <v>123.77189594375182</v>
      </c>
      <c r="G38" s="284">
        <v>102.32467029471685</v>
      </c>
      <c r="H38" s="284">
        <v>101.71518035566373</v>
      </c>
    </row>
    <row r="39" spans="1:8" ht="15.95" customHeight="1">
      <c r="A39" s="291"/>
      <c r="B39" s="308" t="s">
        <v>202</v>
      </c>
      <c r="C39" s="287">
        <v>1710.8030000000001</v>
      </c>
      <c r="D39" s="287">
        <v>3617.6379999999999</v>
      </c>
      <c r="E39" s="287">
        <v>4046.5990000000011</v>
      </c>
      <c r="F39" s="284">
        <v>114.87959420204217</v>
      </c>
      <c r="G39" s="284">
        <v>181.54453756210168</v>
      </c>
      <c r="H39" s="284">
        <v>141.62386964413088</v>
      </c>
    </row>
    <row r="40" spans="1:8" ht="15.95" customHeight="1">
      <c r="A40" s="291"/>
      <c r="B40" s="308" t="s">
        <v>216</v>
      </c>
      <c r="C40" s="287">
        <v>1507.596</v>
      </c>
      <c r="D40" s="287">
        <v>2454.4140000000002</v>
      </c>
      <c r="E40" s="287">
        <v>3952.9370000000004</v>
      </c>
      <c r="F40" s="284">
        <v>126.76714337607126</v>
      </c>
      <c r="G40" s="284">
        <v>116.56917004307203</v>
      </c>
      <c r="H40" s="284">
        <v>142.23495588595117</v>
      </c>
    </row>
    <row r="41" spans="1:8" ht="15.95" customHeight="1">
      <c r="A41" s="291"/>
      <c r="B41" s="308" t="s">
        <v>195</v>
      </c>
      <c r="C41" s="287">
        <v>2079.136</v>
      </c>
      <c r="D41" s="287">
        <v>3168.2660000000001</v>
      </c>
      <c r="E41" s="287">
        <v>3914.1509999999994</v>
      </c>
      <c r="F41" s="284">
        <v>84.246320289311853</v>
      </c>
      <c r="G41" s="284">
        <v>110.1037035595471</v>
      </c>
      <c r="H41" s="284">
        <v>101.20856045556057</v>
      </c>
    </row>
    <row r="42" spans="1:8" ht="15.95" customHeight="1">
      <c r="A42" s="291"/>
      <c r="B42" s="308" t="s">
        <v>201</v>
      </c>
      <c r="C42" s="287">
        <v>1766.827</v>
      </c>
      <c r="D42" s="287">
        <v>2483.6080000000002</v>
      </c>
      <c r="E42" s="287">
        <v>3392.7419999999993</v>
      </c>
      <c r="F42" s="284">
        <v>106.41318134894775</v>
      </c>
      <c r="G42" s="284">
        <v>113.60720467528095</v>
      </c>
      <c r="H42" s="284">
        <v>124.48766476698157</v>
      </c>
    </row>
    <row r="43" spans="1:8" ht="15.95" customHeight="1">
      <c r="A43" s="291"/>
      <c r="C43" s="315"/>
      <c r="D43" s="315"/>
      <c r="E43" s="315"/>
      <c r="F43" s="315"/>
      <c r="G43" s="315"/>
      <c r="H43" s="315"/>
    </row>
    <row r="44" spans="1:8" ht="15.6" customHeight="1">
      <c r="A44" s="291"/>
      <c r="C44" s="315"/>
      <c r="D44" s="315"/>
      <c r="E44" s="315"/>
      <c r="F44" s="315"/>
      <c r="G44" s="315"/>
      <c r="H44" s="315"/>
    </row>
    <row r="45" spans="1:8" ht="15.6" customHeight="1">
      <c r="A45" s="291"/>
      <c r="C45" s="315"/>
      <c r="D45" s="315"/>
      <c r="E45" s="315"/>
      <c r="F45" s="315"/>
      <c r="G45" s="315"/>
      <c r="H45" s="315"/>
    </row>
    <row r="46" spans="1:8" ht="15.95" customHeight="1">
      <c r="A46" s="291"/>
      <c r="C46" s="315"/>
      <c r="D46" s="315"/>
      <c r="E46" s="315"/>
      <c r="F46" s="315"/>
      <c r="G46" s="315"/>
      <c r="H46" s="315"/>
    </row>
    <row r="47" spans="1:8" ht="15.95" customHeight="1">
      <c r="A47" s="291"/>
      <c r="C47" s="315"/>
      <c r="D47" s="315"/>
      <c r="E47" s="315"/>
      <c r="F47" s="315"/>
      <c r="G47" s="315"/>
      <c r="H47" s="315"/>
    </row>
    <row r="48" spans="1:8" ht="15.95" customHeight="1">
      <c r="A48" s="291"/>
      <c r="C48" s="315"/>
      <c r="D48" s="315"/>
      <c r="E48" s="315"/>
      <c r="F48" s="315"/>
      <c r="G48" s="315"/>
      <c r="H48" s="315"/>
    </row>
    <row r="49" spans="1:8" ht="15.95" customHeight="1">
      <c r="A49" s="291"/>
      <c r="C49" s="315"/>
      <c r="D49" s="315"/>
      <c r="E49" s="315"/>
      <c r="F49" s="315"/>
      <c r="G49" s="315"/>
      <c r="H49" s="315"/>
    </row>
    <row r="50" spans="1:8" ht="15.95" customHeight="1">
      <c r="A50" s="291"/>
      <c r="C50" s="315"/>
      <c r="D50" s="315"/>
      <c r="E50" s="315"/>
      <c r="F50" s="315"/>
      <c r="G50" s="315"/>
      <c r="H50" s="315"/>
    </row>
    <row r="51" spans="1:8" ht="15.95" customHeight="1">
      <c r="A51" s="291"/>
      <c r="C51" s="315"/>
      <c r="D51" s="315"/>
      <c r="E51" s="315"/>
      <c r="F51" s="315"/>
      <c r="G51" s="315"/>
      <c r="H51" s="315"/>
    </row>
    <row r="52" spans="1:8" ht="15.95" customHeight="1">
      <c r="A52" s="291"/>
      <c r="C52" s="315"/>
      <c r="D52" s="315"/>
      <c r="E52" s="315"/>
      <c r="F52" s="315"/>
      <c r="G52" s="315"/>
      <c r="H52" s="315"/>
    </row>
    <row r="53" spans="1:8" ht="15.95" customHeight="1">
      <c r="A53" s="291"/>
      <c r="C53" s="315"/>
      <c r="D53" s="315"/>
      <c r="E53" s="315"/>
      <c r="F53" s="315"/>
      <c r="G53" s="315"/>
      <c r="H53" s="315"/>
    </row>
    <row r="54" spans="1:8" ht="15.95" customHeight="1">
      <c r="A54" s="291"/>
      <c r="C54" s="315"/>
      <c r="D54" s="315"/>
      <c r="E54" s="315"/>
      <c r="F54" s="315"/>
      <c r="G54" s="315"/>
      <c r="H54" s="315"/>
    </row>
    <row r="55" spans="1:8" ht="15.95" customHeight="1">
      <c r="A55" s="291"/>
      <c r="C55" s="315"/>
      <c r="D55" s="315"/>
      <c r="E55" s="315"/>
      <c r="F55" s="315"/>
      <c r="G55" s="315"/>
      <c r="H55" s="315"/>
    </row>
    <row r="56" spans="1:8" ht="15.95" customHeight="1">
      <c r="A56" s="291"/>
      <c r="C56" s="315"/>
      <c r="D56" s="315"/>
      <c r="E56" s="315"/>
      <c r="F56" s="315"/>
      <c r="G56" s="315"/>
      <c r="H56" s="315"/>
    </row>
    <row r="57" spans="1:8" ht="15.95" customHeight="1">
      <c r="C57" s="315"/>
      <c r="D57" s="315"/>
      <c r="E57" s="315"/>
      <c r="F57" s="315"/>
      <c r="G57" s="315"/>
      <c r="H57" s="315"/>
    </row>
    <row r="58" spans="1:8" ht="15.95" customHeight="1">
      <c r="A58" s="291"/>
      <c r="C58" s="315"/>
      <c r="D58" s="315"/>
      <c r="E58" s="315"/>
      <c r="F58" s="315"/>
      <c r="G58" s="315"/>
      <c r="H58" s="315"/>
    </row>
    <row r="59" spans="1:8" ht="15.95" customHeight="1">
      <c r="A59" s="291"/>
      <c r="C59" s="315"/>
      <c r="D59" s="315"/>
      <c r="E59" s="315"/>
      <c r="F59" s="315"/>
      <c r="G59" s="315"/>
      <c r="H59" s="315"/>
    </row>
    <row r="60" spans="1:8" ht="15.95" customHeight="1">
      <c r="A60" s="291"/>
      <c r="C60" s="315"/>
      <c r="D60" s="315"/>
      <c r="E60" s="315"/>
      <c r="F60" s="315"/>
      <c r="G60" s="315"/>
      <c r="H60" s="315"/>
    </row>
    <row r="61" spans="1:8" ht="15.95" customHeight="1">
      <c r="A61" s="291"/>
      <c r="C61" s="315"/>
      <c r="D61" s="315"/>
      <c r="E61" s="315"/>
      <c r="F61" s="315"/>
      <c r="G61" s="315"/>
      <c r="H61" s="315"/>
    </row>
    <row r="62" spans="1:8" ht="15.95" customHeight="1">
      <c r="A62" s="291"/>
      <c r="C62" s="315"/>
      <c r="D62" s="315"/>
      <c r="E62" s="315"/>
      <c r="F62" s="315"/>
      <c r="G62" s="315"/>
      <c r="H62" s="315"/>
    </row>
    <row r="63" spans="1:8" ht="15.95" customHeight="1">
      <c r="A63" s="291"/>
      <c r="C63" s="315"/>
      <c r="D63" s="315"/>
      <c r="E63" s="315"/>
      <c r="F63" s="315"/>
      <c r="G63" s="315"/>
      <c r="H63" s="315"/>
    </row>
    <row r="64" spans="1:8" ht="15.95" customHeight="1">
      <c r="A64" s="291"/>
      <c r="C64" s="315"/>
      <c r="D64" s="315"/>
      <c r="E64" s="315"/>
      <c r="F64" s="315"/>
      <c r="G64" s="315"/>
      <c r="H64" s="315"/>
    </row>
    <row r="65" spans="1:8" ht="15.95" customHeight="1">
      <c r="A65" s="291"/>
      <c r="C65" s="315"/>
      <c r="D65" s="315"/>
      <c r="E65" s="315"/>
      <c r="F65" s="315"/>
      <c r="G65" s="315"/>
      <c r="H65" s="315"/>
    </row>
    <row r="66" spans="1:8" ht="15.95" customHeight="1">
      <c r="A66" s="311"/>
      <c r="B66" s="311"/>
      <c r="C66" s="311"/>
      <c r="D66" s="311"/>
      <c r="E66" s="311"/>
      <c r="F66" s="311"/>
      <c r="G66" s="315"/>
      <c r="H66" s="315"/>
    </row>
    <row r="67" spans="1:8">
      <c r="A67" s="311"/>
      <c r="B67" s="311"/>
      <c r="C67" s="311"/>
      <c r="D67" s="311"/>
      <c r="E67" s="311"/>
      <c r="F67" s="311"/>
      <c r="G67" s="315"/>
      <c r="H67" s="315"/>
    </row>
    <row r="68" spans="1:8">
      <c r="A68" s="311"/>
      <c r="B68" s="311"/>
      <c r="C68" s="311"/>
      <c r="D68" s="311"/>
      <c r="E68" s="311"/>
      <c r="F68" s="311"/>
      <c r="G68" s="315"/>
      <c r="H68" s="315"/>
    </row>
    <row r="69" spans="1:8">
      <c r="A69" s="311"/>
      <c r="B69" s="311"/>
      <c r="C69" s="311"/>
      <c r="D69" s="311"/>
      <c r="E69" s="311"/>
      <c r="F69" s="311"/>
    </row>
    <row r="70" spans="1:8">
      <c r="A70" s="311"/>
      <c r="B70" s="311"/>
      <c r="C70" s="311"/>
      <c r="D70" s="311"/>
      <c r="E70" s="311"/>
      <c r="F70" s="311"/>
    </row>
    <row r="71" spans="1:8">
      <c r="A71" s="311"/>
      <c r="B71" s="311"/>
      <c r="C71" s="311"/>
      <c r="D71" s="311"/>
      <c r="E71" s="311"/>
      <c r="F71" s="311"/>
    </row>
    <row r="72" spans="1:8">
      <c r="A72" s="311"/>
      <c r="B72" s="311"/>
      <c r="C72" s="311"/>
      <c r="D72" s="311"/>
      <c r="E72" s="311"/>
      <c r="F72" s="311"/>
    </row>
  </sheetData>
  <mergeCells count="1">
    <mergeCell ref="F4:H4"/>
  </mergeCells>
  <pageMargins left="0.86614173228346503" right="0.17" top="0.74803149606299202" bottom="0.511811023622047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67"/>
  <sheetViews>
    <sheetView topLeftCell="A10" workbookViewId="0">
      <selection activeCell="D13" sqref="D13"/>
    </sheetView>
  </sheetViews>
  <sheetFormatPr defaultRowHeight="15"/>
  <cols>
    <col min="1" max="1" width="4.28515625" style="324" customWidth="1"/>
    <col min="2" max="2" width="46.42578125" style="324" customWidth="1"/>
    <col min="3" max="3" width="13.28515625" style="324" customWidth="1"/>
    <col min="4" max="4" width="12.85546875" style="324" customWidth="1"/>
    <col min="5" max="5" width="12.140625" style="324" customWidth="1"/>
    <col min="6" max="132" width="9.140625" style="324"/>
    <col min="133" max="133" width="4.28515625" style="324" customWidth="1"/>
    <col min="134" max="134" width="45.42578125" style="324" customWidth="1"/>
    <col min="135" max="136" width="20.7109375" style="324" customWidth="1"/>
    <col min="137" max="137" width="21.42578125" style="324" bestFit="1" customWidth="1"/>
    <col min="138" max="388" width="9.140625" style="324"/>
    <col min="389" max="389" width="4.28515625" style="324" customWidth="1"/>
    <col min="390" max="390" width="45.42578125" style="324" customWidth="1"/>
    <col min="391" max="392" width="20.7109375" style="324" customWidth="1"/>
    <col min="393" max="393" width="21.42578125" style="324" bestFit="1" customWidth="1"/>
    <col min="394" max="644" width="9.140625" style="324"/>
    <col min="645" max="645" width="4.28515625" style="324" customWidth="1"/>
    <col min="646" max="646" width="45.42578125" style="324" customWidth="1"/>
    <col min="647" max="648" width="20.7109375" style="324" customWidth="1"/>
    <col min="649" max="649" width="21.42578125" style="324" bestFit="1" customWidth="1"/>
    <col min="650" max="900" width="9.140625" style="324"/>
    <col min="901" max="901" width="4.28515625" style="324" customWidth="1"/>
    <col min="902" max="902" width="45.42578125" style="324" customWidth="1"/>
    <col min="903" max="904" width="20.7109375" style="324" customWidth="1"/>
    <col min="905" max="905" width="21.42578125" style="324" bestFit="1" customWidth="1"/>
    <col min="906" max="1156" width="9.140625" style="324"/>
    <col min="1157" max="1157" width="4.28515625" style="324" customWidth="1"/>
    <col min="1158" max="1158" width="45.42578125" style="324" customWidth="1"/>
    <col min="1159" max="1160" width="20.7109375" style="324" customWidth="1"/>
    <col min="1161" max="1161" width="21.42578125" style="324" bestFit="1" customWidth="1"/>
    <col min="1162" max="1412" width="9.140625" style="324"/>
    <col min="1413" max="1413" width="4.28515625" style="324" customWidth="1"/>
    <col min="1414" max="1414" width="45.42578125" style="324" customWidth="1"/>
    <col min="1415" max="1416" width="20.7109375" style="324" customWidth="1"/>
    <col min="1417" max="1417" width="21.42578125" style="324" bestFit="1" customWidth="1"/>
    <col min="1418" max="1668" width="9.140625" style="324"/>
    <col min="1669" max="1669" width="4.28515625" style="324" customWidth="1"/>
    <col min="1670" max="1670" width="45.42578125" style="324" customWidth="1"/>
    <col min="1671" max="1672" width="20.7109375" style="324" customWidth="1"/>
    <col min="1673" max="1673" width="21.42578125" style="324" bestFit="1" customWidth="1"/>
    <col min="1674" max="1924" width="9.140625" style="324"/>
    <col min="1925" max="1925" width="4.28515625" style="324" customWidth="1"/>
    <col min="1926" max="1926" width="45.42578125" style="324" customWidth="1"/>
    <col min="1927" max="1928" width="20.7109375" style="324" customWidth="1"/>
    <col min="1929" max="1929" width="21.42578125" style="324" bestFit="1" customWidth="1"/>
    <col min="1930" max="2180" width="9.140625" style="324"/>
    <col min="2181" max="2181" width="4.28515625" style="324" customWidth="1"/>
    <col min="2182" max="2182" width="45.42578125" style="324" customWidth="1"/>
    <col min="2183" max="2184" width="20.7109375" style="324" customWidth="1"/>
    <col min="2185" max="2185" width="21.42578125" style="324" bestFit="1" customWidth="1"/>
    <col min="2186" max="2436" width="9.140625" style="324"/>
    <col min="2437" max="2437" width="4.28515625" style="324" customWidth="1"/>
    <col min="2438" max="2438" width="45.42578125" style="324" customWidth="1"/>
    <col min="2439" max="2440" width="20.7109375" style="324" customWidth="1"/>
    <col min="2441" max="2441" width="21.42578125" style="324" bestFit="1" customWidth="1"/>
    <col min="2442" max="2692" width="9.140625" style="324"/>
    <col min="2693" max="2693" width="4.28515625" style="324" customWidth="1"/>
    <col min="2694" max="2694" width="45.42578125" style="324" customWidth="1"/>
    <col min="2695" max="2696" width="20.7109375" style="324" customWidth="1"/>
    <col min="2697" max="2697" width="21.42578125" style="324" bestFit="1" customWidth="1"/>
    <col min="2698" max="2948" width="9.140625" style="324"/>
    <col min="2949" max="2949" width="4.28515625" style="324" customWidth="1"/>
    <col min="2950" max="2950" width="45.42578125" style="324" customWidth="1"/>
    <col min="2951" max="2952" width="20.7109375" style="324" customWidth="1"/>
    <col min="2953" max="2953" width="21.42578125" style="324" bestFit="1" customWidth="1"/>
    <col min="2954" max="3204" width="9.140625" style="324"/>
    <col min="3205" max="3205" width="4.28515625" style="324" customWidth="1"/>
    <col min="3206" max="3206" width="45.42578125" style="324" customWidth="1"/>
    <col min="3207" max="3208" width="20.7109375" style="324" customWidth="1"/>
    <col min="3209" max="3209" width="21.42578125" style="324" bestFit="1" customWidth="1"/>
    <col min="3210" max="3460" width="9.140625" style="324"/>
    <col min="3461" max="3461" width="4.28515625" style="324" customWidth="1"/>
    <col min="3462" max="3462" width="45.42578125" style="324" customWidth="1"/>
    <col min="3463" max="3464" width="20.7109375" style="324" customWidth="1"/>
    <col min="3465" max="3465" width="21.42578125" style="324" bestFit="1" customWidth="1"/>
    <col min="3466" max="3716" width="9.140625" style="324"/>
    <col min="3717" max="3717" width="4.28515625" style="324" customWidth="1"/>
    <col min="3718" max="3718" width="45.42578125" style="324" customWidth="1"/>
    <col min="3719" max="3720" width="20.7109375" style="324" customWidth="1"/>
    <col min="3721" max="3721" width="21.42578125" style="324" bestFit="1" customWidth="1"/>
    <col min="3722" max="3972" width="9.140625" style="324"/>
    <col min="3973" max="3973" width="4.28515625" style="324" customWidth="1"/>
    <col min="3974" max="3974" width="45.42578125" style="324" customWidth="1"/>
    <col min="3975" max="3976" width="20.7109375" style="324" customWidth="1"/>
    <col min="3977" max="3977" width="21.42578125" style="324" bestFit="1" customWidth="1"/>
    <col min="3978" max="4228" width="9.140625" style="324"/>
    <col min="4229" max="4229" width="4.28515625" style="324" customWidth="1"/>
    <col min="4230" max="4230" width="45.42578125" style="324" customWidth="1"/>
    <col min="4231" max="4232" width="20.7109375" style="324" customWidth="1"/>
    <col min="4233" max="4233" width="21.42578125" style="324" bestFit="1" customWidth="1"/>
    <col min="4234" max="4484" width="9.140625" style="324"/>
    <col min="4485" max="4485" width="4.28515625" style="324" customWidth="1"/>
    <col min="4486" max="4486" width="45.42578125" style="324" customWidth="1"/>
    <col min="4487" max="4488" width="20.7109375" style="324" customWidth="1"/>
    <col min="4489" max="4489" width="21.42578125" style="324" bestFit="1" customWidth="1"/>
    <col min="4490" max="4740" width="9.140625" style="324"/>
    <col min="4741" max="4741" width="4.28515625" style="324" customWidth="1"/>
    <col min="4742" max="4742" width="45.42578125" style="324" customWidth="1"/>
    <col min="4743" max="4744" width="20.7109375" style="324" customWidth="1"/>
    <col min="4745" max="4745" width="21.42578125" style="324" bestFit="1" customWidth="1"/>
    <col min="4746" max="4996" width="9.140625" style="324"/>
    <col min="4997" max="4997" width="4.28515625" style="324" customWidth="1"/>
    <col min="4998" max="4998" width="45.42578125" style="324" customWidth="1"/>
    <col min="4999" max="5000" width="20.7109375" style="324" customWidth="1"/>
    <col min="5001" max="5001" width="21.42578125" style="324" bestFit="1" customWidth="1"/>
    <col min="5002" max="5252" width="9.140625" style="324"/>
    <col min="5253" max="5253" width="4.28515625" style="324" customWidth="1"/>
    <col min="5254" max="5254" width="45.42578125" style="324" customWidth="1"/>
    <col min="5255" max="5256" width="20.7109375" style="324" customWidth="1"/>
    <col min="5257" max="5257" width="21.42578125" style="324" bestFit="1" customWidth="1"/>
    <col min="5258" max="5508" width="9.140625" style="324"/>
    <col min="5509" max="5509" width="4.28515625" style="324" customWidth="1"/>
    <col min="5510" max="5510" width="45.42578125" style="324" customWidth="1"/>
    <col min="5511" max="5512" width="20.7109375" style="324" customWidth="1"/>
    <col min="5513" max="5513" width="21.42578125" style="324" bestFit="1" customWidth="1"/>
    <col min="5514" max="5764" width="9.140625" style="324"/>
    <col min="5765" max="5765" width="4.28515625" style="324" customWidth="1"/>
    <col min="5766" max="5766" width="45.42578125" style="324" customWidth="1"/>
    <col min="5767" max="5768" width="20.7109375" style="324" customWidth="1"/>
    <col min="5769" max="5769" width="21.42578125" style="324" bestFit="1" customWidth="1"/>
    <col min="5770" max="6020" width="9.140625" style="324"/>
    <col min="6021" max="6021" width="4.28515625" style="324" customWidth="1"/>
    <col min="6022" max="6022" width="45.42578125" style="324" customWidth="1"/>
    <col min="6023" max="6024" width="20.7109375" style="324" customWidth="1"/>
    <col min="6025" max="6025" width="21.42578125" style="324" bestFit="1" customWidth="1"/>
    <col min="6026" max="6276" width="9.140625" style="324"/>
    <col min="6277" max="6277" width="4.28515625" style="324" customWidth="1"/>
    <col min="6278" max="6278" width="45.42578125" style="324" customWidth="1"/>
    <col min="6279" max="6280" width="20.7109375" style="324" customWidth="1"/>
    <col min="6281" max="6281" width="21.42578125" style="324" bestFit="1" customWidth="1"/>
    <col min="6282" max="6532" width="9.140625" style="324"/>
    <col min="6533" max="6533" width="4.28515625" style="324" customWidth="1"/>
    <col min="6534" max="6534" width="45.42578125" style="324" customWidth="1"/>
    <col min="6535" max="6536" width="20.7109375" style="324" customWidth="1"/>
    <col min="6537" max="6537" width="21.42578125" style="324" bestFit="1" customWidth="1"/>
    <col min="6538" max="6788" width="9.140625" style="324"/>
    <col min="6789" max="6789" width="4.28515625" style="324" customWidth="1"/>
    <col min="6790" max="6790" width="45.42578125" style="324" customWidth="1"/>
    <col min="6791" max="6792" width="20.7109375" style="324" customWidth="1"/>
    <col min="6793" max="6793" width="21.42578125" style="324" bestFit="1" customWidth="1"/>
    <col min="6794" max="7044" width="9.140625" style="324"/>
    <col min="7045" max="7045" width="4.28515625" style="324" customWidth="1"/>
    <col min="7046" max="7046" width="45.42578125" style="324" customWidth="1"/>
    <col min="7047" max="7048" width="20.7109375" style="324" customWidth="1"/>
    <col min="7049" max="7049" width="21.42578125" style="324" bestFit="1" customWidth="1"/>
    <col min="7050" max="7300" width="9.140625" style="324"/>
    <col min="7301" max="7301" width="4.28515625" style="324" customWidth="1"/>
    <col min="7302" max="7302" width="45.42578125" style="324" customWidth="1"/>
    <col min="7303" max="7304" width="20.7109375" style="324" customWidth="1"/>
    <col min="7305" max="7305" width="21.42578125" style="324" bestFit="1" customWidth="1"/>
    <col min="7306" max="7556" width="9.140625" style="324"/>
    <col min="7557" max="7557" width="4.28515625" style="324" customWidth="1"/>
    <col min="7558" max="7558" width="45.42578125" style="324" customWidth="1"/>
    <col min="7559" max="7560" width="20.7109375" style="324" customWidth="1"/>
    <col min="7561" max="7561" width="21.42578125" style="324" bestFit="1" customWidth="1"/>
    <col min="7562" max="7812" width="9.140625" style="324"/>
    <col min="7813" max="7813" width="4.28515625" style="324" customWidth="1"/>
    <col min="7814" max="7814" width="45.42578125" style="324" customWidth="1"/>
    <col min="7815" max="7816" width="20.7109375" style="324" customWidth="1"/>
    <col min="7817" max="7817" width="21.42578125" style="324" bestFit="1" customWidth="1"/>
    <col min="7818" max="8068" width="9.140625" style="324"/>
    <col min="8069" max="8069" width="4.28515625" style="324" customWidth="1"/>
    <col min="8070" max="8070" width="45.42578125" style="324" customWidth="1"/>
    <col min="8071" max="8072" width="20.7109375" style="324" customWidth="1"/>
    <col min="8073" max="8073" width="21.42578125" style="324" bestFit="1" customWidth="1"/>
    <col min="8074" max="8324" width="9.140625" style="324"/>
    <col min="8325" max="8325" width="4.28515625" style="324" customWidth="1"/>
    <col min="8326" max="8326" width="45.42578125" style="324" customWidth="1"/>
    <col min="8327" max="8328" width="20.7109375" style="324" customWidth="1"/>
    <col min="8329" max="8329" width="21.42578125" style="324" bestFit="1" customWidth="1"/>
    <col min="8330" max="8580" width="9.140625" style="324"/>
    <col min="8581" max="8581" width="4.28515625" style="324" customWidth="1"/>
    <col min="8582" max="8582" width="45.42578125" style="324" customWidth="1"/>
    <col min="8583" max="8584" width="20.7109375" style="324" customWidth="1"/>
    <col min="8585" max="8585" width="21.42578125" style="324" bestFit="1" customWidth="1"/>
    <col min="8586" max="8836" width="9.140625" style="324"/>
    <col min="8837" max="8837" width="4.28515625" style="324" customWidth="1"/>
    <col min="8838" max="8838" width="45.42578125" style="324" customWidth="1"/>
    <col min="8839" max="8840" width="20.7109375" style="324" customWidth="1"/>
    <col min="8841" max="8841" width="21.42578125" style="324" bestFit="1" customWidth="1"/>
    <col min="8842" max="9092" width="9.140625" style="324"/>
    <col min="9093" max="9093" width="4.28515625" style="324" customWidth="1"/>
    <col min="9094" max="9094" width="45.42578125" style="324" customWidth="1"/>
    <col min="9095" max="9096" width="20.7109375" style="324" customWidth="1"/>
    <col min="9097" max="9097" width="21.42578125" style="324" bestFit="1" customWidth="1"/>
    <col min="9098" max="9348" width="9.140625" style="324"/>
    <col min="9349" max="9349" width="4.28515625" style="324" customWidth="1"/>
    <col min="9350" max="9350" width="45.42578125" style="324" customWidth="1"/>
    <col min="9351" max="9352" width="20.7109375" style="324" customWidth="1"/>
    <col min="9353" max="9353" width="21.42578125" style="324" bestFit="1" customWidth="1"/>
    <col min="9354" max="9604" width="9.140625" style="324"/>
    <col min="9605" max="9605" width="4.28515625" style="324" customWidth="1"/>
    <col min="9606" max="9606" width="45.42578125" style="324" customWidth="1"/>
    <col min="9607" max="9608" width="20.7109375" style="324" customWidth="1"/>
    <col min="9609" max="9609" width="21.42578125" style="324" bestFit="1" customWidth="1"/>
    <col min="9610" max="9860" width="9.140625" style="324"/>
    <col min="9861" max="9861" width="4.28515625" style="324" customWidth="1"/>
    <col min="9862" max="9862" width="45.42578125" style="324" customWidth="1"/>
    <col min="9863" max="9864" width="20.7109375" style="324" customWidth="1"/>
    <col min="9865" max="9865" width="21.42578125" style="324" bestFit="1" customWidth="1"/>
    <col min="9866" max="10116" width="9.140625" style="324"/>
    <col min="10117" max="10117" width="4.28515625" style="324" customWidth="1"/>
    <col min="10118" max="10118" width="45.42578125" style="324" customWidth="1"/>
    <col min="10119" max="10120" width="20.7109375" style="324" customWidth="1"/>
    <col min="10121" max="10121" width="21.42578125" style="324" bestFit="1" customWidth="1"/>
    <col min="10122" max="10372" width="9.140625" style="324"/>
    <col min="10373" max="10373" width="4.28515625" style="324" customWidth="1"/>
    <col min="10374" max="10374" width="45.42578125" style="324" customWidth="1"/>
    <col min="10375" max="10376" width="20.7109375" style="324" customWidth="1"/>
    <col min="10377" max="10377" width="21.42578125" style="324" bestFit="1" customWidth="1"/>
    <col min="10378" max="10628" width="9.140625" style="324"/>
    <col min="10629" max="10629" width="4.28515625" style="324" customWidth="1"/>
    <col min="10630" max="10630" width="45.42578125" style="324" customWidth="1"/>
    <col min="10631" max="10632" width="20.7109375" style="324" customWidth="1"/>
    <col min="10633" max="10633" width="21.42578125" style="324" bestFit="1" customWidth="1"/>
    <col min="10634" max="10884" width="9.140625" style="324"/>
    <col min="10885" max="10885" width="4.28515625" style="324" customWidth="1"/>
    <col min="10886" max="10886" width="45.42578125" style="324" customWidth="1"/>
    <col min="10887" max="10888" width="20.7109375" style="324" customWidth="1"/>
    <col min="10889" max="10889" width="21.42578125" style="324" bestFit="1" customWidth="1"/>
    <col min="10890" max="11140" width="9.140625" style="324"/>
    <col min="11141" max="11141" width="4.28515625" style="324" customWidth="1"/>
    <col min="11142" max="11142" width="45.42578125" style="324" customWidth="1"/>
    <col min="11143" max="11144" width="20.7109375" style="324" customWidth="1"/>
    <col min="11145" max="11145" width="21.42578125" style="324" bestFit="1" customWidth="1"/>
    <col min="11146" max="11396" width="9.140625" style="324"/>
    <col min="11397" max="11397" width="4.28515625" style="324" customWidth="1"/>
    <col min="11398" max="11398" width="45.42578125" style="324" customWidth="1"/>
    <col min="11399" max="11400" width="20.7109375" style="324" customWidth="1"/>
    <col min="11401" max="11401" width="21.42578125" style="324" bestFit="1" customWidth="1"/>
    <col min="11402" max="11652" width="9.140625" style="324"/>
    <col min="11653" max="11653" width="4.28515625" style="324" customWidth="1"/>
    <col min="11654" max="11654" width="45.42578125" style="324" customWidth="1"/>
    <col min="11655" max="11656" width="20.7109375" style="324" customWidth="1"/>
    <col min="11657" max="11657" width="21.42578125" style="324" bestFit="1" customWidth="1"/>
    <col min="11658" max="11908" width="9.140625" style="324"/>
    <col min="11909" max="11909" width="4.28515625" style="324" customWidth="1"/>
    <col min="11910" max="11910" width="45.42578125" style="324" customWidth="1"/>
    <col min="11911" max="11912" width="20.7109375" style="324" customWidth="1"/>
    <col min="11913" max="11913" width="21.42578125" style="324" bestFit="1" customWidth="1"/>
    <col min="11914" max="12164" width="9.140625" style="324"/>
    <col min="12165" max="12165" width="4.28515625" style="324" customWidth="1"/>
    <col min="12166" max="12166" width="45.42578125" style="324" customWidth="1"/>
    <col min="12167" max="12168" width="20.7109375" style="324" customWidth="1"/>
    <col min="12169" max="12169" width="21.42578125" style="324" bestFit="1" customWidth="1"/>
    <col min="12170" max="12420" width="9.140625" style="324"/>
    <col min="12421" max="12421" width="4.28515625" style="324" customWidth="1"/>
    <col min="12422" max="12422" width="45.42578125" style="324" customWidth="1"/>
    <col min="12423" max="12424" width="20.7109375" style="324" customWidth="1"/>
    <col min="12425" max="12425" width="21.42578125" style="324" bestFit="1" customWidth="1"/>
    <col min="12426" max="12676" width="9.140625" style="324"/>
    <col min="12677" max="12677" width="4.28515625" style="324" customWidth="1"/>
    <col min="12678" max="12678" width="45.42578125" style="324" customWidth="1"/>
    <col min="12679" max="12680" width="20.7109375" style="324" customWidth="1"/>
    <col min="12681" max="12681" width="21.42578125" style="324" bestFit="1" customWidth="1"/>
    <col min="12682" max="12932" width="9.140625" style="324"/>
    <col min="12933" max="12933" width="4.28515625" style="324" customWidth="1"/>
    <col min="12934" max="12934" width="45.42578125" style="324" customWidth="1"/>
    <col min="12935" max="12936" width="20.7109375" style="324" customWidth="1"/>
    <col min="12937" max="12937" width="21.42578125" style="324" bestFit="1" customWidth="1"/>
    <col min="12938" max="13188" width="9.140625" style="324"/>
    <col min="13189" max="13189" width="4.28515625" style="324" customWidth="1"/>
    <col min="13190" max="13190" width="45.42578125" style="324" customWidth="1"/>
    <col min="13191" max="13192" width="20.7109375" style="324" customWidth="1"/>
    <col min="13193" max="13193" width="21.42578125" style="324" bestFit="1" customWidth="1"/>
    <col min="13194" max="13444" width="9.140625" style="324"/>
    <col min="13445" max="13445" width="4.28515625" style="324" customWidth="1"/>
    <col min="13446" max="13446" width="45.42578125" style="324" customWidth="1"/>
    <col min="13447" max="13448" width="20.7109375" style="324" customWidth="1"/>
    <col min="13449" max="13449" width="21.42578125" style="324" bestFit="1" customWidth="1"/>
    <col min="13450" max="13700" width="9.140625" style="324"/>
    <col min="13701" max="13701" width="4.28515625" style="324" customWidth="1"/>
    <col min="13702" max="13702" width="45.42578125" style="324" customWidth="1"/>
    <col min="13703" max="13704" width="20.7109375" style="324" customWidth="1"/>
    <col min="13705" max="13705" width="21.42578125" style="324" bestFit="1" customWidth="1"/>
    <col min="13706" max="13956" width="9.140625" style="324"/>
    <col min="13957" max="13957" width="4.28515625" style="324" customWidth="1"/>
    <col min="13958" max="13958" width="45.42578125" style="324" customWidth="1"/>
    <col min="13959" max="13960" width="20.7109375" style="324" customWidth="1"/>
    <col min="13961" max="13961" width="21.42578125" style="324" bestFit="1" customWidth="1"/>
    <col min="13962" max="14212" width="9.140625" style="324"/>
    <col min="14213" max="14213" width="4.28515625" style="324" customWidth="1"/>
    <col min="14214" max="14214" width="45.42578125" style="324" customWidth="1"/>
    <col min="14215" max="14216" width="20.7109375" style="324" customWidth="1"/>
    <col min="14217" max="14217" width="21.42578125" style="324" bestFit="1" customWidth="1"/>
    <col min="14218" max="14468" width="9.140625" style="324"/>
    <col min="14469" max="14469" width="4.28515625" style="324" customWidth="1"/>
    <col min="14470" max="14470" width="45.42578125" style="324" customWidth="1"/>
    <col min="14471" max="14472" width="20.7109375" style="324" customWidth="1"/>
    <col min="14473" max="14473" width="21.42578125" style="324" bestFit="1" customWidth="1"/>
    <col min="14474" max="14724" width="9.140625" style="324"/>
    <col min="14725" max="14725" width="4.28515625" style="324" customWidth="1"/>
    <col min="14726" max="14726" width="45.42578125" style="324" customWidth="1"/>
    <col min="14727" max="14728" width="20.7109375" style="324" customWidth="1"/>
    <col min="14729" max="14729" width="21.42578125" style="324" bestFit="1" customWidth="1"/>
    <col min="14730" max="14980" width="9.140625" style="324"/>
    <col min="14981" max="14981" width="4.28515625" style="324" customWidth="1"/>
    <col min="14982" max="14982" width="45.42578125" style="324" customWidth="1"/>
    <col min="14983" max="14984" width="20.7109375" style="324" customWidth="1"/>
    <col min="14985" max="14985" width="21.42578125" style="324" bestFit="1" customWidth="1"/>
    <col min="14986" max="15236" width="9.140625" style="324"/>
    <col min="15237" max="15237" width="4.28515625" style="324" customWidth="1"/>
    <col min="15238" max="15238" width="45.42578125" style="324" customWidth="1"/>
    <col min="15239" max="15240" width="20.7109375" style="324" customWidth="1"/>
    <col min="15241" max="15241" width="21.42578125" style="324" bestFit="1" customWidth="1"/>
    <col min="15242" max="15492" width="9.140625" style="324"/>
    <col min="15493" max="15493" width="4.28515625" style="324" customWidth="1"/>
    <col min="15494" max="15494" width="45.42578125" style="324" customWidth="1"/>
    <col min="15495" max="15496" width="20.7109375" style="324" customWidth="1"/>
    <col min="15497" max="15497" width="21.42578125" style="324" bestFit="1" customWidth="1"/>
    <col min="15498" max="15748" width="9.140625" style="324"/>
    <col min="15749" max="15749" width="4.28515625" style="324" customWidth="1"/>
    <col min="15750" max="15750" width="45.42578125" style="324" customWidth="1"/>
    <col min="15751" max="15752" width="20.7109375" style="324" customWidth="1"/>
    <col min="15753" max="15753" width="21.42578125" style="324" bestFit="1" customWidth="1"/>
    <col min="15754" max="16004" width="9.140625" style="324"/>
    <col min="16005" max="16005" width="4.28515625" style="324" customWidth="1"/>
    <col min="16006" max="16006" width="45.42578125" style="324" customWidth="1"/>
    <col min="16007" max="16008" width="20.7109375" style="324" customWidth="1"/>
    <col min="16009" max="16009" width="21.42578125" style="324" bestFit="1" customWidth="1"/>
    <col min="16010" max="16384" width="9.140625" style="324"/>
  </cols>
  <sheetData>
    <row r="1" spans="1:6" ht="15.75">
      <c r="A1" s="321" t="s">
        <v>655</v>
      </c>
      <c r="B1" s="322"/>
      <c r="C1" s="323"/>
      <c r="D1" s="323"/>
      <c r="E1" s="323"/>
    </row>
    <row r="2" spans="1:6">
      <c r="A2" s="325"/>
      <c r="B2" s="325"/>
      <c r="C2" s="323"/>
      <c r="D2" s="323"/>
      <c r="E2" s="323"/>
    </row>
    <row r="3" spans="1:6">
      <c r="A3" s="326"/>
      <c r="B3" s="326"/>
      <c r="C3" s="327"/>
      <c r="D3" s="327"/>
      <c r="E3" s="328" t="s">
        <v>312</v>
      </c>
    </row>
    <row r="4" spans="1:6">
      <c r="A4" s="329"/>
      <c r="B4" s="330"/>
      <c r="C4" s="331" t="s">
        <v>313</v>
      </c>
      <c r="D4" s="331" t="s">
        <v>314</v>
      </c>
      <c r="E4" s="331" t="s">
        <v>314</v>
      </c>
    </row>
    <row r="5" spans="1:6">
      <c r="A5" s="326"/>
      <c r="B5" s="332"/>
      <c r="C5" s="333" t="s">
        <v>315</v>
      </c>
      <c r="D5" s="333" t="s">
        <v>316</v>
      </c>
      <c r="E5" s="333" t="s">
        <v>317</v>
      </c>
    </row>
    <row r="6" spans="1:6">
      <c r="A6" s="326"/>
      <c r="B6" s="326"/>
      <c r="C6" s="327"/>
      <c r="D6" s="327"/>
      <c r="E6" s="327"/>
    </row>
    <row r="7" spans="1:6">
      <c r="A7" s="334" t="s">
        <v>257</v>
      </c>
      <c r="B7" s="335"/>
      <c r="C7" s="336">
        <v>2926</v>
      </c>
      <c r="D7" s="337">
        <v>12387.929358130004</v>
      </c>
      <c r="E7" s="337">
        <v>11315.167810638583</v>
      </c>
    </row>
    <row r="8" spans="1:6" ht="15.75">
      <c r="A8" s="334" t="s">
        <v>318</v>
      </c>
      <c r="B8" s="326"/>
      <c r="C8" s="338"/>
      <c r="D8" s="339"/>
      <c r="E8" s="339"/>
    </row>
    <row r="9" spans="1:6" ht="18.75">
      <c r="A9" s="334"/>
      <c r="B9" s="335" t="s">
        <v>194</v>
      </c>
      <c r="C9" s="338">
        <v>272</v>
      </c>
      <c r="D9" s="340">
        <v>1521.198435</v>
      </c>
      <c r="E9" s="340">
        <v>3094.146660375</v>
      </c>
      <c r="F9" s="341"/>
    </row>
    <row r="10" spans="1:6" ht="18.75">
      <c r="A10" s="334"/>
      <c r="B10" s="335" t="s">
        <v>221</v>
      </c>
      <c r="C10" s="338">
        <v>1443</v>
      </c>
      <c r="D10" s="340">
        <v>1468.9580353700003</v>
      </c>
      <c r="E10" s="340">
        <v>787.117434810703</v>
      </c>
      <c r="F10" s="341"/>
    </row>
    <row r="11" spans="1:6">
      <c r="A11" s="334"/>
      <c r="B11" s="335" t="s">
        <v>196</v>
      </c>
      <c r="C11" s="338">
        <v>161</v>
      </c>
      <c r="D11" s="340">
        <v>1453.65283772</v>
      </c>
      <c r="E11" s="340">
        <v>507.766064921875</v>
      </c>
    </row>
    <row r="12" spans="1:6">
      <c r="A12" s="334"/>
      <c r="B12" s="335" t="s">
        <v>197</v>
      </c>
      <c r="C12" s="338">
        <v>118</v>
      </c>
      <c r="D12" s="340">
        <v>1313.9945769999999</v>
      </c>
      <c r="E12" s="340">
        <v>146.59892500000001</v>
      </c>
    </row>
    <row r="13" spans="1:6" ht="18.75">
      <c r="A13" s="334"/>
      <c r="B13" s="335" t="s">
        <v>215</v>
      </c>
      <c r="C13" s="338">
        <v>13</v>
      </c>
      <c r="D13" s="340">
        <v>1307.265799</v>
      </c>
      <c r="E13" s="340">
        <v>5.4</v>
      </c>
      <c r="F13" s="341"/>
    </row>
    <row r="14" spans="1:6" ht="18.75">
      <c r="A14" s="334"/>
      <c r="B14" s="335" t="s">
        <v>220</v>
      </c>
      <c r="C14" s="338">
        <v>143</v>
      </c>
      <c r="D14" s="340">
        <v>1088.82895435</v>
      </c>
      <c r="E14" s="340">
        <v>1093.6324018749999</v>
      </c>
      <c r="F14" s="341"/>
    </row>
    <row r="15" spans="1:6">
      <c r="A15" s="334"/>
      <c r="B15" s="335" t="s">
        <v>198</v>
      </c>
      <c r="C15" s="338">
        <v>77</v>
      </c>
      <c r="D15" s="340">
        <v>1081.2089743800002</v>
      </c>
      <c r="E15" s="340">
        <v>483.13423799999998</v>
      </c>
    </row>
    <row r="16" spans="1:6">
      <c r="A16" s="334"/>
      <c r="B16" s="335" t="s">
        <v>219</v>
      </c>
      <c r="C16" s="338">
        <v>156</v>
      </c>
      <c r="D16" s="340">
        <v>799.12754110000003</v>
      </c>
      <c r="E16" s="340">
        <v>448.52393123828125</v>
      </c>
    </row>
    <row r="17" spans="1:5">
      <c r="A17" s="334"/>
      <c r="B17" s="335" t="s">
        <v>208</v>
      </c>
      <c r="C17" s="338">
        <v>7</v>
      </c>
      <c r="D17" s="340">
        <v>341.32708300000002</v>
      </c>
      <c r="E17" s="340">
        <v>99.871115000000003</v>
      </c>
    </row>
    <row r="18" spans="1:5">
      <c r="A18" s="334"/>
      <c r="B18" s="335" t="s">
        <v>193</v>
      </c>
      <c r="C18" s="338">
        <v>301</v>
      </c>
      <c r="D18" s="340">
        <v>306.64727712000018</v>
      </c>
      <c r="E18" s="340">
        <v>3217.227742758545</v>
      </c>
    </row>
    <row r="19" spans="1:5">
      <c r="A19" s="334"/>
      <c r="B19" s="335" t="s">
        <v>225</v>
      </c>
      <c r="C19" s="338">
        <v>1</v>
      </c>
      <c r="D19" s="340">
        <v>216.12967800000001</v>
      </c>
      <c r="E19" s="340">
        <v>16.558827999999998</v>
      </c>
    </row>
    <row r="20" spans="1:5">
      <c r="A20" s="334"/>
      <c r="B20" s="335" t="s">
        <v>204</v>
      </c>
      <c r="C20" s="338">
        <v>35</v>
      </c>
      <c r="D20" s="340">
        <v>200.54237699999999</v>
      </c>
      <c r="E20" s="340">
        <v>324.44220300000001</v>
      </c>
    </row>
    <row r="21" spans="1:5">
      <c r="A21" s="334"/>
      <c r="B21" s="335" t="s">
        <v>209</v>
      </c>
      <c r="C21" s="338">
        <v>14</v>
      </c>
      <c r="D21" s="340">
        <v>195.32406003999998</v>
      </c>
      <c r="E21" s="340">
        <v>574.23255300000005</v>
      </c>
    </row>
    <row r="22" spans="1:5">
      <c r="A22" s="334"/>
      <c r="B22" s="335" t="s">
        <v>195</v>
      </c>
      <c r="C22" s="338">
        <v>18</v>
      </c>
      <c r="D22" s="340">
        <v>191.19930299999999</v>
      </c>
      <c r="E22" s="340">
        <v>72.226466000000002</v>
      </c>
    </row>
    <row r="23" spans="1:5">
      <c r="A23" s="334"/>
      <c r="B23" s="335" t="s">
        <v>309</v>
      </c>
      <c r="C23" s="338">
        <v>94</v>
      </c>
      <c r="D23" s="340">
        <v>169.10658005000002</v>
      </c>
      <c r="E23" s="340">
        <v>16.302582187500001</v>
      </c>
    </row>
    <row r="24" spans="1:5">
      <c r="A24" s="334"/>
      <c r="B24" s="335" t="s">
        <v>308</v>
      </c>
      <c r="C24" s="338">
        <v>10</v>
      </c>
      <c r="D24" s="340">
        <v>159.20413600000001</v>
      </c>
      <c r="E24" s="340">
        <v>0</v>
      </c>
    </row>
    <row r="25" spans="1:5">
      <c r="A25" s="334"/>
      <c r="B25" s="335" t="s">
        <v>202</v>
      </c>
      <c r="C25" s="338">
        <v>14</v>
      </c>
      <c r="D25" s="340">
        <v>147.40048100000001</v>
      </c>
      <c r="E25" s="340">
        <v>223.6397695</v>
      </c>
    </row>
    <row r="26" spans="1:5">
      <c r="A26" s="334"/>
      <c r="B26" s="335" t="s">
        <v>200</v>
      </c>
      <c r="C26" s="338">
        <v>3</v>
      </c>
      <c r="D26" s="340">
        <v>144.22667300000001</v>
      </c>
      <c r="E26" s="340">
        <v>0</v>
      </c>
    </row>
    <row r="27" spans="1:5">
      <c r="A27" s="334"/>
      <c r="B27" s="335" t="s">
        <v>216</v>
      </c>
      <c r="C27" s="338">
        <v>8</v>
      </c>
      <c r="D27" s="340">
        <v>57.813769999999998</v>
      </c>
      <c r="E27" s="340">
        <v>60.844999999999999</v>
      </c>
    </row>
    <row r="28" spans="1:5">
      <c r="A28" s="334"/>
      <c r="B28" s="335" t="s">
        <v>214</v>
      </c>
      <c r="C28" s="342">
        <v>2</v>
      </c>
      <c r="D28" s="340">
        <v>49</v>
      </c>
      <c r="E28" s="340">
        <v>113.252184</v>
      </c>
    </row>
    <row r="29" spans="1:5">
      <c r="A29" s="334" t="s">
        <v>319</v>
      </c>
      <c r="B29" s="343"/>
      <c r="C29" s="344"/>
      <c r="D29" s="345"/>
      <c r="E29" s="345"/>
    </row>
    <row r="30" spans="1:5">
      <c r="A30" s="334"/>
      <c r="B30" s="346" t="s">
        <v>320</v>
      </c>
      <c r="C30" s="338">
        <v>398</v>
      </c>
      <c r="D30" s="340">
        <v>3429.7923417299999</v>
      </c>
      <c r="E30" s="340">
        <v>1864.4795575839844</v>
      </c>
    </row>
    <row r="31" spans="1:5">
      <c r="A31" s="334"/>
      <c r="B31" s="346" t="s">
        <v>321</v>
      </c>
      <c r="C31" s="338">
        <v>890</v>
      </c>
      <c r="D31" s="340">
        <v>2883.04726854</v>
      </c>
      <c r="E31" s="340">
        <v>280.0969179453125</v>
      </c>
    </row>
    <row r="32" spans="1:5">
      <c r="A32" s="334"/>
      <c r="B32" s="346" t="s">
        <v>322</v>
      </c>
      <c r="C32" s="338">
        <v>342</v>
      </c>
      <c r="D32" s="340">
        <v>1057.83008045</v>
      </c>
      <c r="E32" s="340">
        <v>1007.2265737499999</v>
      </c>
    </row>
    <row r="33" spans="1:5">
      <c r="A33" s="334"/>
      <c r="B33" s="346" t="s">
        <v>323</v>
      </c>
      <c r="C33" s="338">
        <v>4</v>
      </c>
      <c r="D33" s="340">
        <v>1000.3</v>
      </c>
      <c r="E33" s="340">
        <v>20.241375999999999</v>
      </c>
    </row>
    <row r="34" spans="1:5">
      <c r="A34" s="334"/>
      <c r="B34" s="346" t="s">
        <v>324</v>
      </c>
      <c r="C34" s="338">
        <v>215</v>
      </c>
      <c r="D34" s="340">
        <v>918.38558054999976</v>
      </c>
      <c r="E34" s="340">
        <v>1206.0856150163575</v>
      </c>
    </row>
    <row r="35" spans="1:5">
      <c r="A35" s="334"/>
      <c r="B35" s="346" t="s">
        <v>325</v>
      </c>
      <c r="C35" s="338">
        <v>128</v>
      </c>
      <c r="D35" s="340">
        <v>778.93325434999997</v>
      </c>
      <c r="E35" s="340">
        <v>409.26630426187501</v>
      </c>
    </row>
    <row r="36" spans="1:5">
      <c r="A36" s="334"/>
      <c r="B36" s="346" t="s">
        <v>326</v>
      </c>
      <c r="C36" s="338">
        <v>330</v>
      </c>
      <c r="D36" s="340">
        <v>565.19761533000019</v>
      </c>
      <c r="E36" s="340">
        <v>3001.7515105263674</v>
      </c>
    </row>
    <row r="37" spans="1:5">
      <c r="A37" s="334"/>
      <c r="B37" s="346" t="s">
        <v>327</v>
      </c>
      <c r="C37" s="338">
        <v>97</v>
      </c>
      <c r="D37" s="340">
        <v>448.10825750999999</v>
      </c>
      <c r="E37" s="340">
        <v>-15.604518000000001</v>
      </c>
    </row>
    <row r="38" spans="1:5">
      <c r="A38" s="334"/>
      <c r="B38" s="346" t="s">
        <v>328</v>
      </c>
      <c r="C38" s="338">
        <v>27</v>
      </c>
      <c r="D38" s="340">
        <v>324.97910899999999</v>
      </c>
      <c r="E38" s="340">
        <v>236.14011350000001</v>
      </c>
    </row>
    <row r="39" spans="1:5">
      <c r="A39" s="334"/>
      <c r="B39" s="346" t="s">
        <v>329</v>
      </c>
      <c r="C39" s="338">
        <v>38</v>
      </c>
      <c r="D39" s="340">
        <v>141.676919</v>
      </c>
      <c r="E39" s="340">
        <v>208.76543100000001</v>
      </c>
    </row>
    <row r="40" spans="1:5">
      <c r="A40" s="334"/>
      <c r="B40" s="346" t="s">
        <v>330</v>
      </c>
      <c r="C40" s="338">
        <v>28</v>
      </c>
      <c r="D40" s="340">
        <v>98.590981999999997</v>
      </c>
      <c r="E40" s="340">
        <v>1599.159386</v>
      </c>
    </row>
    <row r="41" spans="1:5">
      <c r="A41" s="334"/>
      <c r="B41" s="346" t="s">
        <v>331</v>
      </c>
      <c r="C41" s="338">
        <v>26</v>
      </c>
      <c r="D41" s="340">
        <v>84.478429200000008</v>
      </c>
      <c r="E41" s="340">
        <v>507.76475127343753</v>
      </c>
    </row>
    <row r="42" spans="1:5">
      <c r="A42" s="334"/>
      <c r="B42" s="346" t="s">
        <v>332</v>
      </c>
      <c r="C42" s="338">
        <v>5</v>
      </c>
      <c r="D42" s="340">
        <v>81.5</v>
      </c>
      <c r="E42" s="340">
        <v>338.70752199999998</v>
      </c>
    </row>
    <row r="43" spans="1:5">
      <c r="A43" s="334"/>
      <c r="B43" s="346" t="s">
        <v>333</v>
      </c>
      <c r="C43" s="338">
        <v>2</v>
      </c>
      <c r="D43" s="340">
        <v>72.021985999999998</v>
      </c>
      <c r="E43" s="340">
        <v>0</v>
      </c>
    </row>
    <row r="44" spans="1:5">
      <c r="A44" s="334"/>
      <c r="B44" s="346" t="s">
        <v>334</v>
      </c>
      <c r="C44" s="338">
        <v>6</v>
      </c>
      <c r="D44" s="340">
        <v>71.248324999999994</v>
      </c>
      <c r="E44" s="340">
        <v>2.4000000000000001E-5</v>
      </c>
    </row>
    <row r="45" spans="1:5">
      <c r="A45" s="334"/>
      <c r="B45" s="346" t="s">
        <v>335</v>
      </c>
      <c r="C45" s="338">
        <v>20</v>
      </c>
      <c r="D45" s="340">
        <v>70.547594340000003</v>
      </c>
      <c r="E45" s="340">
        <v>26.757159999999999</v>
      </c>
    </row>
    <row r="46" spans="1:5">
      <c r="A46" s="334"/>
      <c r="B46" s="346" t="s">
        <v>336</v>
      </c>
      <c r="C46" s="338">
        <v>26</v>
      </c>
      <c r="D46" s="340">
        <v>55.852407730000003</v>
      </c>
      <c r="E46" s="340">
        <v>8.4452630000000006</v>
      </c>
    </row>
    <row r="47" spans="1:5">
      <c r="B47" s="346" t="s">
        <v>337</v>
      </c>
      <c r="C47" s="338">
        <v>18</v>
      </c>
      <c r="D47" s="340">
        <v>53.932583999999999</v>
      </c>
      <c r="E47" s="340">
        <v>23.550999999999998</v>
      </c>
    </row>
    <row r="48" spans="1:5">
      <c r="B48" s="346" t="s">
        <v>338</v>
      </c>
      <c r="C48" s="338">
        <v>30</v>
      </c>
      <c r="D48" s="340">
        <v>34.275264</v>
      </c>
      <c r="E48" s="340">
        <v>192.878851</v>
      </c>
    </row>
    <row r="49" spans="2:5">
      <c r="B49" s="346" t="s">
        <v>339</v>
      </c>
      <c r="C49" s="338">
        <v>21</v>
      </c>
      <c r="D49" s="340">
        <v>33.770868</v>
      </c>
      <c r="E49" s="340">
        <v>0.58130000000000004</v>
      </c>
    </row>
    <row r="50" spans="2:5">
      <c r="E50" s="340"/>
    </row>
    <row r="51" spans="2:5">
      <c r="E51" s="340"/>
    </row>
    <row r="52" spans="2:5">
      <c r="E52" s="340"/>
    </row>
    <row r="53" spans="2:5">
      <c r="E53" s="340"/>
    </row>
    <row r="54" spans="2:5">
      <c r="E54" s="340"/>
    </row>
    <row r="55" spans="2:5">
      <c r="E55" s="340"/>
    </row>
    <row r="56" spans="2:5">
      <c r="E56" s="340"/>
    </row>
    <row r="57" spans="2:5">
      <c r="E57" s="340"/>
    </row>
    <row r="58" spans="2:5">
      <c r="E58" s="340"/>
    </row>
    <row r="59" spans="2:5">
      <c r="E59" s="340"/>
    </row>
    <row r="60" spans="2:5">
      <c r="E60" s="347"/>
    </row>
    <row r="61" spans="2:5">
      <c r="E61" s="347"/>
    </row>
    <row r="62" spans="2:5">
      <c r="E62" s="347"/>
    </row>
    <row r="63" spans="2:5">
      <c r="E63" s="347"/>
    </row>
    <row r="64" spans="2:5">
      <c r="E64" s="347"/>
    </row>
    <row r="65" spans="5:5">
      <c r="E65" s="347"/>
    </row>
    <row r="66" spans="5:5">
      <c r="E66" s="347"/>
    </row>
    <row r="67" spans="5:5">
      <c r="E67" s="347"/>
    </row>
  </sheetData>
  <pageMargins left="0.86614173228346503" right="0.17" top="0.74803149606299202" bottom="0.511811023622047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K30"/>
  <sheetViews>
    <sheetView zoomScaleNormal="100" workbookViewId="0">
      <selection activeCell="D13" sqref="D13"/>
    </sheetView>
  </sheetViews>
  <sheetFormatPr defaultColWidth="9.7109375" defaultRowHeight="12.75"/>
  <cols>
    <col min="1" max="1" width="2.85546875" style="349" customWidth="1"/>
    <col min="2" max="2" width="21.7109375" style="349" customWidth="1"/>
    <col min="3" max="4" width="10.42578125" style="349" customWidth="1"/>
    <col min="5" max="8" width="10" style="349" customWidth="1"/>
    <col min="9" max="9" width="9.7109375" style="349"/>
    <col min="10" max="10" width="12" style="349" customWidth="1"/>
    <col min="11" max="11" width="13.42578125" style="349" customWidth="1"/>
    <col min="12" max="16384" width="9.7109375" style="349"/>
  </cols>
  <sheetData>
    <row r="1" spans="1:11" ht="20.100000000000001" customHeight="1">
      <c r="A1" s="348" t="s">
        <v>656</v>
      </c>
      <c r="B1" s="348"/>
      <c r="C1" s="348"/>
      <c r="D1" s="348"/>
      <c r="E1" s="348"/>
      <c r="F1" s="348"/>
      <c r="G1" s="348"/>
      <c r="H1" s="348"/>
    </row>
    <row r="2" spans="1:11" ht="20.100000000000001" customHeight="1">
      <c r="A2" s="112"/>
      <c r="B2" s="350"/>
      <c r="C2" s="350"/>
      <c r="D2" s="350"/>
      <c r="E2" s="350"/>
      <c r="F2" s="351"/>
      <c r="G2" s="351"/>
      <c r="H2" s="351"/>
    </row>
    <row r="3" spans="1:11" s="355" customFormat="1" ht="20.100000000000001" customHeight="1">
      <c r="A3" s="352"/>
      <c r="B3" s="352"/>
      <c r="C3" s="353"/>
      <c r="D3" s="353"/>
      <c r="E3" s="353"/>
      <c r="F3" s="353"/>
      <c r="G3" s="353"/>
      <c r="H3" s="354" t="s">
        <v>289</v>
      </c>
    </row>
    <row r="4" spans="1:11" s="355" customFormat="1" ht="16.350000000000001" customHeight="1">
      <c r="A4" s="353"/>
      <c r="B4" s="353"/>
      <c r="C4" s="356" t="s">
        <v>340</v>
      </c>
      <c r="D4" s="356" t="s">
        <v>19</v>
      </c>
      <c r="E4" s="898" t="s">
        <v>341</v>
      </c>
      <c r="F4" s="898"/>
      <c r="G4" s="357" t="s">
        <v>342</v>
      </c>
      <c r="H4" s="357" t="s">
        <v>24</v>
      </c>
    </row>
    <row r="5" spans="1:11" s="355" customFormat="1" ht="16.350000000000001" customHeight="1">
      <c r="A5" s="353"/>
      <c r="B5" s="353"/>
      <c r="C5" s="358" t="s">
        <v>117</v>
      </c>
      <c r="D5" s="358" t="s">
        <v>118</v>
      </c>
      <c r="E5" s="899" t="s">
        <v>53</v>
      </c>
      <c r="F5" s="899"/>
      <c r="G5" s="359" t="s">
        <v>53</v>
      </c>
      <c r="H5" s="359" t="s">
        <v>53</v>
      </c>
    </row>
    <row r="6" spans="1:11" ht="16.350000000000001" customHeight="1">
      <c r="A6" s="353"/>
      <c r="B6" s="353"/>
      <c r="C6" s="358" t="s">
        <v>28</v>
      </c>
      <c r="D6" s="358" t="s">
        <v>28</v>
      </c>
      <c r="E6" s="358" t="s">
        <v>227</v>
      </c>
      <c r="F6" s="358" t="s">
        <v>343</v>
      </c>
      <c r="G6" s="360" t="s">
        <v>64</v>
      </c>
      <c r="H6" s="360" t="s">
        <v>64</v>
      </c>
      <c r="I6" s="361"/>
      <c r="J6" s="362"/>
      <c r="K6" s="362"/>
    </row>
    <row r="7" spans="1:11" s="365" customFormat="1" ht="16.350000000000001" customHeight="1">
      <c r="A7" s="353"/>
      <c r="B7" s="353"/>
      <c r="C7" s="358">
        <v>2025</v>
      </c>
      <c r="D7" s="358">
        <v>2025</v>
      </c>
      <c r="E7" s="358" t="s">
        <v>344</v>
      </c>
      <c r="F7" s="358" t="s">
        <v>345</v>
      </c>
      <c r="G7" s="363" t="s">
        <v>65</v>
      </c>
      <c r="H7" s="363" t="s">
        <v>65</v>
      </c>
      <c r="I7" s="364"/>
      <c r="J7" s="362"/>
      <c r="K7" s="362"/>
    </row>
    <row r="8" spans="1:11" s="365" customFormat="1" ht="16.350000000000001" customHeight="1">
      <c r="A8" s="353"/>
      <c r="B8" s="353"/>
      <c r="C8" s="358"/>
      <c r="D8" s="358"/>
      <c r="E8" s="358"/>
      <c r="F8" s="358"/>
      <c r="G8" s="363" t="s">
        <v>28</v>
      </c>
      <c r="H8" s="363" t="s">
        <v>28</v>
      </c>
      <c r="I8" s="364"/>
      <c r="J8" s="362"/>
      <c r="K8" s="362"/>
    </row>
    <row r="9" spans="1:11" ht="16.350000000000001" customHeight="1">
      <c r="A9" s="353"/>
      <c r="B9" s="353"/>
      <c r="C9" s="366"/>
      <c r="D9" s="366"/>
      <c r="E9" s="366"/>
      <c r="F9" s="366"/>
      <c r="G9" s="367" t="s">
        <v>346</v>
      </c>
      <c r="H9" s="367" t="s">
        <v>346</v>
      </c>
      <c r="I9" s="364"/>
      <c r="J9" s="362"/>
      <c r="K9" s="362"/>
    </row>
    <row r="10" spans="1:11" s="370" customFormat="1" ht="10.5" customHeight="1">
      <c r="A10" s="368"/>
      <c r="B10" s="353"/>
      <c r="C10" s="369"/>
      <c r="D10" s="369"/>
      <c r="E10" s="353"/>
      <c r="F10" s="353"/>
      <c r="G10" s="353"/>
      <c r="H10" s="369"/>
      <c r="I10" s="364"/>
      <c r="J10" s="362"/>
      <c r="K10" s="362"/>
    </row>
    <row r="11" spans="1:11" ht="24" customHeight="1">
      <c r="A11" s="900" t="s">
        <v>257</v>
      </c>
      <c r="B11" s="900"/>
      <c r="C11" s="371">
        <v>587042.30530079082</v>
      </c>
      <c r="D11" s="371">
        <v>598716.47692962259</v>
      </c>
      <c r="E11" s="371">
        <v>5176018.0216791825</v>
      </c>
      <c r="F11" s="372">
        <v>100</v>
      </c>
      <c r="G11" s="371">
        <v>111.26838460422231</v>
      </c>
      <c r="H11" s="371">
        <v>109.54923396601195</v>
      </c>
      <c r="I11" s="373"/>
      <c r="J11" s="373"/>
    </row>
    <row r="12" spans="1:11" ht="24" customHeight="1">
      <c r="A12" s="368"/>
      <c r="B12" s="353" t="s">
        <v>347</v>
      </c>
      <c r="C12" s="374">
        <v>446033.19314666366</v>
      </c>
      <c r="D12" s="374">
        <v>454953.85700959689</v>
      </c>
      <c r="E12" s="374">
        <v>3947899.1229436365</v>
      </c>
      <c r="F12" s="375">
        <v>76.272901415881762</v>
      </c>
      <c r="G12" s="374">
        <v>110.41598509572555</v>
      </c>
      <c r="H12" s="374">
        <v>108.26299288064038</v>
      </c>
      <c r="I12" s="373"/>
      <c r="J12" s="373"/>
    </row>
    <row r="13" spans="1:11" ht="24" customHeight="1">
      <c r="A13" s="376"/>
      <c r="B13" s="377" t="s">
        <v>348</v>
      </c>
      <c r="C13" s="374">
        <v>71521.875420767377</v>
      </c>
      <c r="D13" s="374">
        <v>71438.838013262124</v>
      </c>
      <c r="E13" s="374">
        <v>624419.03044450958</v>
      </c>
      <c r="F13" s="375">
        <v>12.063695061129987</v>
      </c>
      <c r="G13" s="374">
        <v>114.97635393848424</v>
      </c>
      <c r="H13" s="374">
        <v>114.8089381190325</v>
      </c>
      <c r="I13" s="373"/>
      <c r="J13" s="373"/>
    </row>
    <row r="14" spans="1:11" ht="24" customHeight="1">
      <c r="A14" s="368"/>
      <c r="B14" s="353" t="s">
        <v>349</v>
      </c>
      <c r="C14" s="374">
        <v>8000.5</v>
      </c>
      <c r="D14" s="374">
        <v>8315.5865737748973</v>
      </c>
      <c r="E14" s="374">
        <v>69635.811454528433</v>
      </c>
      <c r="F14" s="375">
        <v>1.3453548879247812</v>
      </c>
      <c r="G14" s="374">
        <v>119.68739981806564</v>
      </c>
      <c r="H14" s="374">
        <v>120.53114173150668</v>
      </c>
      <c r="I14" s="373"/>
      <c r="J14" s="373"/>
    </row>
    <row r="15" spans="1:11" ht="24" customHeight="1">
      <c r="A15" s="368"/>
      <c r="B15" s="353" t="s">
        <v>350</v>
      </c>
      <c r="C15" s="374">
        <v>61486.67170406333</v>
      </c>
      <c r="D15" s="374">
        <v>64008.195332988609</v>
      </c>
      <c r="E15" s="374">
        <v>534064.05683650833</v>
      </c>
      <c r="F15" s="375">
        <v>10.318048635063475</v>
      </c>
      <c r="G15" s="374">
        <v>112.36267619921048</v>
      </c>
      <c r="H15" s="374">
        <v>112.05717448389115</v>
      </c>
      <c r="I15" s="373"/>
      <c r="J15" s="373"/>
    </row>
    <row r="16" spans="1:11" ht="20.100000000000001" customHeight="1">
      <c r="A16" s="368"/>
      <c r="B16" s="353"/>
      <c r="C16" s="353"/>
      <c r="D16" s="353"/>
      <c r="E16" s="353"/>
      <c r="F16" s="353"/>
      <c r="G16" s="353"/>
      <c r="H16" s="353"/>
    </row>
    <row r="17" spans="1:8" ht="20.100000000000001" customHeight="1">
      <c r="A17" s="368"/>
      <c r="B17" s="353"/>
      <c r="C17" s="353"/>
      <c r="D17" s="353"/>
      <c r="E17" s="353"/>
      <c r="F17" s="353"/>
      <c r="G17" s="353"/>
      <c r="H17" s="353"/>
    </row>
    <row r="18" spans="1:8" ht="20.100000000000001" customHeight="1"/>
    <row r="19" spans="1:8" ht="20.100000000000001" customHeight="1"/>
    <row r="20" spans="1:8" ht="20.100000000000001" customHeight="1"/>
    <row r="21" spans="1:8" ht="20.100000000000001" customHeight="1"/>
    <row r="22" spans="1:8" ht="20.100000000000001" customHeight="1"/>
    <row r="23" spans="1:8" ht="20.100000000000001" customHeight="1"/>
    <row r="24" spans="1:8" ht="20.100000000000001" customHeight="1"/>
    <row r="25" spans="1:8" ht="20.100000000000001" customHeight="1"/>
    <row r="26" spans="1:8" ht="22.5" customHeight="1"/>
    <row r="27" spans="1:8" ht="22.5" customHeight="1"/>
    <row r="28" spans="1:8" ht="22.5" customHeight="1"/>
    <row r="29" spans="1:8" ht="22.5" customHeight="1"/>
    <row r="30" spans="1:8" ht="22.5" customHeight="1"/>
  </sheetData>
  <mergeCells count="3">
    <mergeCell ref="E4:F4"/>
    <mergeCell ref="E5:F5"/>
    <mergeCell ref="A11:B11"/>
  </mergeCells>
  <pageMargins left="0.86614173228346503" right="0.17" top="0.74803149606299202" bottom="0.511811023622047" header="0.43307086614173201" footer="0.31496062992126"/>
  <pageSetup paperSize="9" firstPageNumber="38" orientation="portrait" r:id="rId1"/>
  <headerFooter alignWithMargins="0">
    <oddHeader>&amp;C&amp;"Times New Roman,Regular"&amp;13&amp;P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H16"/>
  <sheetViews>
    <sheetView zoomScaleNormal="100" workbookViewId="0">
      <selection activeCell="D13" sqref="D13"/>
    </sheetView>
  </sheetViews>
  <sheetFormatPr defaultColWidth="8.85546875" defaultRowHeight="18.75"/>
  <cols>
    <col min="1" max="1" width="3.7109375" style="170" customWidth="1"/>
    <col min="2" max="2" width="25.28515625" style="170" customWidth="1"/>
    <col min="3" max="3" width="14.42578125" style="170" customWidth="1"/>
    <col min="4" max="4" width="15" style="170" customWidth="1"/>
    <col min="5" max="6" width="15.7109375" style="170" customWidth="1"/>
    <col min="7" max="16384" width="8.85546875" style="170"/>
  </cols>
  <sheetData>
    <row r="1" spans="1:8">
      <c r="A1" s="348" t="s">
        <v>657</v>
      </c>
      <c r="B1" s="351"/>
      <c r="C1" s="353"/>
      <c r="D1" s="353"/>
      <c r="E1" s="378"/>
      <c r="F1" s="353"/>
    </row>
    <row r="2" spans="1:8">
      <c r="A2" s="348"/>
      <c r="B2" s="351"/>
      <c r="C2" s="353"/>
      <c r="D2" s="353"/>
      <c r="E2" s="378"/>
      <c r="F2" s="349"/>
    </row>
    <row r="3" spans="1:8">
      <c r="A3" s="353"/>
      <c r="B3" s="353"/>
      <c r="C3" s="353"/>
      <c r="D3" s="353"/>
      <c r="E3" s="353"/>
      <c r="F3" s="349"/>
    </row>
    <row r="4" spans="1:8">
      <c r="A4" s="353"/>
      <c r="B4" s="353"/>
      <c r="C4" s="352"/>
      <c r="D4" s="352"/>
      <c r="E4" s="352"/>
      <c r="F4" s="354" t="s">
        <v>289</v>
      </c>
    </row>
    <row r="5" spans="1:8">
      <c r="A5" s="272"/>
      <c r="B5" s="272"/>
      <c r="C5" s="379" t="s">
        <v>340</v>
      </c>
      <c r="D5" s="379" t="s">
        <v>19</v>
      </c>
      <c r="E5" s="901" t="s">
        <v>21</v>
      </c>
      <c r="F5" s="901"/>
      <c r="G5" s="380"/>
      <c r="H5" s="380"/>
    </row>
    <row r="6" spans="1:8">
      <c r="A6" s="267"/>
      <c r="B6" s="267"/>
      <c r="C6" s="379" t="s">
        <v>22</v>
      </c>
      <c r="D6" s="379" t="s">
        <v>42</v>
      </c>
      <c r="E6" s="379" t="s">
        <v>25</v>
      </c>
      <c r="F6" s="381" t="s">
        <v>26</v>
      </c>
      <c r="G6" s="380"/>
      <c r="H6" s="380"/>
    </row>
    <row r="7" spans="1:8">
      <c r="A7" s="267"/>
      <c r="B7" s="267"/>
      <c r="C7" s="382" t="s">
        <v>53</v>
      </c>
      <c r="D7" s="382" t="s">
        <v>53</v>
      </c>
      <c r="E7" s="382" t="s">
        <v>53</v>
      </c>
      <c r="F7" s="382" t="s">
        <v>53</v>
      </c>
      <c r="G7" s="380"/>
      <c r="H7" s="380"/>
    </row>
    <row r="8" spans="1:8" ht="13.5" customHeight="1">
      <c r="A8" s="353"/>
      <c r="B8" s="353"/>
      <c r="C8" s="383"/>
      <c r="D8" s="383"/>
      <c r="E8" s="384"/>
      <c r="F8" s="349"/>
      <c r="G8" s="380"/>
      <c r="H8" s="380"/>
    </row>
    <row r="9" spans="1:8" ht="24.75" customHeight="1">
      <c r="A9" s="900" t="s">
        <v>257</v>
      </c>
      <c r="B9" s="900"/>
      <c r="C9" s="385">
        <v>1713967.2177528993</v>
      </c>
      <c r="D9" s="385">
        <v>1759101.1384357507</v>
      </c>
      <c r="E9" s="386">
        <v>109.04321391276564</v>
      </c>
      <c r="F9" s="386">
        <v>110.12394973103822</v>
      </c>
      <c r="G9" s="387"/>
      <c r="H9" s="388"/>
    </row>
    <row r="10" spans="1:8" ht="24.75" customHeight="1">
      <c r="A10" s="368"/>
      <c r="B10" s="353" t="s">
        <v>347</v>
      </c>
      <c r="C10" s="389">
        <v>1303498.2833577229</v>
      </c>
      <c r="D10" s="389">
        <v>1334761.5</v>
      </c>
      <c r="E10" s="390">
        <v>107.11316535643493</v>
      </c>
      <c r="F10" s="390">
        <v>109.10899500564277</v>
      </c>
      <c r="G10" s="387"/>
      <c r="H10" s="391"/>
    </row>
    <row r="11" spans="1:8" ht="24.75" customHeight="1">
      <c r="A11" s="368"/>
      <c r="B11" s="353" t="s">
        <v>348</v>
      </c>
      <c r="C11" s="389">
        <v>210619.90533003351</v>
      </c>
      <c r="D11" s="389">
        <v>214727.08929298609</v>
      </c>
      <c r="E11" s="390">
        <v>116.1783214007777</v>
      </c>
      <c r="F11" s="390">
        <v>114.8403963361198</v>
      </c>
      <c r="G11" s="387"/>
      <c r="H11" s="391"/>
    </row>
    <row r="12" spans="1:8" ht="24.75" customHeight="1">
      <c r="A12" s="368"/>
      <c r="B12" s="353" t="s">
        <v>349</v>
      </c>
      <c r="C12" s="389">
        <v>24022.865286401437</v>
      </c>
      <c r="D12" s="389">
        <v>24329.822550513512</v>
      </c>
      <c r="E12" s="390">
        <v>125.30580485121672</v>
      </c>
      <c r="F12" s="390">
        <v>119.08928761171653</v>
      </c>
      <c r="G12" s="387"/>
      <c r="H12" s="391"/>
    </row>
    <row r="13" spans="1:8" ht="24.75" customHeight="1">
      <c r="A13" s="368"/>
      <c r="B13" s="353" t="s">
        <v>350</v>
      </c>
      <c r="C13" s="389">
        <v>175826.1</v>
      </c>
      <c r="D13" s="389">
        <v>185282.65956036199</v>
      </c>
      <c r="E13" s="390">
        <v>113.85743214049108</v>
      </c>
      <c r="F13" s="390">
        <v>111.18360596183354</v>
      </c>
      <c r="G13" s="387"/>
      <c r="H13" s="391"/>
    </row>
    <row r="14" spans="1:8">
      <c r="C14" s="392"/>
      <c r="D14" s="392"/>
      <c r="E14" s="392"/>
      <c r="F14" s="393"/>
    </row>
    <row r="15" spans="1:8">
      <c r="C15" s="392"/>
      <c r="D15" s="392"/>
      <c r="E15" s="392"/>
      <c r="F15" s="393"/>
    </row>
    <row r="16" spans="1:8">
      <c r="C16" s="392"/>
      <c r="D16" s="392"/>
      <c r="E16" s="392"/>
      <c r="F16" s="393"/>
    </row>
  </sheetData>
  <mergeCells count="2">
    <mergeCell ref="E5:F5"/>
    <mergeCell ref="A9:B9"/>
  </mergeCells>
  <pageMargins left="0.86614173228346503" right="0.17" top="0.74803149606299202" bottom="0.511811023622047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4B40-E70C-4287-BD2B-5CE801B6325B}">
  <sheetPr>
    <pageSetUpPr fitToPage="1"/>
  </sheetPr>
  <dimension ref="A1:O68"/>
  <sheetViews>
    <sheetView topLeftCell="B1" workbookViewId="0">
      <selection activeCell="D13" sqref="D13"/>
    </sheetView>
  </sheetViews>
  <sheetFormatPr defaultColWidth="6.42578125" defaultRowHeight="15" customHeight="1"/>
  <cols>
    <col min="1" max="1" width="0.5703125" style="535" customWidth="1"/>
    <col min="2" max="2" width="32" style="534" customWidth="1"/>
    <col min="3" max="4" width="6.7109375" style="535" customWidth="1"/>
    <col min="5" max="5" width="0.28515625" style="535" customWidth="1"/>
    <col min="6" max="6" width="6.28515625" style="535" bestFit="1" customWidth="1"/>
    <col min="7" max="7" width="7.28515625" style="535" customWidth="1"/>
    <col min="8" max="8" width="0.42578125" style="535" customWidth="1"/>
    <col min="9" max="10" width="7.85546875" style="535" customWidth="1"/>
    <col min="11" max="11" width="0.5703125" style="535" customWidth="1"/>
    <col min="12" max="13" width="7.7109375" style="535" customWidth="1"/>
    <col min="14" max="14" width="7" style="535" customWidth="1"/>
    <col min="15" max="16384" width="6.42578125" style="535"/>
  </cols>
  <sheetData>
    <row r="1" spans="1:15" ht="16.5">
      <c r="A1" s="533" t="s">
        <v>658</v>
      </c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</row>
    <row r="2" spans="1:15" ht="15" customHeight="1"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</row>
    <row r="3" spans="1:15" ht="15" customHeight="1">
      <c r="B3" s="537"/>
      <c r="C3" s="538"/>
      <c r="D3" s="538"/>
      <c r="E3" s="538"/>
      <c r="F3" s="538"/>
      <c r="G3" s="539"/>
      <c r="H3" s="539"/>
      <c r="I3" s="539"/>
      <c r="J3" s="540"/>
      <c r="K3" s="540"/>
      <c r="L3" s="540"/>
      <c r="M3" s="541" t="s">
        <v>396</v>
      </c>
    </row>
    <row r="4" spans="1:15" ht="15" customHeight="1">
      <c r="A4" s="542"/>
      <c r="B4" s="543"/>
      <c r="C4" s="903" t="s">
        <v>340</v>
      </c>
      <c r="D4" s="903"/>
      <c r="E4" s="903"/>
      <c r="F4" s="903"/>
      <c r="G4" s="903"/>
      <c r="H4" s="544"/>
      <c r="I4" s="903" t="s">
        <v>21</v>
      </c>
      <c r="J4" s="903"/>
      <c r="K4" s="903"/>
      <c r="L4" s="903"/>
      <c r="M4" s="903"/>
    </row>
    <row r="5" spans="1:15" ht="15" customHeight="1">
      <c r="B5" s="545"/>
      <c r="C5" s="904" t="s">
        <v>63</v>
      </c>
      <c r="D5" s="904"/>
      <c r="E5" s="546"/>
      <c r="F5" s="904" t="s">
        <v>27</v>
      </c>
      <c r="G5" s="904"/>
      <c r="H5" s="546"/>
      <c r="I5" s="904" t="s">
        <v>63</v>
      </c>
      <c r="J5" s="904"/>
      <c r="K5" s="546"/>
      <c r="L5" s="904" t="s">
        <v>27</v>
      </c>
      <c r="M5" s="904"/>
    </row>
    <row r="6" spans="1:15" ht="15" customHeight="1">
      <c r="B6" s="545"/>
      <c r="C6" s="902" t="s">
        <v>53</v>
      </c>
      <c r="D6" s="902"/>
      <c r="E6" s="547"/>
      <c r="F6" s="902" t="s">
        <v>53</v>
      </c>
      <c r="G6" s="902"/>
      <c r="H6" s="547"/>
      <c r="I6" s="902" t="s">
        <v>53</v>
      </c>
      <c r="J6" s="902"/>
      <c r="K6" s="547"/>
      <c r="L6" s="902" t="s">
        <v>53</v>
      </c>
      <c r="M6" s="902"/>
    </row>
    <row r="7" spans="1:15" ht="15" customHeight="1">
      <c r="B7" s="545"/>
      <c r="C7" s="548" t="s">
        <v>397</v>
      </c>
      <c r="D7" s="548" t="s">
        <v>398</v>
      </c>
      <c r="E7" s="548"/>
      <c r="F7" s="549" t="s">
        <v>397</v>
      </c>
      <c r="G7" s="548" t="s">
        <v>398</v>
      </c>
      <c r="H7" s="548"/>
      <c r="I7" s="548" t="s">
        <v>397</v>
      </c>
      <c r="J7" s="548" t="s">
        <v>398</v>
      </c>
      <c r="K7" s="548"/>
      <c r="L7" s="549" t="s">
        <v>397</v>
      </c>
      <c r="M7" s="548" t="s">
        <v>398</v>
      </c>
    </row>
    <row r="8" spans="1:15" ht="15" customHeight="1">
      <c r="B8" s="550"/>
      <c r="C8" s="538"/>
      <c r="D8" s="538"/>
      <c r="E8" s="538"/>
      <c r="F8" s="538"/>
      <c r="G8" s="538"/>
      <c r="H8" s="538"/>
      <c r="I8" s="551"/>
      <c r="J8" s="551"/>
      <c r="K8" s="551"/>
      <c r="L8" s="551"/>
      <c r="M8" s="551"/>
    </row>
    <row r="9" spans="1:15" s="556" customFormat="1" ht="15" customHeight="1">
      <c r="A9" s="552" t="s">
        <v>399</v>
      </c>
      <c r="B9" s="553"/>
      <c r="C9" s="553"/>
      <c r="D9" s="554">
        <v>42670.310936000002</v>
      </c>
      <c r="E9" s="554"/>
      <c r="F9" s="553"/>
      <c r="G9" s="554">
        <v>348741.30640399997</v>
      </c>
      <c r="H9" s="554"/>
      <c r="I9" s="555"/>
      <c r="J9" s="555">
        <v>124.73319045074018</v>
      </c>
      <c r="K9" s="555"/>
      <c r="L9" s="555"/>
      <c r="M9" s="555">
        <v>115.99716436465786</v>
      </c>
      <c r="O9" s="557"/>
    </row>
    <row r="10" spans="1:15" ht="15" customHeight="1">
      <c r="B10" s="558" t="s">
        <v>400</v>
      </c>
      <c r="C10" s="538"/>
      <c r="D10" s="554">
        <v>8655.4782550000018</v>
      </c>
      <c r="E10" s="554"/>
      <c r="F10" s="553"/>
      <c r="G10" s="554">
        <v>85409</v>
      </c>
      <c r="H10" s="554"/>
      <c r="I10" s="555"/>
      <c r="J10" s="555">
        <v>91.473390288457679</v>
      </c>
      <c r="K10" s="555"/>
      <c r="L10" s="555"/>
      <c r="M10" s="555">
        <v>101.97433408881685</v>
      </c>
    </row>
    <row r="11" spans="1:15" ht="15" customHeight="1">
      <c r="B11" s="558" t="s">
        <v>401</v>
      </c>
      <c r="C11" s="538"/>
      <c r="D11" s="554">
        <v>34014.832681</v>
      </c>
      <c r="E11" s="554"/>
      <c r="F11" s="554"/>
      <c r="G11" s="554">
        <v>263331.699953</v>
      </c>
      <c r="H11" s="554"/>
      <c r="I11" s="555"/>
      <c r="J11" s="555">
        <v>137.45045714625718</v>
      </c>
      <c r="K11" s="555"/>
      <c r="L11" s="555"/>
      <c r="M11" s="555">
        <v>121.41232251145802</v>
      </c>
    </row>
    <row r="12" spans="1:15" ht="15" customHeight="1">
      <c r="B12" s="559" t="s">
        <v>402</v>
      </c>
      <c r="C12" s="538"/>
      <c r="D12" s="560">
        <v>87.060461000000004</v>
      </c>
      <c r="E12" s="560"/>
      <c r="F12" s="538"/>
      <c r="G12" s="560">
        <v>980.58634400000005</v>
      </c>
      <c r="H12" s="560"/>
      <c r="I12" s="555"/>
      <c r="J12" s="551">
        <v>50.669525027341969</v>
      </c>
      <c r="K12" s="551"/>
      <c r="L12" s="555"/>
      <c r="M12" s="551">
        <v>67.437283776541591</v>
      </c>
    </row>
    <row r="13" spans="1:15" ht="15" customHeight="1">
      <c r="B13" s="561" t="s">
        <v>403</v>
      </c>
      <c r="C13" s="538"/>
      <c r="D13" s="560">
        <v>33927.772219999999</v>
      </c>
      <c r="E13" s="560"/>
      <c r="F13" s="560"/>
      <c r="G13" s="560">
        <v>262351.11360899999</v>
      </c>
      <c r="H13" s="560"/>
      <c r="I13" s="555"/>
      <c r="J13" s="551">
        <v>138.05719647395685</v>
      </c>
      <c r="K13" s="551"/>
      <c r="L13" s="555"/>
      <c r="M13" s="551">
        <v>121.77662299554267</v>
      </c>
    </row>
    <row r="14" spans="1:15" ht="15" customHeight="1">
      <c r="A14" s="562" t="s">
        <v>404</v>
      </c>
      <c r="B14" s="537"/>
      <c r="C14" s="538"/>
      <c r="D14" s="538"/>
      <c r="E14" s="538"/>
      <c r="F14" s="538"/>
      <c r="G14" s="538"/>
      <c r="H14" s="538"/>
      <c r="I14" s="551"/>
      <c r="J14" s="551"/>
      <c r="K14" s="551"/>
      <c r="L14" s="551"/>
      <c r="M14" s="551"/>
    </row>
    <row r="15" spans="1:15" ht="15" customHeight="1">
      <c r="B15" s="561" t="s">
        <v>405</v>
      </c>
      <c r="C15" s="560"/>
      <c r="D15" s="560">
        <v>1013.772928</v>
      </c>
      <c r="E15" s="560"/>
      <c r="F15" s="560"/>
      <c r="G15" s="560">
        <v>8169.3800259999998</v>
      </c>
      <c r="H15" s="560"/>
      <c r="I15" s="551"/>
      <c r="J15" s="551">
        <v>110.09870262568798</v>
      </c>
      <c r="K15" s="551"/>
      <c r="L15" s="551"/>
      <c r="M15" s="551">
        <v>113.02135866032322</v>
      </c>
      <c r="N15" s="563"/>
    </row>
    <row r="16" spans="1:15" ht="15" customHeight="1">
      <c r="B16" s="561" t="s">
        <v>406</v>
      </c>
      <c r="C16" s="560"/>
      <c r="D16" s="560">
        <v>1312.7778490000001</v>
      </c>
      <c r="E16" s="560"/>
      <c r="F16" s="560"/>
      <c r="G16" s="560">
        <v>6131.3232230000003</v>
      </c>
      <c r="H16" s="560"/>
      <c r="I16" s="551"/>
      <c r="J16" s="551">
        <v>143.21497927237476</v>
      </c>
      <c r="K16" s="551"/>
      <c r="L16" s="551"/>
      <c r="M16" s="551">
        <v>108.704027128956</v>
      </c>
      <c r="N16" s="563"/>
    </row>
    <row r="17" spans="2:14" ht="15" customHeight="1">
      <c r="B17" s="561" t="s">
        <v>407</v>
      </c>
      <c r="C17" s="560">
        <v>72.892718933704728</v>
      </c>
      <c r="D17" s="560">
        <v>491.29616299999998</v>
      </c>
      <c r="E17" s="560"/>
      <c r="F17" s="560">
        <v>555.2017189337048</v>
      </c>
      <c r="G17" s="560">
        <v>3773.1608099999999</v>
      </c>
      <c r="H17" s="560"/>
      <c r="I17" s="551">
        <v>127.32352652175499</v>
      </c>
      <c r="J17" s="551">
        <v>131.51062950927985</v>
      </c>
      <c r="K17" s="551"/>
      <c r="L17" s="551">
        <v>101.73075860525671</v>
      </c>
      <c r="M17" s="551">
        <v>119.49674656973997</v>
      </c>
      <c r="N17" s="563"/>
    </row>
    <row r="18" spans="2:14" ht="15" customHeight="1">
      <c r="B18" s="561" t="s">
        <v>408</v>
      </c>
      <c r="C18" s="560">
        <v>81.397409323634619</v>
      </c>
      <c r="D18" s="560">
        <v>462.28332499999999</v>
      </c>
      <c r="E18" s="560"/>
      <c r="F18" s="560">
        <v>1230.3694093236345</v>
      </c>
      <c r="G18" s="560">
        <v>7010.9731099999999</v>
      </c>
      <c r="H18" s="560"/>
      <c r="I18" s="551">
        <v>158.45628554893929</v>
      </c>
      <c r="J18" s="551">
        <v>161.10897331110766</v>
      </c>
      <c r="K18" s="551"/>
      <c r="L18" s="551">
        <v>110.86606438425946</v>
      </c>
      <c r="M18" s="551">
        <v>162.21561826870786</v>
      </c>
      <c r="N18" s="563"/>
    </row>
    <row r="19" spans="2:14" ht="15" customHeight="1">
      <c r="B19" s="561" t="s">
        <v>409</v>
      </c>
      <c r="C19" s="560">
        <v>12.00823508340199</v>
      </c>
      <c r="D19" s="560">
        <v>21.531010999999999</v>
      </c>
      <c r="E19" s="560"/>
      <c r="F19" s="560">
        <v>97.011235083401985</v>
      </c>
      <c r="G19" s="560">
        <v>167.26669999999999</v>
      </c>
      <c r="H19" s="560"/>
      <c r="I19" s="551">
        <v>91.75697320548629</v>
      </c>
      <c r="J19" s="551">
        <v>93.156720580516065</v>
      </c>
      <c r="K19" s="551"/>
      <c r="L19" s="551">
        <v>90.56313954761201</v>
      </c>
      <c r="M19" s="551">
        <v>90.084816956637653</v>
      </c>
      <c r="N19" s="563"/>
    </row>
    <row r="20" spans="2:14" ht="15" customHeight="1">
      <c r="B20" s="561" t="s">
        <v>410</v>
      </c>
      <c r="C20" s="560">
        <v>20.747769968672738</v>
      </c>
      <c r="D20" s="560">
        <v>135.99385599999999</v>
      </c>
      <c r="E20" s="560"/>
      <c r="F20" s="560">
        <v>186.84576996867276</v>
      </c>
      <c r="G20" s="560">
        <v>1265.8337320000001</v>
      </c>
      <c r="H20" s="560"/>
      <c r="I20" s="551">
        <v>121.3036130067396</v>
      </c>
      <c r="J20" s="551">
        <v>123.17509304487224</v>
      </c>
      <c r="K20" s="551"/>
      <c r="L20" s="551">
        <v>93.032613172079508</v>
      </c>
      <c r="M20" s="551">
        <v>127.82475610135391</v>
      </c>
      <c r="N20" s="563"/>
    </row>
    <row r="21" spans="2:14" ht="15" customHeight="1">
      <c r="B21" s="564" t="s">
        <v>411</v>
      </c>
      <c r="C21" s="560">
        <v>483.41419393070964</v>
      </c>
      <c r="D21" s="560">
        <v>232.38346300000001</v>
      </c>
      <c r="E21" s="560"/>
      <c r="F21" s="560">
        <v>6857.7471939307088</v>
      </c>
      <c r="G21" s="560">
        <v>3486.0414110000002</v>
      </c>
      <c r="H21" s="560"/>
      <c r="I21" s="551">
        <v>58.745121701238624</v>
      </c>
      <c r="J21" s="551">
        <v>45.273480055810587</v>
      </c>
      <c r="K21" s="551"/>
      <c r="L21" s="551">
        <v>98.430129312084802</v>
      </c>
      <c r="M21" s="551">
        <v>80.021562919807749</v>
      </c>
      <c r="N21" s="565"/>
    </row>
    <row r="22" spans="2:14" ht="15" customHeight="1">
      <c r="B22" s="561" t="s">
        <v>412</v>
      </c>
      <c r="C22" s="560">
        <v>272.62632201934196</v>
      </c>
      <c r="D22" s="560">
        <v>89.421847</v>
      </c>
      <c r="E22" s="560"/>
      <c r="F22" s="560">
        <v>3089.1993220193417</v>
      </c>
      <c r="G22" s="560">
        <v>947.97245699999996</v>
      </c>
      <c r="H22" s="560"/>
      <c r="I22" s="551">
        <v>225.39856144067693</v>
      </c>
      <c r="J22" s="551">
        <v>157.60025730151563</v>
      </c>
      <c r="K22" s="551"/>
      <c r="L22" s="551">
        <v>161.08305707569119</v>
      </c>
      <c r="M22" s="551">
        <v>107.80628338839409</v>
      </c>
      <c r="N22" s="563"/>
    </row>
    <row r="23" spans="2:14" ht="15" customHeight="1">
      <c r="B23" s="561" t="s">
        <v>413</v>
      </c>
      <c r="C23" s="560"/>
      <c r="D23" s="560">
        <v>110.57161000000001</v>
      </c>
      <c r="E23" s="560"/>
      <c r="F23" s="560"/>
      <c r="G23" s="560">
        <v>920.49755500000003</v>
      </c>
      <c r="H23" s="560"/>
      <c r="I23" s="551"/>
      <c r="J23" s="551">
        <v>108.39170964204182</v>
      </c>
      <c r="K23" s="551"/>
      <c r="L23" s="551"/>
      <c r="M23" s="551">
        <v>105.46316405989964</v>
      </c>
      <c r="N23" s="563"/>
    </row>
    <row r="24" spans="2:14" ht="15" customHeight="1">
      <c r="B24" s="561" t="s">
        <v>414</v>
      </c>
      <c r="C24" s="560"/>
      <c r="D24" s="560">
        <v>135.339214</v>
      </c>
      <c r="E24" s="560"/>
      <c r="F24" s="560"/>
      <c r="G24" s="560">
        <v>1004.879079</v>
      </c>
      <c r="H24" s="560"/>
      <c r="I24" s="551"/>
      <c r="J24" s="551">
        <v>172.18052623630956</v>
      </c>
      <c r="K24" s="551"/>
      <c r="L24" s="551"/>
      <c r="M24" s="551">
        <v>133.39819845705927</v>
      </c>
      <c r="N24" s="563"/>
    </row>
    <row r="25" spans="2:14" ht="15" customHeight="1">
      <c r="B25" s="561" t="s">
        <v>415</v>
      </c>
      <c r="C25" s="560">
        <v>3093.314852948723</v>
      </c>
      <c r="D25" s="560">
        <v>117.547839</v>
      </c>
      <c r="E25" s="560"/>
      <c r="F25" s="560">
        <v>26205.677852948724</v>
      </c>
      <c r="G25" s="560">
        <v>984.70366200000001</v>
      </c>
      <c r="H25" s="560"/>
      <c r="I25" s="551">
        <v>156.47007734433234</v>
      </c>
      <c r="J25" s="551">
        <v>159.42740895208613</v>
      </c>
      <c r="K25" s="551"/>
      <c r="L25" s="551">
        <v>116.43442300315343</v>
      </c>
      <c r="M25" s="551">
        <v>114.22359563266831</v>
      </c>
      <c r="N25" s="563"/>
    </row>
    <row r="26" spans="2:14" ht="15" customHeight="1">
      <c r="B26" s="561" t="s">
        <v>416</v>
      </c>
      <c r="C26" s="560">
        <v>181.41185925001329</v>
      </c>
      <c r="D26" s="560">
        <v>87.060461000000004</v>
      </c>
      <c r="E26" s="560"/>
      <c r="F26" s="560">
        <v>1727.1808592500133</v>
      </c>
      <c r="G26" s="560">
        <v>980.58634400000005</v>
      </c>
      <c r="H26" s="560"/>
      <c r="I26" s="551">
        <v>64.018752404079891</v>
      </c>
      <c r="J26" s="551">
        <v>50.669525027341969</v>
      </c>
      <c r="K26" s="551"/>
      <c r="L26" s="551">
        <v>80.568053015878377</v>
      </c>
      <c r="M26" s="551">
        <v>67.437283776541591</v>
      </c>
      <c r="N26" s="563"/>
    </row>
    <row r="27" spans="2:14" ht="15" customHeight="1">
      <c r="B27" s="561" t="s">
        <v>417</v>
      </c>
      <c r="C27" s="560">
        <v>133.65231623081294</v>
      </c>
      <c r="D27" s="560">
        <v>81.906668999999994</v>
      </c>
      <c r="E27" s="560"/>
      <c r="F27" s="560">
        <v>1047.6873162308129</v>
      </c>
      <c r="G27" s="560">
        <v>705.05775100000005</v>
      </c>
      <c r="H27" s="560"/>
      <c r="I27" s="551">
        <v>89.410307749971864</v>
      </c>
      <c r="J27" s="551">
        <v>69.111063777027752</v>
      </c>
      <c r="K27" s="551"/>
      <c r="L27" s="551">
        <v>59.522480205187321</v>
      </c>
      <c r="M27" s="551">
        <v>48.926142007913292</v>
      </c>
      <c r="N27" s="563"/>
    </row>
    <row r="28" spans="2:14" ht="15" customHeight="1">
      <c r="B28" s="561" t="s">
        <v>418</v>
      </c>
      <c r="C28" s="560"/>
      <c r="D28" s="560">
        <v>262.03277600000001</v>
      </c>
      <c r="E28" s="560"/>
      <c r="F28" s="560"/>
      <c r="G28" s="560">
        <v>2061.7202269999998</v>
      </c>
      <c r="H28" s="560"/>
      <c r="I28" s="551"/>
      <c r="J28" s="551">
        <v>123.14381904164502</v>
      </c>
      <c r="K28" s="551"/>
      <c r="L28" s="551"/>
      <c r="M28" s="551">
        <v>101.55963703472848</v>
      </c>
      <c r="N28" s="563"/>
    </row>
    <row r="29" spans="2:14" ht="15" customHeight="1">
      <c r="B29" s="561" t="s">
        <v>419</v>
      </c>
      <c r="C29" s="560"/>
      <c r="D29" s="560">
        <v>238.380199</v>
      </c>
      <c r="E29" s="560"/>
      <c r="F29" s="560"/>
      <c r="G29" s="560">
        <v>2142.1343179999999</v>
      </c>
      <c r="H29" s="560"/>
      <c r="I29" s="551"/>
      <c r="J29" s="551">
        <v>115.35152656401222</v>
      </c>
      <c r="K29" s="551"/>
      <c r="L29" s="551"/>
      <c r="M29" s="551">
        <v>106.68802105516147</v>
      </c>
      <c r="N29" s="563"/>
    </row>
    <row r="30" spans="2:14" ht="15" customHeight="1">
      <c r="B30" s="561" t="s">
        <v>420</v>
      </c>
      <c r="C30" s="560">
        <v>190.27853895775803</v>
      </c>
      <c r="D30" s="560">
        <v>191.97490400000001</v>
      </c>
      <c r="E30" s="560"/>
      <c r="F30" s="560">
        <v>1628.525538957758</v>
      </c>
      <c r="G30" s="560">
        <v>1729.3224540000001</v>
      </c>
      <c r="H30" s="560"/>
      <c r="I30" s="551">
        <v>81.789223476867335</v>
      </c>
      <c r="J30" s="551">
        <v>77.790860507186693</v>
      </c>
      <c r="K30" s="551"/>
      <c r="L30" s="551">
        <v>88.956779698057403</v>
      </c>
      <c r="M30" s="551">
        <v>86.021355475053838</v>
      </c>
      <c r="N30" s="563"/>
    </row>
    <row r="31" spans="2:14" ht="15" customHeight="1">
      <c r="B31" s="561" t="s">
        <v>421</v>
      </c>
      <c r="C31" s="560"/>
      <c r="D31" s="560">
        <v>592.93080399999997</v>
      </c>
      <c r="E31" s="560"/>
      <c r="F31" s="560"/>
      <c r="G31" s="560">
        <v>5495.4733660000002</v>
      </c>
      <c r="H31" s="560"/>
      <c r="I31" s="551"/>
      <c r="J31" s="551">
        <v>113.35489258528229</v>
      </c>
      <c r="K31" s="551"/>
      <c r="L31" s="551"/>
      <c r="M31" s="551">
        <v>112.95367445833784</v>
      </c>
      <c r="N31" s="563"/>
    </row>
    <row r="32" spans="2:14" ht="15" customHeight="1">
      <c r="B32" s="561" t="s">
        <v>422</v>
      </c>
      <c r="C32" s="560">
        <v>176.74522827443346</v>
      </c>
      <c r="D32" s="560">
        <v>301.83942300000001</v>
      </c>
      <c r="E32" s="560"/>
      <c r="F32" s="560">
        <v>1293.2052282744335</v>
      </c>
      <c r="G32" s="560">
        <v>2283.3108259999999</v>
      </c>
      <c r="H32" s="560"/>
      <c r="I32" s="551">
        <v>91.107666278909591</v>
      </c>
      <c r="J32" s="551">
        <v>89.930497720760755</v>
      </c>
      <c r="K32" s="551"/>
      <c r="L32" s="551">
        <v>98.192141188553919</v>
      </c>
      <c r="M32" s="551">
        <v>108.92588334582184</v>
      </c>
      <c r="N32" s="563"/>
    </row>
    <row r="33" spans="2:14" ht="15" customHeight="1">
      <c r="B33" s="561" t="s">
        <v>423</v>
      </c>
      <c r="C33" s="560"/>
      <c r="D33" s="560">
        <v>111.01758700000001</v>
      </c>
      <c r="E33" s="560"/>
      <c r="F33" s="560"/>
      <c r="G33" s="560">
        <v>1059.657946</v>
      </c>
      <c r="H33" s="560"/>
      <c r="I33" s="551"/>
      <c r="J33" s="551">
        <v>118.52026211546655</v>
      </c>
      <c r="K33" s="551"/>
      <c r="L33" s="551"/>
      <c r="M33" s="551">
        <v>119.45088984806603</v>
      </c>
      <c r="N33" s="563"/>
    </row>
    <row r="34" spans="2:14" ht="15" customHeight="1">
      <c r="B34" s="561" t="s">
        <v>424</v>
      </c>
      <c r="C34" s="560"/>
      <c r="D34" s="560">
        <v>342.21612499999998</v>
      </c>
      <c r="E34" s="560"/>
      <c r="F34" s="560"/>
      <c r="G34" s="560">
        <v>3344.2529610000001</v>
      </c>
      <c r="H34" s="560"/>
      <c r="I34" s="551"/>
      <c r="J34" s="551">
        <v>108.95489164831973</v>
      </c>
      <c r="K34" s="551"/>
      <c r="L34" s="551"/>
      <c r="M34" s="551">
        <v>108.62999903732322</v>
      </c>
      <c r="N34" s="563"/>
    </row>
    <row r="35" spans="2:14" ht="15" customHeight="1">
      <c r="B35" s="561" t="s">
        <v>425</v>
      </c>
      <c r="C35" s="560"/>
      <c r="D35" s="560">
        <v>1362.767861</v>
      </c>
      <c r="E35" s="560"/>
      <c r="F35" s="560"/>
      <c r="G35" s="560">
        <v>12496.573339</v>
      </c>
      <c r="H35" s="560"/>
      <c r="I35" s="551"/>
      <c r="J35" s="551">
        <v>108.6242591362669</v>
      </c>
      <c r="K35" s="551"/>
      <c r="L35" s="551"/>
      <c r="M35" s="551">
        <v>106.83078072841874</v>
      </c>
      <c r="N35" s="563"/>
    </row>
    <row r="36" spans="2:14" ht="15" customHeight="1">
      <c r="B36" s="561" t="s">
        <v>426</v>
      </c>
      <c r="C36" s="560"/>
      <c r="D36" s="560">
        <v>177.750092</v>
      </c>
      <c r="E36" s="560"/>
      <c r="F36" s="560"/>
      <c r="G36" s="560">
        <v>1595.3982490000001</v>
      </c>
      <c r="H36" s="560"/>
      <c r="I36" s="551"/>
      <c r="J36" s="551">
        <v>111.53185163559509</v>
      </c>
      <c r="K36" s="551"/>
      <c r="L36" s="551"/>
      <c r="M36" s="551">
        <v>101.08743697285796</v>
      </c>
      <c r="N36" s="563"/>
    </row>
    <row r="37" spans="2:14" ht="15" customHeight="1">
      <c r="B37" s="561" t="s">
        <v>427</v>
      </c>
      <c r="C37" s="560">
        <v>163.76321790569526</v>
      </c>
      <c r="D37" s="560">
        <v>355.86661400000003</v>
      </c>
      <c r="E37" s="560"/>
      <c r="F37" s="560">
        <v>1428.6202179056952</v>
      </c>
      <c r="G37" s="560">
        <v>3187.9403470000002</v>
      </c>
      <c r="H37" s="560"/>
      <c r="I37" s="551">
        <v>113.51083579215175</v>
      </c>
      <c r="J37" s="551">
        <v>147.65935297510748</v>
      </c>
      <c r="K37" s="551"/>
      <c r="L37" s="551">
        <v>103.94243869881676</v>
      </c>
      <c r="M37" s="551">
        <v>97.853459093956403</v>
      </c>
      <c r="N37" s="563"/>
    </row>
    <row r="38" spans="2:14" ht="15" customHeight="1">
      <c r="B38" s="561" t="s">
        <v>428</v>
      </c>
      <c r="C38" s="560"/>
      <c r="D38" s="560">
        <v>3260.1076109999999</v>
      </c>
      <c r="E38" s="560"/>
      <c r="F38" s="560"/>
      <c r="G38" s="560">
        <v>29743.843452000001</v>
      </c>
      <c r="H38" s="560"/>
      <c r="I38" s="551"/>
      <c r="J38" s="551">
        <v>109.11864238852328</v>
      </c>
      <c r="K38" s="551"/>
      <c r="L38" s="551"/>
      <c r="M38" s="551">
        <v>108.60755553216117</v>
      </c>
      <c r="N38" s="563"/>
    </row>
    <row r="39" spans="2:14" ht="15" customHeight="1">
      <c r="B39" s="561" t="s">
        <v>429</v>
      </c>
      <c r="C39" s="560"/>
      <c r="D39" s="560">
        <v>1707.8490380000001</v>
      </c>
      <c r="E39" s="560"/>
      <c r="F39" s="560"/>
      <c r="G39" s="560">
        <v>17792.211975999999</v>
      </c>
      <c r="H39" s="560"/>
      <c r="I39" s="551"/>
      <c r="J39" s="551">
        <v>109.09965835839728</v>
      </c>
      <c r="K39" s="551"/>
      <c r="L39" s="551"/>
      <c r="M39" s="551">
        <v>107.42267897635038</v>
      </c>
      <c r="N39" s="563"/>
    </row>
    <row r="40" spans="2:14" ht="15" customHeight="1">
      <c r="B40" s="561" t="s">
        <v>430</v>
      </c>
      <c r="C40" s="560"/>
      <c r="D40" s="560">
        <v>198.78953899999999</v>
      </c>
      <c r="E40" s="560"/>
      <c r="F40" s="560"/>
      <c r="G40" s="560">
        <v>1799.9897329999999</v>
      </c>
      <c r="H40" s="560"/>
      <c r="I40" s="551"/>
      <c r="J40" s="551">
        <v>113.34571938056132</v>
      </c>
      <c r="K40" s="551"/>
      <c r="L40" s="551"/>
      <c r="M40" s="551">
        <v>109.26480207395586</v>
      </c>
      <c r="N40" s="563"/>
    </row>
    <row r="41" spans="2:14" ht="15" customHeight="1">
      <c r="B41" s="561" t="s">
        <v>431</v>
      </c>
      <c r="C41" s="560"/>
      <c r="D41" s="560">
        <v>128.87229400000001</v>
      </c>
      <c r="E41" s="560"/>
      <c r="F41" s="560"/>
      <c r="G41" s="560">
        <v>1041.9548070000001</v>
      </c>
      <c r="H41" s="560"/>
      <c r="I41" s="551"/>
      <c r="J41" s="551">
        <v>128.58190719243476</v>
      </c>
      <c r="K41" s="551"/>
      <c r="L41" s="551"/>
      <c r="M41" s="551">
        <v>120.06629322716775</v>
      </c>
      <c r="N41" s="563"/>
    </row>
    <row r="42" spans="2:14" ht="15" customHeight="1">
      <c r="B42" s="561" t="s">
        <v>432</v>
      </c>
      <c r="C42" s="560">
        <v>836.54936565052208</v>
      </c>
      <c r="D42" s="560">
        <v>496.94717000000003</v>
      </c>
      <c r="E42" s="560"/>
      <c r="F42" s="560">
        <v>7921.9973656505226</v>
      </c>
      <c r="G42" s="560">
        <v>5173.9192419999999</v>
      </c>
      <c r="H42" s="560"/>
      <c r="I42" s="551">
        <v>77.427518666244794</v>
      </c>
      <c r="J42" s="551">
        <v>66.714030340387438</v>
      </c>
      <c r="K42" s="551"/>
      <c r="L42" s="551">
        <v>79.559046356170597</v>
      </c>
      <c r="M42" s="551">
        <v>71.741510549687021</v>
      </c>
      <c r="N42" s="563"/>
    </row>
    <row r="43" spans="2:14" ht="15" customHeight="1">
      <c r="B43" s="561" t="s">
        <v>433</v>
      </c>
      <c r="C43" s="560"/>
      <c r="D43" s="560">
        <v>408.56159500000001</v>
      </c>
      <c r="E43" s="560"/>
      <c r="F43" s="560"/>
      <c r="G43" s="560">
        <v>4133.2337299999999</v>
      </c>
      <c r="H43" s="560"/>
      <c r="I43" s="551"/>
      <c r="J43" s="551">
        <v>121.44252714563244</v>
      </c>
      <c r="K43" s="551"/>
      <c r="L43" s="551"/>
      <c r="M43" s="551">
        <v>125.91334674406767</v>
      </c>
      <c r="N43" s="563"/>
    </row>
    <row r="44" spans="2:14" ht="15" customHeight="1">
      <c r="B44" s="566" t="s">
        <v>434</v>
      </c>
      <c r="C44" s="560"/>
      <c r="D44" s="560">
        <v>375.54735699999998</v>
      </c>
      <c r="E44" s="560"/>
      <c r="F44" s="560"/>
      <c r="G44" s="560">
        <v>3485.4363290000001</v>
      </c>
      <c r="H44" s="560"/>
      <c r="I44" s="551"/>
      <c r="J44" s="551">
        <v>121.00139942140011</v>
      </c>
      <c r="K44" s="551"/>
      <c r="L44" s="551"/>
      <c r="M44" s="551">
        <v>111.00801270918745</v>
      </c>
    </row>
    <row r="45" spans="2:14" ht="15" customHeight="1">
      <c r="B45" s="566" t="s">
        <v>435</v>
      </c>
      <c r="C45" s="560"/>
      <c r="D45" s="560">
        <v>10587.249742</v>
      </c>
      <c r="E45" s="560"/>
      <c r="F45" s="560"/>
      <c r="G45" s="560">
        <v>77485.468217000001</v>
      </c>
      <c r="H45" s="560"/>
      <c r="I45" s="551"/>
      <c r="J45" s="551">
        <v>166.17877826114858</v>
      </c>
      <c r="K45" s="551"/>
      <c r="L45" s="551"/>
      <c r="M45" s="551">
        <v>145.93333616539036</v>
      </c>
    </row>
    <row r="46" spans="2:14" ht="15" customHeight="1">
      <c r="B46" s="566" t="s">
        <v>436</v>
      </c>
      <c r="C46" s="560"/>
      <c r="D46" s="560">
        <v>5407.626655</v>
      </c>
      <c r="E46" s="560"/>
      <c r="F46" s="560"/>
      <c r="G46" s="560">
        <v>43592.198707000003</v>
      </c>
      <c r="H46" s="560"/>
      <c r="I46" s="551"/>
      <c r="J46" s="551">
        <v>117.53764945566549</v>
      </c>
      <c r="K46" s="551"/>
      <c r="L46" s="551"/>
      <c r="M46" s="551">
        <v>104.0714310019075</v>
      </c>
    </row>
    <row r="47" spans="2:14" ht="15" customHeight="1">
      <c r="B47" s="566" t="s">
        <v>437</v>
      </c>
      <c r="C47" s="560"/>
      <c r="D47" s="560">
        <v>842.87085100000002</v>
      </c>
      <c r="E47" s="560"/>
      <c r="F47" s="560"/>
      <c r="G47" s="560">
        <v>5862.649805</v>
      </c>
      <c r="H47" s="560"/>
      <c r="I47" s="551"/>
      <c r="J47" s="551">
        <v>118.74981609801887</v>
      </c>
      <c r="K47" s="551"/>
      <c r="L47" s="551"/>
      <c r="M47" s="551">
        <v>95.350622249132144</v>
      </c>
    </row>
    <row r="48" spans="2:14" ht="15" customHeight="1">
      <c r="B48" s="566" t="s">
        <v>438</v>
      </c>
      <c r="C48" s="560"/>
      <c r="D48" s="560">
        <v>5599.9648550000002</v>
      </c>
      <c r="E48" s="560"/>
      <c r="F48" s="560"/>
      <c r="G48" s="560">
        <v>42996.871475</v>
      </c>
      <c r="H48" s="560"/>
      <c r="I48" s="551"/>
      <c r="J48" s="551">
        <v>111.63041851235143</v>
      </c>
      <c r="K48" s="551"/>
      <c r="L48" s="551"/>
      <c r="M48" s="551">
        <v>113.52605671228882</v>
      </c>
    </row>
    <row r="49" spans="2:13" ht="15" customHeight="1">
      <c r="B49" s="566" t="s">
        <v>439</v>
      </c>
      <c r="C49" s="560"/>
      <c r="D49" s="560">
        <v>374.43997400000001</v>
      </c>
      <c r="E49" s="560"/>
      <c r="F49" s="560"/>
      <c r="G49" s="560">
        <v>3239.683227</v>
      </c>
      <c r="H49" s="560"/>
      <c r="I49" s="551"/>
      <c r="J49" s="551">
        <v>132.51768135618755</v>
      </c>
      <c r="K49" s="551"/>
      <c r="L49" s="551"/>
      <c r="M49" s="551">
        <v>126.30381181450672</v>
      </c>
    </row>
    <row r="50" spans="2:13" ht="15" customHeight="1">
      <c r="B50" s="566" t="s">
        <v>440</v>
      </c>
      <c r="C50" s="560"/>
      <c r="D50" s="560">
        <v>1383.3663300000001</v>
      </c>
      <c r="E50" s="560"/>
      <c r="F50" s="560"/>
      <c r="G50" s="560">
        <v>12775.794413</v>
      </c>
      <c r="H50" s="560"/>
      <c r="I50" s="551"/>
      <c r="J50" s="551">
        <v>118.45264095533261</v>
      </c>
      <c r="K50" s="551"/>
      <c r="L50" s="551"/>
      <c r="M50" s="551">
        <v>113.34780715202733</v>
      </c>
    </row>
    <row r="51" spans="2:13" ht="15" customHeight="1">
      <c r="B51" s="566" t="s">
        <v>441</v>
      </c>
      <c r="C51" s="560"/>
      <c r="D51" s="560">
        <v>302.39339000000001</v>
      </c>
      <c r="E51" s="560"/>
      <c r="F51" s="560"/>
      <c r="G51" s="560">
        <v>2654.635522</v>
      </c>
      <c r="H51" s="560"/>
      <c r="I51" s="551"/>
      <c r="J51" s="551">
        <v>112.99819861090192</v>
      </c>
      <c r="K51" s="551"/>
      <c r="L51" s="551"/>
      <c r="M51" s="551">
        <v>110.78116385875344</v>
      </c>
    </row>
    <row r="52" spans="2:13" ht="15" customHeight="1">
      <c r="B52" s="566" t="s">
        <v>442</v>
      </c>
      <c r="C52" s="560"/>
      <c r="D52" s="560">
        <v>1063.307039</v>
      </c>
      <c r="E52" s="560"/>
      <c r="F52" s="560"/>
      <c r="G52" s="560">
        <v>6549.2963069999996</v>
      </c>
      <c r="H52" s="560"/>
      <c r="I52" s="551"/>
      <c r="J52" s="551">
        <v>338.49392573599397</v>
      </c>
      <c r="K52" s="551"/>
      <c r="L52" s="551"/>
      <c r="M52" s="551">
        <v>234.59674488778765</v>
      </c>
    </row>
    <row r="53" spans="2:13" ht="15" customHeight="1">
      <c r="B53" s="567"/>
      <c r="C53" s="567"/>
      <c r="D53" s="567"/>
      <c r="E53" s="567"/>
      <c r="F53" s="567"/>
      <c r="G53" s="567"/>
      <c r="H53" s="567"/>
      <c r="I53" s="567"/>
      <c r="J53" s="567"/>
      <c r="K53" s="567"/>
      <c r="L53" s="567"/>
      <c r="M53" s="567"/>
    </row>
    <row r="54" spans="2:13" ht="15" customHeight="1">
      <c r="B54" s="567"/>
      <c r="C54" s="567"/>
      <c r="D54" s="567"/>
      <c r="E54" s="567"/>
      <c r="F54" s="567"/>
      <c r="G54" s="567"/>
      <c r="H54" s="567"/>
      <c r="I54" s="567"/>
      <c r="J54" s="567"/>
      <c r="K54" s="567"/>
      <c r="L54" s="567"/>
      <c r="M54" s="567"/>
    </row>
    <row r="55" spans="2:13" ht="15" customHeight="1">
      <c r="B55" s="567"/>
      <c r="C55" s="567"/>
      <c r="D55" s="567"/>
      <c r="E55" s="567"/>
      <c r="F55" s="567"/>
      <c r="G55" s="567"/>
      <c r="H55" s="567"/>
      <c r="I55" s="567"/>
      <c r="J55" s="567"/>
      <c r="K55" s="567"/>
      <c r="L55" s="567"/>
      <c r="M55" s="567"/>
    </row>
    <row r="56" spans="2:13" ht="15" customHeight="1">
      <c r="B56" s="567"/>
      <c r="C56" s="567"/>
      <c r="D56" s="567"/>
      <c r="E56" s="567"/>
      <c r="F56" s="567"/>
      <c r="G56" s="567"/>
      <c r="H56" s="567"/>
      <c r="I56" s="567"/>
      <c r="J56" s="567"/>
      <c r="K56" s="567"/>
      <c r="L56" s="567"/>
      <c r="M56" s="567"/>
    </row>
    <row r="57" spans="2:13" ht="15" customHeight="1">
      <c r="B57" s="567"/>
      <c r="C57" s="567"/>
      <c r="D57" s="567"/>
      <c r="E57" s="567"/>
      <c r="F57" s="567"/>
      <c r="G57" s="567"/>
      <c r="H57" s="567"/>
      <c r="I57" s="567"/>
      <c r="J57" s="567"/>
      <c r="K57" s="567"/>
      <c r="L57" s="567"/>
      <c r="M57" s="567"/>
    </row>
    <row r="58" spans="2:13" ht="15" customHeight="1">
      <c r="B58" s="567"/>
      <c r="C58" s="567"/>
      <c r="D58" s="567"/>
      <c r="E58" s="567"/>
      <c r="F58" s="567"/>
      <c r="G58" s="567"/>
      <c r="H58" s="567"/>
      <c r="I58" s="567"/>
      <c r="J58" s="567"/>
      <c r="K58" s="567"/>
      <c r="L58" s="567"/>
      <c r="M58" s="567"/>
    </row>
    <row r="59" spans="2:13" ht="15" customHeight="1"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</row>
    <row r="60" spans="2:13" ht="15" customHeight="1"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</row>
    <row r="61" spans="2:13" ht="15" customHeight="1">
      <c r="B61" s="567"/>
      <c r="C61" s="567"/>
      <c r="D61" s="567"/>
      <c r="E61" s="567"/>
      <c r="F61" s="567"/>
      <c r="G61" s="567"/>
      <c r="H61" s="567"/>
      <c r="I61" s="567"/>
      <c r="J61" s="567"/>
      <c r="K61" s="567"/>
      <c r="L61" s="567"/>
      <c r="M61" s="567"/>
    </row>
    <row r="62" spans="2:13" ht="15" customHeight="1">
      <c r="B62" s="567"/>
      <c r="C62" s="567"/>
      <c r="D62" s="567"/>
      <c r="E62" s="567"/>
      <c r="F62" s="567"/>
      <c r="G62" s="567"/>
      <c r="H62" s="567"/>
      <c r="I62" s="567"/>
      <c r="J62" s="567"/>
      <c r="K62" s="567"/>
      <c r="L62" s="567"/>
      <c r="M62" s="567"/>
    </row>
    <row r="63" spans="2:13" ht="15" customHeight="1">
      <c r="B63" s="567"/>
      <c r="C63" s="567"/>
      <c r="D63" s="567"/>
      <c r="E63" s="567"/>
      <c r="F63" s="567"/>
      <c r="G63" s="567"/>
      <c r="H63" s="567"/>
      <c r="I63" s="567"/>
      <c r="J63" s="567"/>
      <c r="K63" s="567"/>
      <c r="L63" s="567"/>
      <c r="M63" s="567"/>
    </row>
    <row r="64" spans="2:13" ht="15" customHeight="1">
      <c r="B64" s="567"/>
      <c r="C64" s="567"/>
      <c r="D64" s="567"/>
      <c r="E64" s="567"/>
      <c r="F64" s="567"/>
      <c r="G64" s="567"/>
      <c r="H64" s="567"/>
      <c r="L64" s="567"/>
      <c r="M64" s="567"/>
    </row>
    <row r="65" spans="2:2" ht="15" customHeight="1">
      <c r="B65" s="567"/>
    </row>
    <row r="66" spans="2:2" ht="15" customHeight="1">
      <c r="B66" s="567"/>
    </row>
    <row r="67" spans="2:2" ht="15" customHeight="1">
      <c r="B67" s="567"/>
    </row>
    <row r="68" spans="2:2" ht="15" customHeight="1">
      <c r="B68" s="567"/>
    </row>
  </sheetData>
  <mergeCells count="10">
    <mergeCell ref="C6:D6"/>
    <mergeCell ref="F6:G6"/>
    <mergeCell ref="I6:J6"/>
    <mergeCell ref="L6:M6"/>
    <mergeCell ref="C4:G4"/>
    <mergeCell ref="I4:M4"/>
    <mergeCell ref="C5:D5"/>
    <mergeCell ref="F5:G5"/>
    <mergeCell ref="I5:J5"/>
    <mergeCell ref="L5:M5"/>
  </mergeCells>
  <pageMargins left="0.63" right="0.17" top="0.74803149606299202" bottom="0.511811023622047" header="0.43307086614173201" footer="0.31496062992126"/>
  <pageSetup paperSize="9" scale="99" orientation="portrait" r:id="rId1"/>
  <headerFooter alignWithMargins="0">
    <oddHeader>&amp;C&amp;"Times New Roman,Regular"&amp;13&amp;P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95F7-E47E-4978-B83A-4139A73326B8}">
  <sheetPr>
    <pageSetUpPr fitToPage="1"/>
  </sheetPr>
  <dimension ref="A1:N86"/>
  <sheetViews>
    <sheetView workbookViewId="0">
      <selection activeCell="D13" sqref="D13"/>
    </sheetView>
  </sheetViews>
  <sheetFormatPr defaultColWidth="6.42578125" defaultRowHeight="15"/>
  <cols>
    <col min="1" max="1" width="1" style="580" customWidth="1"/>
    <col min="2" max="2" width="31.85546875" style="584" customWidth="1"/>
    <col min="3" max="3" width="6.28515625" style="580" bestFit="1" customWidth="1"/>
    <col min="4" max="4" width="6" style="580" bestFit="1" customWidth="1"/>
    <col min="5" max="5" width="0.42578125" style="580" customWidth="1"/>
    <col min="6" max="7" width="7" style="580" bestFit="1" customWidth="1"/>
    <col min="8" max="8" width="0.42578125" style="580" customWidth="1"/>
    <col min="9" max="10" width="8" style="580" customWidth="1"/>
    <col min="11" max="11" width="0.28515625" style="580" customWidth="1"/>
    <col min="12" max="13" width="8.42578125" style="580" customWidth="1"/>
    <col min="14" max="16384" width="6.42578125" style="580"/>
  </cols>
  <sheetData>
    <row r="1" spans="1:14" s="535" customFormat="1" ht="16.5">
      <c r="A1" s="533" t="s">
        <v>659</v>
      </c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</row>
    <row r="2" spans="1:14" s="535" customFormat="1" ht="6" customHeight="1"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</row>
    <row r="3" spans="1:14" s="538" customFormat="1" ht="12.75" customHeight="1">
      <c r="B3" s="537"/>
      <c r="G3" s="539"/>
      <c r="H3" s="539"/>
      <c r="I3" s="539"/>
      <c r="J3" s="539"/>
      <c r="K3" s="539"/>
      <c r="L3" s="540"/>
      <c r="M3" s="541" t="s">
        <v>396</v>
      </c>
    </row>
    <row r="4" spans="1:14" s="538" customFormat="1" ht="13.5" customHeight="1">
      <c r="A4" s="568"/>
      <c r="B4" s="543"/>
      <c r="C4" s="903" t="s">
        <v>340</v>
      </c>
      <c r="D4" s="903"/>
      <c r="E4" s="903"/>
      <c r="F4" s="903"/>
      <c r="G4" s="903"/>
      <c r="H4" s="544"/>
      <c r="I4" s="903" t="s">
        <v>21</v>
      </c>
      <c r="J4" s="903"/>
      <c r="K4" s="903"/>
      <c r="L4" s="903"/>
      <c r="M4" s="903"/>
    </row>
    <row r="5" spans="1:14" s="538" customFormat="1" ht="13.5" customHeight="1">
      <c r="B5" s="545"/>
      <c r="C5" s="904" t="s">
        <v>63</v>
      </c>
      <c r="D5" s="904"/>
      <c r="E5" s="546"/>
      <c r="F5" s="904" t="s">
        <v>27</v>
      </c>
      <c r="G5" s="904"/>
      <c r="H5" s="546"/>
      <c r="I5" s="904" t="s">
        <v>63</v>
      </c>
      <c r="J5" s="904"/>
      <c r="K5" s="546"/>
      <c r="L5" s="904" t="s">
        <v>27</v>
      </c>
      <c r="M5" s="904"/>
    </row>
    <row r="6" spans="1:14" s="538" customFormat="1" ht="13.5" customHeight="1">
      <c r="B6" s="545"/>
      <c r="C6" s="902" t="s">
        <v>53</v>
      </c>
      <c r="D6" s="902"/>
      <c r="E6" s="547"/>
      <c r="F6" s="902" t="s">
        <v>53</v>
      </c>
      <c r="G6" s="902"/>
      <c r="H6" s="547"/>
      <c r="I6" s="902" t="s">
        <v>53</v>
      </c>
      <c r="J6" s="902"/>
      <c r="K6" s="547"/>
      <c r="L6" s="902" t="s">
        <v>53</v>
      </c>
      <c r="M6" s="902"/>
    </row>
    <row r="7" spans="1:14" s="538" customFormat="1" ht="13.5" customHeight="1">
      <c r="B7" s="545"/>
      <c r="C7" s="548" t="s">
        <v>397</v>
      </c>
      <c r="D7" s="548" t="s">
        <v>398</v>
      </c>
      <c r="E7" s="548"/>
      <c r="F7" s="549" t="s">
        <v>397</v>
      </c>
      <c r="G7" s="548" t="s">
        <v>398</v>
      </c>
      <c r="H7" s="548"/>
      <c r="I7" s="548" t="s">
        <v>397</v>
      </c>
      <c r="J7" s="548" t="s">
        <v>398</v>
      </c>
      <c r="K7" s="548"/>
      <c r="L7" s="549" t="s">
        <v>397</v>
      </c>
      <c r="M7" s="548" t="s">
        <v>398</v>
      </c>
    </row>
    <row r="8" spans="1:14" s="538" customFormat="1" ht="13.5" customHeight="1">
      <c r="B8" s="545"/>
      <c r="D8" s="551"/>
      <c r="E8" s="551"/>
    </row>
    <row r="9" spans="1:14" s="538" customFormat="1" ht="13.5" customHeight="1">
      <c r="A9" s="569" t="s">
        <v>399</v>
      </c>
      <c r="C9" s="570"/>
      <c r="D9" s="571">
        <v>39824.423433000004</v>
      </c>
      <c r="E9" s="571"/>
      <c r="F9" s="571"/>
      <c r="G9" s="571">
        <v>331915.13051799999</v>
      </c>
      <c r="H9" s="571"/>
      <c r="I9" s="572"/>
      <c r="J9" s="572">
        <v>124.88173671543161</v>
      </c>
      <c r="K9" s="572"/>
      <c r="L9" s="572"/>
      <c r="M9" s="572">
        <v>118.75439233507925</v>
      </c>
      <c r="N9" s="573"/>
    </row>
    <row r="10" spans="1:14" s="538" customFormat="1" ht="13.5" customHeight="1">
      <c r="B10" s="558" t="s">
        <v>400</v>
      </c>
      <c r="C10" s="570"/>
      <c r="D10" s="571">
        <v>10916</v>
      </c>
      <c r="E10" s="571"/>
      <c r="F10" s="571"/>
      <c r="G10" s="571">
        <v>105669.24138199998</v>
      </c>
      <c r="H10" s="571"/>
      <c r="I10" s="572"/>
      <c r="J10" s="572">
        <v>98.979209623056121</v>
      </c>
      <c r="K10" s="572"/>
      <c r="L10" s="572"/>
      <c r="M10" s="572">
        <v>104.61230329998403</v>
      </c>
      <c r="N10" s="574"/>
    </row>
    <row r="11" spans="1:14" s="538" customFormat="1" ht="13.5" customHeight="1">
      <c r="B11" s="558" t="s">
        <v>401</v>
      </c>
      <c r="C11" s="570"/>
      <c r="D11" s="571">
        <v>28907.760569999999</v>
      </c>
      <c r="E11" s="571"/>
      <c r="F11" s="571"/>
      <c r="G11" s="571">
        <v>226245.88913600001</v>
      </c>
      <c r="H11" s="571"/>
      <c r="I11" s="572"/>
      <c r="J11" s="572">
        <v>138.57680312696928</v>
      </c>
      <c r="K11" s="572"/>
      <c r="L11" s="572"/>
      <c r="M11" s="572">
        <v>126.75776950452406</v>
      </c>
      <c r="N11" s="574"/>
    </row>
    <row r="12" spans="1:14" s="538" customFormat="1" ht="13.5" customHeight="1">
      <c r="A12" s="562" t="s">
        <v>404</v>
      </c>
      <c r="B12" s="537"/>
      <c r="C12" s="570"/>
      <c r="D12" s="570"/>
      <c r="E12" s="570"/>
      <c r="F12" s="570"/>
      <c r="G12" s="570"/>
      <c r="H12" s="570"/>
      <c r="I12" s="575"/>
      <c r="J12" s="576"/>
      <c r="K12" s="576"/>
      <c r="L12" s="575"/>
      <c r="M12" s="576"/>
    </row>
    <row r="13" spans="1:14" s="538" customFormat="1" ht="13.5" customHeight="1">
      <c r="B13" s="561" t="s">
        <v>443</v>
      </c>
      <c r="C13" s="570"/>
      <c r="D13" s="570">
        <v>271.686195</v>
      </c>
      <c r="E13" s="570"/>
      <c r="F13" s="570"/>
      <c r="G13" s="570">
        <v>2426.7363650000002</v>
      </c>
      <c r="H13" s="570"/>
      <c r="I13" s="575"/>
      <c r="J13" s="575">
        <v>140.74192198615063</v>
      </c>
      <c r="K13" s="575"/>
      <c r="L13" s="575"/>
      <c r="M13" s="575">
        <v>130.00493944937779</v>
      </c>
    </row>
    <row r="14" spans="1:14" s="538" customFormat="1" ht="13.5" customHeight="1">
      <c r="B14" s="561" t="s">
        <v>444</v>
      </c>
      <c r="C14" s="570"/>
      <c r="D14" s="570">
        <v>100.135673</v>
      </c>
      <c r="E14" s="570"/>
      <c r="F14" s="570"/>
      <c r="G14" s="570">
        <v>1060.841725</v>
      </c>
      <c r="H14" s="570"/>
      <c r="I14" s="575"/>
      <c r="J14" s="575">
        <v>116.10707687096019</v>
      </c>
      <c r="K14" s="575"/>
      <c r="L14" s="575"/>
      <c r="M14" s="575">
        <v>127.68192370056035</v>
      </c>
    </row>
    <row r="15" spans="1:14" s="538" customFormat="1" ht="13.5" customHeight="1">
      <c r="B15" s="561" t="s">
        <v>406</v>
      </c>
      <c r="C15" s="570"/>
      <c r="D15" s="570">
        <v>231.063095</v>
      </c>
      <c r="E15" s="570"/>
      <c r="F15" s="570"/>
      <c r="G15" s="570">
        <v>1908.1323339999999</v>
      </c>
      <c r="H15" s="570"/>
      <c r="I15" s="575"/>
      <c r="J15" s="575">
        <v>108.66918466089301</v>
      </c>
      <c r="K15" s="575"/>
      <c r="L15" s="575"/>
      <c r="M15" s="575">
        <v>114.93184032144606</v>
      </c>
    </row>
    <row r="16" spans="1:14" s="538" customFormat="1" ht="13.5" customHeight="1">
      <c r="B16" s="561" t="s">
        <v>407</v>
      </c>
      <c r="C16" s="570">
        <v>270.77536266105972</v>
      </c>
      <c r="D16" s="570">
        <v>401.404608</v>
      </c>
      <c r="E16" s="570"/>
      <c r="F16" s="570">
        <v>2439.6993626610597</v>
      </c>
      <c r="G16" s="570">
        <v>3723.5244170000001</v>
      </c>
      <c r="H16" s="570"/>
      <c r="I16" s="575">
        <v>155.94155844082246</v>
      </c>
      <c r="J16" s="575">
        <v>162.11001328002584</v>
      </c>
      <c r="K16" s="575"/>
      <c r="L16" s="575">
        <v>112.40057140900697</v>
      </c>
      <c r="M16" s="575">
        <v>138.85638383837536</v>
      </c>
    </row>
    <row r="17" spans="2:13" s="538" customFormat="1" ht="13.5" customHeight="1">
      <c r="B17" s="561" t="s">
        <v>445</v>
      </c>
      <c r="C17" s="570">
        <v>389.20772323523744</v>
      </c>
      <c r="D17" s="570">
        <v>98.749577000000002</v>
      </c>
      <c r="E17" s="570"/>
      <c r="F17" s="570">
        <v>4210.8657232352371</v>
      </c>
      <c r="G17" s="570">
        <v>1121.1999290000001</v>
      </c>
      <c r="H17" s="570"/>
      <c r="I17" s="575">
        <v>45.398926781713577</v>
      </c>
      <c r="J17" s="575">
        <v>42.67956657445982</v>
      </c>
      <c r="K17" s="575"/>
      <c r="L17" s="575">
        <v>92.587217438597449</v>
      </c>
      <c r="M17" s="575">
        <v>89.436147324601194</v>
      </c>
    </row>
    <row r="18" spans="2:13" s="538" customFormat="1" ht="13.5" customHeight="1">
      <c r="B18" s="561" t="s">
        <v>13</v>
      </c>
      <c r="C18" s="570">
        <v>1445.0628651312986</v>
      </c>
      <c r="D18" s="570">
        <v>338.40896900000001</v>
      </c>
      <c r="E18" s="570"/>
      <c r="F18" s="570">
        <v>8197.3028651312979</v>
      </c>
      <c r="G18" s="570">
        <v>2063.833967</v>
      </c>
      <c r="H18" s="570"/>
      <c r="I18" s="575">
        <v>124.51137787441171</v>
      </c>
      <c r="J18" s="575">
        <v>125.18698024064304</v>
      </c>
      <c r="K18" s="575"/>
      <c r="L18" s="575">
        <v>101.27896716235514</v>
      </c>
      <c r="M18" s="575">
        <v>103.9155784782605</v>
      </c>
    </row>
    <row r="19" spans="2:13" s="538" customFormat="1" ht="13.5" customHeight="1">
      <c r="B19" s="561" t="s">
        <v>15</v>
      </c>
      <c r="C19" s="570">
        <v>139.52196700778967</v>
      </c>
      <c r="D19" s="570">
        <v>67.279240999999999</v>
      </c>
      <c r="E19" s="570"/>
      <c r="F19" s="570">
        <v>1950.5739670077896</v>
      </c>
      <c r="G19" s="570">
        <v>904.89133800000002</v>
      </c>
      <c r="H19" s="570"/>
      <c r="I19" s="575">
        <v>94.269051517384455</v>
      </c>
      <c r="J19" s="575">
        <v>93.7035294957888</v>
      </c>
      <c r="K19" s="575"/>
      <c r="L19" s="575">
        <v>122.37720658081386</v>
      </c>
      <c r="M19" s="575">
        <v>109.54510209747855</v>
      </c>
    </row>
    <row r="20" spans="2:13" s="538" customFormat="1" ht="13.5" customHeight="1">
      <c r="B20" s="561" t="s">
        <v>446</v>
      </c>
      <c r="C20" s="570"/>
      <c r="D20" s="570">
        <v>183.39893000000001</v>
      </c>
      <c r="E20" s="570"/>
      <c r="F20" s="570"/>
      <c r="G20" s="570">
        <v>1200.9391720000001</v>
      </c>
      <c r="H20" s="570"/>
      <c r="I20" s="575"/>
      <c r="J20" s="575">
        <v>137.37523134547143</v>
      </c>
      <c r="K20" s="575"/>
      <c r="L20" s="575"/>
      <c r="M20" s="575">
        <v>125.5336712930861</v>
      </c>
    </row>
    <row r="21" spans="2:13" s="538" customFormat="1" ht="13.5" customHeight="1">
      <c r="B21" s="561" t="s">
        <v>447</v>
      </c>
      <c r="C21" s="570"/>
      <c r="D21" s="570">
        <v>113.932076</v>
      </c>
      <c r="E21" s="570"/>
      <c r="F21" s="570"/>
      <c r="G21" s="570">
        <v>1002.209515</v>
      </c>
      <c r="H21" s="570"/>
      <c r="I21" s="575"/>
      <c r="J21" s="575">
        <v>93.852460360064299</v>
      </c>
      <c r="K21" s="575"/>
      <c r="L21" s="575"/>
      <c r="M21" s="575">
        <v>104.47358568446177</v>
      </c>
    </row>
    <row r="22" spans="2:13" s="538" customFormat="1" ht="13.5" customHeight="1">
      <c r="B22" s="561" t="s">
        <v>448</v>
      </c>
      <c r="C22" s="570"/>
      <c r="D22" s="570">
        <v>414.27813500000002</v>
      </c>
      <c r="E22" s="570"/>
      <c r="F22" s="570"/>
      <c r="G22" s="570">
        <v>3472.6390200000001</v>
      </c>
      <c r="H22" s="570"/>
      <c r="I22" s="575"/>
      <c r="J22" s="575">
        <v>142.94950249515603</v>
      </c>
      <c r="K22" s="575"/>
      <c r="L22" s="575"/>
      <c r="M22" s="575">
        <v>96.036125792730758</v>
      </c>
    </row>
    <row r="23" spans="2:13" s="538" customFormat="1" ht="13.5" customHeight="1">
      <c r="B23" s="561" t="s">
        <v>449</v>
      </c>
      <c r="C23" s="570">
        <v>2570.6178313387245</v>
      </c>
      <c r="D23" s="570">
        <v>271.45415000000003</v>
      </c>
      <c r="E23" s="570"/>
      <c r="F23" s="570">
        <v>22575.548831338725</v>
      </c>
      <c r="G23" s="570">
        <v>2310.1156620000002</v>
      </c>
      <c r="H23" s="570"/>
      <c r="I23" s="575">
        <v>157.43945129545352</v>
      </c>
      <c r="J23" s="575">
        <v>156.81049725237781</v>
      </c>
      <c r="K23" s="575"/>
      <c r="L23" s="575">
        <v>116.05707551473583</v>
      </c>
      <c r="M23" s="575">
        <v>108.64686960767258</v>
      </c>
    </row>
    <row r="24" spans="2:13" s="538" customFormat="1" ht="13.5" customHeight="1">
      <c r="B24" s="561" t="s">
        <v>450</v>
      </c>
      <c r="C24" s="570">
        <v>2058.9596715026391</v>
      </c>
      <c r="D24" s="570">
        <v>457.274563</v>
      </c>
      <c r="E24" s="570"/>
      <c r="F24" s="570">
        <v>49605.000671502639</v>
      </c>
      <c r="G24" s="570">
        <v>5168.686095</v>
      </c>
      <c r="H24" s="570"/>
      <c r="I24" s="575">
        <v>51.850256133764674</v>
      </c>
      <c r="J24" s="575">
        <v>103.47617226995285</v>
      </c>
      <c r="K24" s="575"/>
      <c r="L24" s="575">
        <v>99.276274212618659</v>
      </c>
      <c r="M24" s="575">
        <v>83.829800077593575</v>
      </c>
    </row>
    <row r="25" spans="2:13" s="538" customFormat="1" ht="13.5" customHeight="1">
      <c r="B25" s="561" t="s">
        <v>402</v>
      </c>
      <c r="C25" s="570">
        <v>1441.7994315450887</v>
      </c>
      <c r="D25" s="570">
        <v>776.83839399999999</v>
      </c>
      <c r="E25" s="570"/>
      <c r="F25" s="570">
        <v>10224.012431545088</v>
      </c>
      <c r="G25" s="570">
        <v>5976.7225319999998</v>
      </c>
      <c r="H25" s="570"/>
      <c r="I25" s="575">
        <v>123.45283022404314</v>
      </c>
      <c r="J25" s="575">
        <v>119.02001975904332</v>
      </c>
      <c r="K25" s="575"/>
      <c r="L25" s="575">
        <v>99.090224442817714</v>
      </c>
      <c r="M25" s="575">
        <v>93.722231703385745</v>
      </c>
    </row>
    <row r="26" spans="2:13" s="538" customFormat="1" ht="13.5" customHeight="1">
      <c r="B26" s="561" t="s">
        <v>451</v>
      </c>
      <c r="C26" s="570">
        <v>761.68609734628546</v>
      </c>
      <c r="D26" s="570">
        <v>521.45755599999995</v>
      </c>
      <c r="E26" s="570"/>
      <c r="F26" s="570">
        <v>7628.7990973462856</v>
      </c>
      <c r="G26" s="570">
        <v>5210.1653900000001</v>
      </c>
      <c r="H26" s="570"/>
      <c r="I26" s="575">
        <v>117.51187132952452</v>
      </c>
      <c r="J26" s="575">
        <v>119.43700431441115</v>
      </c>
      <c r="K26" s="575"/>
      <c r="L26" s="575">
        <v>101.38131657978731</v>
      </c>
      <c r="M26" s="575">
        <v>87.879732784142078</v>
      </c>
    </row>
    <row r="27" spans="2:13" s="538" customFormat="1" ht="13.5" customHeight="1">
      <c r="B27" s="561" t="s">
        <v>452</v>
      </c>
      <c r="C27" s="570">
        <v>269.61224636379887</v>
      </c>
      <c r="D27" s="570">
        <v>148.37154799999999</v>
      </c>
      <c r="E27" s="570"/>
      <c r="F27" s="570">
        <v>2418.6112463637987</v>
      </c>
      <c r="G27" s="570">
        <v>1493.637031</v>
      </c>
      <c r="H27" s="570"/>
      <c r="I27" s="575">
        <v>129.72230600939139</v>
      </c>
      <c r="J27" s="575">
        <v>109.41955438379777</v>
      </c>
      <c r="K27" s="575"/>
      <c r="L27" s="575">
        <v>101.37913913070702</v>
      </c>
      <c r="M27" s="575">
        <v>97.062929972197594</v>
      </c>
    </row>
    <row r="28" spans="2:13" s="538" customFormat="1" ht="13.5" customHeight="1">
      <c r="B28" s="561" t="s">
        <v>453</v>
      </c>
      <c r="C28" s="570"/>
      <c r="D28" s="570">
        <v>206.18903800000001</v>
      </c>
      <c r="E28" s="570"/>
      <c r="F28" s="570"/>
      <c r="G28" s="570">
        <v>1457.298927</v>
      </c>
      <c r="H28" s="570"/>
      <c r="I28" s="575"/>
      <c r="J28" s="575">
        <v>181.86421542772834</v>
      </c>
      <c r="K28" s="575"/>
      <c r="L28" s="575"/>
      <c r="M28" s="575">
        <v>114.8017734916849</v>
      </c>
    </row>
    <row r="29" spans="2:13" s="538" customFormat="1" ht="13.5" customHeight="1">
      <c r="B29" s="561" t="s">
        <v>454</v>
      </c>
      <c r="C29" s="570"/>
      <c r="D29" s="570">
        <v>653.87765000000002</v>
      </c>
      <c r="E29" s="570"/>
      <c r="F29" s="570"/>
      <c r="G29" s="570">
        <v>5912.9526699999997</v>
      </c>
      <c r="H29" s="570"/>
      <c r="I29" s="575"/>
      <c r="J29" s="575">
        <v>101.55267276574654</v>
      </c>
      <c r="K29" s="575"/>
      <c r="L29" s="575"/>
      <c r="M29" s="575">
        <v>94.054114071773228</v>
      </c>
    </row>
    <row r="30" spans="2:13" s="538" customFormat="1" ht="13.5" customHeight="1">
      <c r="B30" s="561" t="s">
        <v>455</v>
      </c>
      <c r="C30" s="570"/>
      <c r="D30" s="570">
        <v>696.95621900000003</v>
      </c>
      <c r="E30" s="570"/>
      <c r="F30" s="570"/>
      <c r="G30" s="570">
        <v>5879.7121980000002</v>
      </c>
      <c r="H30" s="570"/>
      <c r="I30" s="575"/>
      <c r="J30" s="575">
        <v>115.72883734146954</v>
      </c>
      <c r="K30" s="575"/>
      <c r="L30" s="575"/>
      <c r="M30" s="575">
        <v>102.55018510995572</v>
      </c>
    </row>
    <row r="31" spans="2:13" s="538" customFormat="1" ht="13.5" customHeight="1">
      <c r="B31" s="561" t="s">
        <v>456</v>
      </c>
      <c r="C31" s="570"/>
      <c r="D31" s="570">
        <v>414.50946099999999</v>
      </c>
      <c r="E31" s="570"/>
      <c r="F31" s="570"/>
      <c r="G31" s="570">
        <v>3212.5569770000002</v>
      </c>
      <c r="H31" s="570"/>
      <c r="I31" s="575"/>
      <c r="J31" s="575">
        <v>110.70003120254195</v>
      </c>
      <c r="K31" s="575"/>
      <c r="L31" s="575"/>
      <c r="M31" s="575">
        <v>102.25662920197705</v>
      </c>
    </row>
    <row r="32" spans="2:13" s="538" customFormat="1" ht="13.5" customHeight="1">
      <c r="B32" s="561" t="s">
        <v>457</v>
      </c>
      <c r="C32" s="570">
        <v>499.58684332430107</v>
      </c>
      <c r="D32" s="570">
        <v>193.44547800000001</v>
      </c>
      <c r="E32" s="570"/>
      <c r="F32" s="570">
        <v>4838.5398433243017</v>
      </c>
      <c r="G32" s="570">
        <v>1703.6109389999999</v>
      </c>
      <c r="H32" s="570"/>
      <c r="I32" s="575">
        <v>131.72813174328189</v>
      </c>
      <c r="J32" s="575">
        <v>137.45769151247589</v>
      </c>
      <c r="K32" s="575"/>
      <c r="L32" s="575">
        <v>125.34025235509512</v>
      </c>
      <c r="M32" s="575">
        <v>132.60825368616159</v>
      </c>
    </row>
    <row r="33" spans="2:14" s="538" customFormat="1" ht="13.5" customHeight="1">
      <c r="B33" s="561" t="s">
        <v>458</v>
      </c>
      <c r="C33" s="570"/>
      <c r="D33" s="570">
        <v>136.728477</v>
      </c>
      <c r="E33" s="570"/>
      <c r="F33" s="570"/>
      <c r="G33" s="570">
        <v>1128.1422130000001</v>
      </c>
      <c r="H33" s="570"/>
      <c r="I33" s="575"/>
      <c r="J33" s="575">
        <v>117.67768282220892</v>
      </c>
      <c r="K33" s="575"/>
      <c r="L33" s="575"/>
      <c r="M33" s="575">
        <v>106.8602116000055</v>
      </c>
    </row>
    <row r="34" spans="2:14" s="538" customFormat="1" ht="13.5" customHeight="1">
      <c r="B34" s="561" t="s">
        <v>459</v>
      </c>
      <c r="C34" s="570">
        <v>786.88232800715343</v>
      </c>
      <c r="D34" s="570">
        <v>1007.216809</v>
      </c>
      <c r="E34" s="570"/>
      <c r="F34" s="570">
        <v>7137.5553280071535</v>
      </c>
      <c r="G34" s="570">
        <v>9370.4006360000003</v>
      </c>
      <c r="H34" s="570"/>
      <c r="I34" s="575">
        <v>115.1982420501551</v>
      </c>
      <c r="J34" s="575">
        <v>105.77402034933429</v>
      </c>
      <c r="K34" s="575"/>
      <c r="L34" s="575">
        <v>116.57940352326202</v>
      </c>
      <c r="M34" s="575">
        <v>108.91056886699026</v>
      </c>
    </row>
    <row r="35" spans="2:14" s="538" customFormat="1" ht="13.5" customHeight="1">
      <c r="B35" s="561" t="s">
        <v>421</v>
      </c>
      <c r="C35" s="570"/>
      <c r="D35" s="570">
        <v>979.06867899999997</v>
      </c>
      <c r="E35" s="570"/>
      <c r="F35" s="570"/>
      <c r="G35" s="570">
        <v>7868.1939949999996</v>
      </c>
      <c r="H35" s="570"/>
      <c r="I35" s="575"/>
      <c r="J35" s="575">
        <v>133.61794903343235</v>
      </c>
      <c r="K35" s="575"/>
      <c r="L35" s="575"/>
      <c r="M35" s="575">
        <v>121.47961343063314</v>
      </c>
    </row>
    <row r="36" spans="2:14" s="538" customFormat="1" ht="13.5" customHeight="1">
      <c r="B36" s="561" t="s">
        <v>422</v>
      </c>
      <c r="C36" s="570">
        <v>148.14956596771816</v>
      </c>
      <c r="D36" s="570">
        <v>233.42042799999999</v>
      </c>
      <c r="E36" s="570"/>
      <c r="F36" s="570">
        <v>1328.5755659677181</v>
      </c>
      <c r="G36" s="570">
        <v>2186.3735310000002</v>
      </c>
      <c r="H36" s="570"/>
      <c r="I36" s="575">
        <v>95.041388492175443</v>
      </c>
      <c r="J36" s="575">
        <v>91.519935618262494</v>
      </c>
      <c r="K36" s="575"/>
      <c r="L36" s="575">
        <v>103.18336283045093</v>
      </c>
      <c r="M36" s="575">
        <v>110.73737598447025</v>
      </c>
    </row>
    <row r="37" spans="2:14" s="538" customFormat="1" ht="13.5" customHeight="1">
      <c r="B37" s="561" t="s">
        <v>423</v>
      </c>
      <c r="C37" s="570"/>
      <c r="D37" s="570">
        <v>104.823948</v>
      </c>
      <c r="E37" s="570"/>
      <c r="F37" s="570"/>
      <c r="G37" s="570">
        <v>915.84932400000002</v>
      </c>
      <c r="H37" s="570"/>
      <c r="I37" s="575"/>
      <c r="J37" s="575">
        <v>117.00825382775707</v>
      </c>
      <c r="K37" s="575"/>
      <c r="L37" s="575"/>
      <c r="M37" s="575">
        <v>116.34872528358096</v>
      </c>
    </row>
    <row r="38" spans="2:14" s="538" customFormat="1" ht="13.5" customHeight="1">
      <c r="B38" s="561" t="s">
        <v>425</v>
      </c>
      <c r="C38" s="570"/>
      <c r="D38" s="570">
        <v>264.99275699999998</v>
      </c>
      <c r="E38" s="570"/>
      <c r="F38" s="570"/>
      <c r="G38" s="570">
        <v>2375.2188040000001</v>
      </c>
      <c r="H38" s="570"/>
      <c r="I38" s="575"/>
      <c r="J38" s="575">
        <v>112.74689692487155</v>
      </c>
      <c r="K38" s="575"/>
      <c r="L38" s="575"/>
      <c r="M38" s="575">
        <v>116.66344296736651</v>
      </c>
    </row>
    <row r="39" spans="2:14" s="538" customFormat="1" ht="13.5" customHeight="1">
      <c r="B39" s="561" t="s">
        <v>460</v>
      </c>
      <c r="C39" s="570">
        <v>273.58942013156638</v>
      </c>
      <c r="D39" s="570">
        <v>210.569008</v>
      </c>
      <c r="E39" s="570"/>
      <c r="F39" s="570">
        <v>2227.5194201315662</v>
      </c>
      <c r="G39" s="570">
        <v>1810.78</v>
      </c>
      <c r="H39" s="570"/>
      <c r="I39" s="575">
        <v>126.41654389474417</v>
      </c>
      <c r="J39" s="575">
        <v>112.42935883595099</v>
      </c>
      <c r="K39" s="575"/>
      <c r="L39" s="575">
        <v>120.11687607883515</v>
      </c>
      <c r="M39" s="575">
        <v>110.30142781396677</v>
      </c>
      <c r="N39" s="577"/>
    </row>
    <row r="40" spans="2:14" s="538" customFormat="1" ht="13.5" customHeight="1">
      <c r="B40" s="561" t="s">
        <v>461</v>
      </c>
      <c r="C40" s="570"/>
      <c r="D40" s="570">
        <v>125.268332</v>
      </c>
      <c r="E40" s="570"/>
      <c r="F40" s="570"/>
      <c r="G40" s="570">
        <v>951.11930199999995</v>
      </c>
      <c r="H40" s="570"/>
      <c r="I40" s="575"/>
      <c r="J40" s="575">
        <v>118.16522198868707</v>
      </c>
      <c r="K40" s="575"/>
      <c r="L40" s="575"/>
      <c r="M40" s="575">
        <v>120.11902830474777</v>
      </c>
    </row>
    <row r="41" spans="2:14" s="538" customFormat="1" ht="13.5" customHeight="1">
      <c r="B41" s="561" t="s">
        <v>462</v>
      </c>
      <c r="C41" s="570">
        <v>101.76269289758562</v>
      </c>
      <c r="D41" s="570">
        <v>166.89256800000001</v>
      </c>
      <c r="E41" s="570"/>
      <c r="F41" s="570">
        <v>1328.2756928975855</v>
      </c>
      <c r="G41" s="570">
        <v>2259.948363</v>
      </c>
      <c r="H41" s="570"/>
      <c r="I41" s="575">
        <v>84.29646528958385</v>
      </c>
      <c r="J41" s="575">
        <v>75.667840709953197</v>
      </c>
      <c r="K41" s="575"/>
      <c r="L41" s="575">
        <v>119.78836606666943</v>
      </c>
      <c r="M41" s="575">
        <v>103.23834687733076</v>
      </c>
    </row>
    <row r="42" spans="2:14" s="538" customFormat="1" ht="13.5" customHeight="1">
      <c r="B42" s="561" t="s">
        <v>463</v>
      </c>
      <c r="C42" s="570">
        <v>108.75667382673657</v>
      </c>
      <c r="D42" s="570">
        <v>234.56204500000001</v>
      </c>
      <c r="E42" s="570"/>
      <c r="F42" s="570">
        <v>957.5056738267366</v>
      </c>
      <c r="G42" s="570">
        <v>2111.4190669999998</v>
      </c>
      <c r="H42" s="570"/>
      <c r="I42" s="575">
        <v>112.89776380303178</v>
      </c>
      <c r="J42" s="575">
        <v>107.44307176917502</v>
      </c>
      <c r="K42" s="575"/>
      <c r="L42" s="575">
        <v>106.02209385770165</v>
      </c>
      <c r="M42" s="575">
        <v>105.33430792447088</v>
      </c>
    </row>
    <row r="43" spans="2:14" s="538" customFormat="1" ht="13.5" customHeight="1">
      <c r="B43" s="561" t="s">
        <v>464</v>
      </c>
      <c r="C43" s="570"/>
      <c r="D43" s="570">
        <v>1306.0176759999999</v>
      </c>
      <c r="E43" s="570"/>
      <c r="F43" s="570"/>
      <c r="G43" s="570">
        <v>11225.90538</v>
      </c>
      <c r="H43" s="570"/>
      <c r="I43" s="575"/>
      <c r="J43" s="575">
        <v>104.08793487312755</v>
      </c>
      <c r="K43" s="575"/>
      <c r="L43" s="575"/>
      <c r="M43" s="575">
        <v>102.28387316729963</v>
      </c>
    </row>
    <row r="44" spans="2:14" s="538" customFormat="1" ht="13.5" customHeight="1">
      <c r="B44" s="561" t="s">
        <v>465</v>
      </c>
      <c r="C44" s="570"/>
      <c r="D44" s="570">
        <v>661.935382</v>
      </c>
      <c r="E44" s="570"/>
      <c r="F44" s="570"/>
      <c r="G44" s="570">
        <v>5408.2392049999999</v>
      </c>
      <c r="H44" s="570"/>
      <c r="I44" s="575"/>
      <c r="J44" s="575">
        <v>100.99567502236526</v>
      </c>
      <c r="K44" s="575"/>
      <c r="L44" s="575"/>
      <c r="M44" s="575">
        <v>102.58459921675798</v>
      </c>
    </row>
    <row r="45" spans="2:14" s="538" customFormat="1" ht="13.5" customHeight="1">
      <c r="B45" s="561" t="s">
        <v>431</v>
      </c>
      <c r="C45" s="570"/>
      <c r="D45" s="570">
        <v>124.660113</v>
      </c>
      <c r="E45" s="570"/>
      <c r="F45" s="570"/>
      <c r="G45" s="570">
        <v>1027.6143669999999</v>
      </c>
      <c r="H45" s="570"/>
      <c r="I45" s="575"/>
      <c r="J45" s="575">
        <v>131.70850135238285</v>
      </c>
      <c r="K45" s="575"/>
      <c r="L45" s="575"/>
      <c r="M45" s="575">
        <v>87.490062330834277</v>
      </c>
    </row>
    <row r="46" spans="2:14" s="538" customFormat="1" ht="13.5" customHeight="1">
      <c r="B46" s="561" t="s">
        <v>466</v>
      </c>
      <c r="C46" s="570">
        <v>548.4006211763334</v>
      </c>
      <c r="D46" s="570">
        <v>168.55655400000001</v>
      </c>
      <c r="E46" s="570"/>
      <c r="F46" s="570">
        <v>4607.1976211763331</v>
      </c>
      <c r="G46" s="570">
        <v>1482.3961509999999</v>
      </c>
      <c r="H46" s="570"/>
      <c r="I46" s="575">
        <v>178.24138652931308</v>
      </c>
      <c r="J46" s="575">
        <v>148.38578172809883</v>
      </c>
      <c r="K46" s="575"/>
      <c r="L46" s="575">
        <v>130.31549936036794</v>
      </c>
      <c r="M46" s="575">
        <v>111.33272961707166</v>
      </c>
    </row>
    <row r="47" spans="2:14" s="538" customFormat="1" ht="13.5" customHeight="1">
      <c r="B47" s="561" t="s">
        <v>467</v>
      </c>
      <c r="C47" s="570">
        <v>1124.9598914250528</v>
      </c>
      <c r="D47" s="570">
        <v>804.12527599999999</v>
      </c>
      <c r="E47" s="570"/>
      <c r="F47" s="570">
        <v>11196.997891425053</v>
      </c>
      <c r="G47" s="570">
        <v>7979.4220230000001</v>
      </c>
      <c r="H47" s="570"/>
      <c r="I47" s="575">
        <v>72.609021745728512</v>
      </c>
      <c r="J47" s="575">
        <v>75.362888290753432</v>
      </c>
      <c r="K47" s="575"/>
      <c r="L47" s="575">
        <v>91.127327463960711</v>
      </c>
      <c r="M47" s="575">
        <v>88.969112966723316</v>
      </c>
    </row>
    <row r="48" spans="2:14" s="538" customFormat="1" ht="13.5" customHeight="1">
      <c r="B48" s="561" t="s">
        <v>433</v>
      </c>
      <c r="C48" s="570"/>
      <c r="D48" s="570">
        <v>728.66335000000004</v>
      </c>
      <c r="E48" s="570"/>
      <c r="F48" s="570"/>
      <c r="G48" s="570">
        <v>5934.0652959999998</v>
      </c>
      <c r="H48" s="570"/>
      <c r="I48" s="575"/>
      <c r="J48" s="575">
        <v>137.91676501246167</v>
      </c>
      <c r="K48" s="575"/>
      <c r="L48" s="575"/>
      <c r="M48" s="575">
        <v>125.48028689601141</v>
      </c>
    </row>
    <row r="49" spans="1:13" s="538" customFormat="1" ht="13.5" customHeight="1">
      <c r="B49" s="561" t="s">
        <v>468</v>
      </c>
      <c r="C49" s="570">
        <v>186.33654950302233</v>
      </c>
      <c r="D49" s="570">
        <v>883.21862599999997</v>
      </c>
      <c r="E49" s="570"/>
      <c r="F49" s="570">
        <v>1717.7455495030224</v>
      </c>
      <c r="G49" s="570">
        <v>8171.5568439999997</v>
      </c>
      <c r="H49" s="570"/>
      <c r="I49" s="575">
        <v>108.713805347123</v>
      </c>
      <c r="J49" s="575">
        <v>117.00836207690264</v>
      </c>
      <c r="K49" s="575"/>
      <c r="L49" s="575">
        <v>107.40420661071539</v>
      </c>
      <c r="M49" s="575">
        <v>116.59833341510191</v>
      </c>
    </row>
    <row r="50" spans="1:13" s="538" customFormat="1" ht="13.5" customHeight="1">
      <c r="B50" s="561" t="s">
        <v>469</v>
      </c>
      <c r="C50" s="570"/>
      <c r="D50" s="570">
        <v>459.64732900000001</v>
      </c>
      <c r="E50" s="570"/>
      <c r="F50" s="570"/>
      <c r="G50" s="570">
        <v>3511.730243</v>
      </c>
      <c r="H50" s="570"/>
      <c r="I50" s="575"/>
      <c r="J50" s="575">
        <v>179.35486672611225</v>
      </c>
      <c r="K50" s="575"/>
      <c r="L50" s="575"/>
      <c r="M50" s="575">
        <v>150.00738994788219</v>
      </c>
    </row>
    <row r="51" spans="1:13" s="538" customFormat="1" ht="13.5" customHeight="1">
      <c r="B51" s="561" t="s">
        <v>435</v>
      </c>
      <c r="C51" s="570"/>
      <c r="D51" s="570">
        <v>13937.878057</v>
      </c>
      <c r="E51" s="570"/>
      <c r="F51" s="570"/>
      <c r="G51" s="570">
        <v>109975.224694</v>
      </c>
      <c r="H51" s="570"/>
      <c r="I51" s="575"/>
      <c r="J51" s="575">
        <v>143.59775428938076</v>
      </c>
      <c r="K51" s="575"/>
      <c r="L51" s="575"/>
      <c r="M51" s="575">
        <v>138.98502252146611</v>
      </c>
    </row>
    <row r="52" spans="1:13" s="538" customFormat="1" ht="13.5" customHeight="1">
      <c r="B52" s="561" t="s">
        <v>470</v>
      </c>
      <c r="C52" s="570"/>
      <c r="D52" s="570">
        <v>153.519555</v>
      </c>
      <c r="E52" s="570"/>
      <c r="F52" s="570"/>
      <c r="G52" s="570">
        <v>1903.8376330000001</v>
      </c>
      <c r="H52" s="570"/>
      <c r="I52" s="575"/>
      <c r="J52" s="575">
        <v>101.92487124644573</v>
      </c>
      <c r="K52" s="575"/>
      <c r="L52" s="575"/>
      <c r="M52" s="575">
        <v>111.58890498994396</v>
      </c>
    </row>
    <row r="53" spans="1:13" s="538" customFormat="1" ht="13.5" customHeight="1">
      <c r="B53" s="561" t="s">
        <v>436</v>
      </c>
      <c r="C53" s="570"/>
      <c r="D53" s="570">
        <v>1207.102881</v>
      </c>
      <c r="E53" s="570"/>
      <c r="F53" s="570"/>
      <c r="G53" s="570">
        <v>8194.0245090000008</v>
      </c>
      <c r="H53" s="570"/>
      <c r="I53" s="575"/>
      <c r="J53" s="575">
        <v>115.54028805521577</v>
      </c>
      <c r="K53" s="575"/>
      <c r="L53" s="575"/>
      <c r="M53" s="575">
        <v>110.96423223058727</v>
      </c>
    </row>
    <row r="54" spans="1:13" s="538" customFormat="1" ht="13.5" customHeight="1">
      <c r="B54" s="561" t="s">
        <v>437</v>
      </c>
      <c r="C54" s="570"/>
      <c r="D54" s="570">
        <v>233.40343799999999</v>
      </c>
      <c r="E54" s="570"/>
      <c r="F54" s="570"/>
      <c r="G54" s="570">
        <v>1831.427635</v>
      </c>
      <c r="H54" s="570"/>
      <c r="I54" s="575"/>
      <c r="J54" s="575">
        <v>133.48406897966177</v>
      </c>
      <c r="K54" s="575"/>
      <c r="L54" s="575"/>
      <c r="M54" s="575">
        <v>111.43687556622885</v>
      </c>
    </row>
    <row r="55" spans="1:13" s="538" customFormat="1" ht="13.5" customHeight="1">
      <c r="B55" s="566" t="s">
        <v>438</v>
      </c>
      <c r="C55" s="570"/>
      <c r="D55" s="570">
        <v>5407.8379670000004</v>
      </c>
      <c r="E55" s="570"/>
      <c r="F55" s="570"/>
      <c r="G55" s="570">
        <v>44266.057256</v>
      </c>
      <c r="H55" s="570"/>
      <c r="I55" s="575"/>
      <c r="J55" s="575">
        <v>133.55801405818755</v>
      </c>
      <c r="K55" s="575"/>
      <c r="L55" s="575"/>
      <c r="M55" s="575">
        <v>124.7396140073767</v>
      </c>
    </row>
    <row r="56" spans="1:13" s="538" customFormat="1" ht="13.5" customHeight="1">
      <c r="B56" s="561" t="s">
        <v>439</v>
      </c>
      <c r="C56" s="570"/>
      <c r="D56" s="570">
        <v>374.27875399999999</v>
      </c>
      <c r="E56" s="570"/>
      <c r="F56" s="570"/>
      <c r="G56" s="570">
        <v>3357.6643989999998</v>
      </c>
      <c r="H56" s="570"/>
      <c r="I56" s="575"/>
      <c r="J56" s="575">
        <v>140.60216937532857</v>
      </c>
      <c r="K56" s="575"/>
      <c r="L56" s="575"/>
      <c r="M56" s="575">
        <v>137.89702575126802</v>
      </c>
    </row>
    <row r="57" spans="1:13" s="538" customFormat="1" ht="13.5" customHeight="1">
      <c r="B57" s="561" t="s">
        <v>158</v>
      </c>
      <c r="C57" s="570"/>
      <c r="D57" s="570">
        <v>893.36005999999998</v>
      </c>
      <c r="E57" s="570"/>
      <c r="F57" s="570"/>
      <c r="G57" s="570">
        <v>7528.159549</v>
      </c>
      <c r="H57" s="570"/>
      <c r="I57" s="575"/>
      <c r="J57" s="575">
        <v>107.52446738432792</v>
      </c>
      <c r="K57" s="575"/>
      <c r="L57" s="575"/>
      <c r="M57" s="575">
        <v>126.6314884972964</v>
      </c>
    </row>
    <row r="58" spans="1:13" s="538" customFormat="1" ht="13.5" customHeight="1">
      <c r="B58" s="561" t="s">
        <v>471</v>
      </c>
      <c r="C58" s="570">
        <v>18270.815318696801</v>
      </c>
      <c r="D58" s="570">
        <v>401.615298</v>
      </c>
      <c r="E58" s="570"/>
      <c r="F58" s="570">
        <v>156091.81531869681</v>
      </c>
      <c r="G58" s="570">
        <v>3418.0381699999998</v>
      </c>
      <c r="H58" s="570"/>
      <c r="I58" s="575">
        <v>98.755825732105293</v>
      </c>
      <c r="J58" s="575">
        <v>106.02063192198963</v>
      </c>
      <c r="K58" s="575"/>
      <c r="L58" s="575">
        <v>124.82252466489416</v>
      </c>
      <c r="M58" s="575">
        <v>133.30994486262409</v>
      </c>
    </row>
    <row r="59" spans="1:13" s="538" customFormat="1" ht="13.5" customHeight="1">
      <c r="B59" s="561" t="s">
        <v>472</v>
      </c>
      <c r="C59" s="570"/>
      <c r="D59" s="570">
        <v>91.148732999999993</v>
      </c>
      <c r="E59" s="570"/>
      <c r="F59" s="570"/>
      <c r="G59" s="570">
        <v>1060.674802</v>
      </c>
      <c r="H59" s="570"/>
      <c r="I59" s="575"/>
      <c r="J59" s="575">
        <v>97.323231194554666</v>
      </c>
      <c r="K59" s="575"/>
      <c r="L59" s="575"/>
      <c r="M59" s="575">
        <v>102.13459991129032</v>
      </c>
    </row>
    <row r="60" spans="1:13" s="579" customFormat="1" ht="13.5" customHeight="1">
      <c r="A60" s="538"/>
      <c r="B60" s="578" t="s">
        <v>473</v>
      </c>
      <c r="C60" s="538"/>
      <c r="D60" s="538"/>
      <c r="E60" s="538"/>
      <c r="F60" s="538"/>
      <c r="G60" s="538"/>
      <c r="H60" s="538"/>
      <c r="I60" s="538"/>
      <c r="J60" s="538"/>
      <c r="K60" s="538"/>
      <c r="L60" s="538"/>
      <c r="M60" s="538"/>
    </row>
    <row r="61" spans="1:13">
      <c r="B61" s="537"/>
      <c r="C61" s="538"/>
      <c r="D61" s="538"/>
      <c r="E61" s="538"/>
      <c r="F61" s="538"/>
      <c r="G61" s="538"/>
      <c r="H61" s="538"/>
      <c r="I61" s="538"/>
      <c r="J61" s="538"/>
      <c r="K61" s="538"/>
      <c r="L61" s="538"/>
      <c r="M61" s="538"/>
    </row>
    <row r="62" spans="1:13">
      <c r="B62" s="581"/>
      <c r="C62" s="582"/>
      <c r="D62" s="582"/>
      <c r="E62" s="582"/>
      <c r="F62" s="582"/>
      <c r="G62" s="582"/>
      <c r="H62" s="582"/>
      <c r="I62" s="582"/>
      <c r="J62" s="582"/>
      <c r="K62" s="582"/>
      <c r="L62" s="582"/>
      <c r="M62" s="582"/>
    </row>
    <row r="63" spans="1:13">
      <c r="B63" s="583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</row>
    <row r="64" spans="1:13">
      <c r="B64" s="583"/>
      <c r="C64" s="535"/>
      <c r="D64" s="535"/>
      <c r="E64" s="535"/>
      <c r="F64" s="535"/>
      <c r="G64" s="535"/>
      <c r="H64" s="535"/>
      <c r="I64" s="535"/>
      <c r="J64" s="535"/>
      <c r="K64" s="535"/>
      <c r="L64" s="535"/>
      <c r="M64" s="535"/>
    </row>
    <row r="65" spans="2:13">
      <c r="C65" s="535"/>
      <c r="D65" s="535"/>
      <c r="E65" s="535"/>
      <c r="F65" s="535"/>
      <c r="G65" s="535"/>
      <c r="H65" s="535"/>
      <c r="I65" s="535"/>
      <c r="J65" s="535"/>
      <c r="K65" s="535"/>
      <c r="L65" s="535"/>
      <c r="M65" s="535"/>
    </row>
    <row r="66" spans="2:13">
      <c r="C66" s="535"/>
      <c r="D66" s="535"/>
      <c r="E66" s="535"/>
      <c r="F66" s="535"/>
      <c r="G66" s="535"/>
      <c r="H66" s="535"/>
      <c r="I66" s="535"/>
      <c r="J66" s="535"/>
      <c r="K66" s="535"/>
      <c r="L66" s="535"/>
      <c r="M66" s="535"/>
    </row>
    <row r="67" spans="2:13">
      <c r="C67" s="535"/>
      <c r="D67" s="535"/>
      <c r="E67" s="535"/>
      <c r="F67" s="535"/>
      <c r="G67" s="535"/>
      <c r="H67" s="535"/>
      <c r="I67" s="535"/>
      <c r="J67" s="535"/>
      <c r="K67" s="535"/>
      <c r="L67" s="535"/>
      <c r="M67" s="535"/>
    </row>
    <row r="68" spans="2:13">
      <c r="C68" s="535"/>
      <c r="D68" s="535"/>
      <c r="E68" s="535"/>
      <c r="F68" s="535"/>
      <c r="G68" s="535"/>
      <c r="H68" s="535"/>
      <c r="I68" s="535"/>
      <c r="J68" s="535"/>
      <c r="K68" s="535"/>
      <c r="L68" s="535"/>
      <c r="M68" s="535"/>
    </row>
    <row r="69" spans="2:13">
      <c r="C69" s="535"/>
      <c r="D69" s="535"/>
      <c r="E69" s="535"/>
      <c r="F69" s="535"/>
      <c r="G69" s="535"/>
      <c r="H69" s="535"/>
      <c r="I69" s="535"/>
      <c r="J69" s="535"/>
      <c r="K69" s="535"/>
      <c r="L69" s="535"/>
      <c r="M69" s="535"/>
    </row>
    <row r="70" spans="2:13">
      <c r="C70" s="535"/>
      <c r="D70" s="535"/>
      <c r="E70" s="535"/>
      <c r="F70" s="535"/>
      <c r="G70" s="535"/>
      <c r="H70" s="535"/>
      <c r="I70" s="535"/>
      <c r="J70" s="535"/>
      <c r="K70" s="535"/>
      <c r="L70" s="535"/>
      <c r="M70" s="535"/>
    </row>
    <row r="71" spans="2:13">
      <c r="C71" s="535"/>
      <c r="D71" s="535"/>
      <c r="E71" s="535"/>
      <c r="F71" s="535"/>
      <c r="G71" s="535"/>
      <c r="H71" s="535"/>
      <c r="I71" s="535"/>
      <c r="J71" s="535"/>
      <c r="K71" s="535"/>
      <c r="L71" s="535"/>
      <c r="M71" s="535"/>
    </row>
    <row r="72" spans="2:13">
      <c r="C72" s="535"/>
      <c r="D72" s="535"/>
      <c r="E72" s="535"/>
      <c r="F72" s="535"/>
      <c r="G72" s="535"/>
      <c r="H72" s="535"/>
      <c r="I72" s="535"/>
      <c r="J72" s="535"/>
      <c r="K72" s="535"/>
      <c r="L72" s="535"/>
      <c r="M72" s="535"/>
    </row>
    <row r="73" spans="2:13">
      <c r="C73" s="535"/>
      <c r="D73" s="535"/>
      <c r="E73" s="535"/>
      <c r="F73" s="535"/>
      <c r="G73" s="535"/>
      <c r="H73" s="535"/>
      <c r="I73" s="535"/>
      <c r="J73" s="535"/>
      <c r="K73" s="535"/>
      <c r="L73" s="535"/>
      <c r="M73" s="535"/>
    </row>
    <row r="74" spans="2:13">
      <c r="C74" s="535"/>
      <c r="D74" s="535"/>
      <c r="E74" s="535"/>
      <c r="F74" s="535"/>
      <c r="G74" s="535"/>
      <c r="H74" s="535"/>
      <c r="I74" s="535"/>
      <c r="J74" s="535"/>
      <c r="K74" s="535"/>
      <c r="L74" s="535"/>
      <c r="M74" s="535"/>
    </row>
    <row r="75" spans="2:13">
      <c r="C75" s="535"/>
      <c r="D75" s="535"/>
      <c r="E75" s="535"/>
      <c r="F75" s="535"/>
      <c r="G75" s="535"/>
      <c r="H75" s="535"/>
      <c r="I75" s="535"/>
      <c r="J75" s="535"/>
      <c r="K75" s="535"/>
      <c r="L75" s="535"/>
      <c r="M75" s="535"/>
    </row>
    <row r="76" spans="2:13">
      <c r="C76" s="535"/>
      <c r="D76" s="535"/>
      <c r="E76" s="535"/>
      <c r="F76" s="535"/>
      <c r="G76" s="535"/>
      <c r="H76" s="535"/>
      <c r="I76" s="535"/>
      <c r="J76" s="535"/>
      <c r="K76" s="535"/>
      <c r="L76" s="535"/>
      <c r="M76" s="535"/>
    </row>
    <row r="77" spans="2:13">
      <c r="C77" s="535"/>
      <c r="D77" s="535"/>
      <c r="E77" s="535"/>
      <c r="F77" s="535"/>
      <c r="G77" s="535"/>
      <c r="H77" s="535"/>
      <c r="I77" s="535"/>
      <c r="J77" s="535"/>
      <c r="K77" s="535"/>
      <c r="L77" s="535"/>
      <c r="M77" s="535"/>
    </row>
    <row r="78" spans="2:13">
      <c r="C78" s="535"/>
      <c r="D78" s="535"/>
      <c r="E78" s="535"/>
      <c r="F78" s="535"/>
      <c r="G78" s="535"/>
      <c r="H78" s="535"/>
      <c r="I78" s="535"/>
      <c r="J78" s="535"/>
      <c r="K78" s="535"/>
      <c r="L78" s="535"/>
      <c r="M78" s="535"/>
    </row>
    <row r="79" spans="2:13">
      <c r="B79" s="580"/>
      <c r="C79" s="535"/>
      <c r="D79" s="535"/>
      <c r="E79" s="535"/>
      <c r="F79" s="535"/>
      <c r="G79" s="535"/>
      <c r="H79" s="535"/>
      <c r="I79" s="535"/>
      <c r="J79" s="535"/>
      <c r="K79" s="535"/>
      <c r="L79" s="535"/>
      <c r="M79" s="535"/>
    </row>
    <row r="80" spans="2:13">
      <c r="B80" s="580"/>
      <c r="C80" s="535"/>
      <c r="D80" s="535"/>
      <c r="E80" s="535"/>
      <c r="F80" s="535"/>
      <c r="G80" s="535"/>
      <c r="H80" s="535"/>
      <c r="I80" s="535"/>
      <c r="J80" s="535"/>
      <c r="K80" s="535"/>
      <c r="L80" s="535"/>
      <c r="M80" s="535"/>
    </row>
    <row r="81" spans="2:13">
      <c r="B81" s="580"/>
      <c r="C81" s="535"/>
      <c r="D81" s="535"/>
      <c r="E81" s="535"/>
      <c r="F81" s="535"/>
      <c r="G81" s="535"/>
      <c r="H81" s="535"/>
      <c r="I81" s="535"/>
      <c r="J81" s="535"/>
      <c r="K81" s="535"/>
      <c r="L81" s="535"/>
      <c r="M81" s="535"/>
    </row>
    <row r="82" spans="2:13">
      <c r="B82" s="580"/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5"/>
    </row>
    <row r="83" spans="2:13">
      <c r="B83" s="580"/>
      <c r="C83" s="535"/>
      <c r="D83" s="535"/>
      <c r="E83" s="535"/>
      <c r="F83" s="535"/>
      <c r="G83" s="535"/>
      <c r="H83" s="535"/>
      <c r="I83" s="535"/>
      <c r="J83" s="535"/>
      <c r="K83" s="535"/>
      <c r="L83" s="535"/>
      <c r="M83" s="535"/>
    </row>
    <row r="84" spans="2:13">
      <c r="B84" s="580"/>
      <c r="C84" s="535"/>
      <c r="D84" s="535"/>
      <c r="E84" s="535"/>
      <c r="F84" s="535"/>
      <c r="G84" s="535"/>
      <c r="H84" s="535"/>
      <c r="I84" s="535"/>
      <c r="J84" s="535"/>
      <c r="K84" s="535"/>
      <c r="L84" s="535"/>
      <c r="M84" s="535"/>
    </row>
    <row r="85" spans="2:13">
      <c r="B85" s="580"/>
      <c r="C85" s="535"/>
      <c r="D85" s="535"/>
      <c r="E85" s="535"/>
      <c r="F85" s="535"/>
      <c r="G85" s="535"/>
      <c r="H85" s="535"/>
      <c r="I85" s="535"/>
      <c r="J85" s="535"/>
      <c r="K85" s="535"/>
      <c r="L85" s="535"/>
      <c r="M85" s="535"/>
    </row>
    <row r="86" spans="2:13">
      <c r="B86" s="580"/>
    </row>
  </sheetData>
  <mergeCells count="10">
    <mergeCell ref="C6:D6"/>
    <mergeCell ref="F6:G6"/>
    <mergeCell ref="I6:J6"/>
    <mergeCell ref="L6:M6"/>
    <mergeCell ref="C4:G4"/>
    <mergeCell ref="I4:M4"/>
    <mergeCell ref="C5:D5"/>
    <mergeCell ref="F5:G5"/>
    <mergeCell ref="I5:J5"/>
    <mergeCell ref="L5:M5"/>
  </mergeCells>
  <pageMargins left="0.86614173228346503" right="0.17" top="0.74803149606299202" bottom="0.511811023622047" header="0.43307086614173201" footer="0.31496062992126"/>
  <pageSetup paperSize="9" scale="95" orientation="portrait" r:id="rId1"/>
  <headerFooter alignWithMargins="0">
    <oddHeader>&amp;C&amp;"Times New Roman,Regular"&amp;13&amp;P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401B-9C7C-4ECB-B12E-119A3128EAF1}">
  <sheetPr>
    <pageSetUpPr fitToPage="1"/>
  </sheetPr>
  <dimension ref="A1:O63"/>
  <sheetViews>
    <sheetView workbookViewId="0">
      <selection activeCell="D13" sqref="D13"/>
    </sheetView>
  </sheetViews>
  <sheetFormatPr defaultColWidth="9.140625" defaultRowHeight="12"/>
  <cols>
    <col min="1" max="1" width="2" style="538" customWidth="1"/>
    <col min="2" max="2" width="33.5703125" style="537" customWidth="1"/>
    <col min="3" max="4" width="6.7109375" style="538" customWidth="1"/>
    <col min="5" max="5" width="0.5703125" style="538" customWidth="1"/>
    <col min="6" max="6" width="6.28515625" style="538" bestFit="1" customWidth="1"/>
    <col min="7" max="7" width="7" style="538" bestFit="1" customWidth="1"/>
    <col min="8" max="8" width="0.7109375" style="538" customWidth="1"/>
    <col min="9" max="10" width="6.85546875" style="597" customWidth="1"/>
    <col min="11" max="11" width="0.5703125" style="597" customWidth="1"/>
    <col min="12" max="13" width="7.140625" style="597" customWidth="1"/>
    <col min="14" max="16384" width="9.140625" style="538"/>
  </cols>
  <sheetData>
    <row r="1" spans="1:15" s="586" customFormat="1" ht="16.5">
      <c r="A1" s="533" t="s">
        <v>660</v>
      </c>
      <c r="B1" s="533"/>
      <c r="C1" s="533"/>
      <c r="D1" s="533"/>
      <c r="E1" s="533"/>
      <c r="F1" s="533"/>
      <c r="G1" s="533"/>
      <c r="H1" s="533"/>
      <c r="I1" s="585"/>
      <c r="J1" s="585"/>
      <c r="K1" s="585"/>
      <c r="L1" s="585"/>
      <c r="M1" s="585"/>
    </row>
    <row r="2" spans="1:15" ht="15" customHeight="1">
      <c r="A2" s="587"/>
      <c r="B2" s="587"/>
      <c r="C2" s="587"/>
      <c r="D2" s="587"/>
      <c r="E2" s="587"/>
      <c r="F2" s="587"/>
      <c r="G2" s="587"/>
      <c r="H2" s="587"/>
      <c r="I2" s="588"/>
      <c r="J2" s="588"/>
      <c r="K2" s="588"/>
      <c r="L2" s="588"/>
      <c r="M2" s="588"/>
    </row>
    <row r="3" spans="1:15" s="589" customFormat="1" ht="15" customHeight="1">
      <c r="B3" s="590"/>
      <c r="G3" s="539"/>
      <c r="H3" s="539"/>
      <c r="I3" s="539"/>
      <c r="J3" s="591"/>
      <c r="K3" s="591"/>
      <c r="L3" s="591"/>
      <c r="M3" s="541" t="s">
        <v>474</v>
      </c>
    </row>
    <row r="4" spans="1:15" ht="15" customHeight="1">
      <c r="A4" s="568"/>
      <c r="B4" s="543"/>
      <c r="C4" s="906" t="s">
        <v>2</v>
      </c>
      <c r="D4" s="906"/>
      <c r="E4" s="592"/>
      <c r="F4" s="906" t="s">
        <v>340</v>
      </c>
      <c r="G4" s="906"/>
      <c r="H4" s="906"/>
      <c r="I4" s="903" t="s">
        <v>21</v>
      </c>
      <c r="J4" s="903"/>
      <c r="K4" s="903"/>
      <c r="L4" s="903"/>
      <c r="M4" s="903"/>
    </row>
    <row r="5" spans="1:15" ht="15" customHeight="1">
      <c r="B5" s="545"/>
      <c r="C5" s="907" t="s">
        <v>22</v>
      </c>
      <c r="D5" s="907"/>
      <c r="E5" s="593"/>
      <c r="F5" s="907" t="s">
        <v>42</v>
      </c>
      <c r="G5" s="907"/>
      <c r="H5" s="907"/>
      <c r="I5" s="904" t="s">
        <v>25</v>
      </c>
      <c r="J5" s="904"/>
      <c r="K5" s="546"/>
      <c r="L5" s="904" t="s">
        <v>26</v>
      </c>
      <c r="M5" s="904"/>
    </row>
    <row r="6" spans="1:15" ht="15" customHeight="1">
      <c r="B6" s="545"/>
      <c r="C6" s="908" t="s">
        <v>53</v>
      </c>
      <c r="D6" s="908"/>
      <c r="E6" s="593"/>
      <c r="F6" s="908" t="s">
        <v>53</v>
      </c>
      <c r="G6" s="908"/>
      <c r="H6" s="594"/>
      <c r="I6" s="902" t="s">
        <v>53</v>
      </c>
      <c r="J6" s="902"/>
      <c r="K6" s="547"/>
      <c r="L6" s="902" t="s">
        <v>53</v>
      </c>
      <c r="M6" s="902"/>
    </row>
    <row r="7" spans="1:15" ht="15" customHeight="1">
      <c r="B7" s="545"/>
      <c r="C7" s="595" t="s">
        <v>397</v>
      </c>
      <c r="D7" s="595" t="s">
        <v>398</v>
      </c>
      <c r="E7" s="595"/>
      <c r="F7" s="596" t="s">
        <v>397</v>
      </c>
      <c r="G7" s="595" t="s">
        <v>398</v>
      </c>
      <c r="H7" s="595"/>
      <c r="I7" s="548" t="s">
        <v>397</v>
      </c>
      <c r="J7" s="548" t="s">
        <v>398</v>
      </c>
      <c r="K7" s="548"/>
      <c r="L7" s="549" t="s">
        <v>397</v>
      </c>
      <c r="M7" s="548" t="s">
        <v>398</v>
      </c>
    </row>
    <row r="8" spans="1:15" ht="15" customHeight="1">
      <c r="B8" s="550"/>
    </row>
    <row r="9" spans="1:15" s="553" customFormat="1" ht="15" customHeight="1">
      <c r="A9" s="909" t="s">
        <v>399</v>
      </c>
      <c r="B9" s="909"/>
      <c r="C9" s="598"/>
      <c r="D9" s="598">
        <v>117280.77575899998</v>
      </c>
      <c r="E9" s="598"/>
      <c r="F9" s="598"/>
      <c r="G9" s="598">
        <v>128566.84371299998</v>
      </c>
      <c r="H9" s="599"/>
      <c r="I9" s="555"/>
      <c r="J9" s="555">
        <v>110.61505605622439</v>
      </c>
      <c r="K9" s="555"/>
      <c r="L9" s="555"/>
      <c r="M9" s="555">
        <v>118.37814200188545</v>
      </c>
      <c r="N9" s="555"/>
      <c r="O9" s="555"/>
    </row>
    <row r="10" spans="1:15" ht="15" customHeight="1">
      <c r="B10" s="558" t="s">
        <v>400</v>
      </c>
      <c r="C10" s="598"/>
      <c r="D10" s="598">
        <v>29444.517214999971</v>
      </c>
      <c r="E10" s="598"/>
      <c r="F10" s="598"/>
      <c r="G10" s="598">
        <v>26879.666862999991</v>
      </c>
      <c r="H10" s="599"/>
      <c r="I10" s="555"/>
      <c r="J10" s="555">
        <v>115.19881282036243</v>
      </c>
      <c r="K10" s="555"/>
      <c r="L10" s="555"/>
      <c r="M10" s="555">
        <v>105.12341360600558</v>
      </c>
      <c r="N10" s="555"/>
      <c r="O10" s="555"/>
    </row>
    <row r="11" spans="1:15" ht="15" customHeight="1">
      <c r="B11" s="558" t="s">
        <v>401</v>
      </c>
      <c r="C11" s="598"/>
      <c r="D11" s="598">
        <v>87836.258544000011</v>
      </c>
      <c r="E11" s="598"/>
      <c r="F11" s="598"/>
      <c r="G11" s="598">
        <v>101687.17684999999</v>
      </c>
      <c r="H11" s="599"/>
      <c r="I11" s="555"/>
      <c r="J11" s="555">
        <v>108.90739640484574</v>
      </c>
      <c r="K11" s="555"/>
      <c r="L11" s="555"/>
      <c r="M11" s="555">
        <v>123.60245369158429</v>
      </c>
      <c r="N11" s="555"/>
      <c r="O11" s="555"/>
    </row>
    <row r="12" spans="1:15" ht="15" customHeight="1">
      <c r="B12" s="559" t="s">
        <v>402</v>
      </c>
      <c r="C12" s="598"/>
      <c r="D12" s="600">
        <v>295.27380799999992</v>
      </c>
      <c r="E12" s="600"/>
      <c r="F12" s="600"/>
      <c r="G12" s="600">
        <v>327.30004100000008</v>
      </c>
      <c r="H12" s="601"/>
      <c r="I12" s="555"/>
      <c r="J12" s="551">
        <v>56.366800589195776</v>
      </c>
      <c r="K12" s="551"/>
      <c r="L12" s="551"/>
      <c r="M12" s="551">
        <v>65.695591535795415</v>
      </c>
      <c r="N12" s="555"/>
      <c r="O12" s="555"/>
    </row>
    <row r="13" spans="1:15" ht="15" customHeight="1">
      <c r="B13" s="561" t="s">
        <v>403</v>
      </c>
      <c r="C13" s="598"/>
      <c r="D13" s="600">
        <v>87540.984736000013</v>
      </c>
      <c r="E13" s="600"/>
      <c r="F13" s="600"/>
      <c r="G13" s="600">
        <v>101359.87680899998</v>
      </c>
      <c r="H13" s="601"/>
      <c r="I13" s="555"/>
      <c r="J13" s="551">
        <v>109.40445950861795</v>
      </c>
      <c r="K13" s="551"/>
      <c r="L13" s="551"/>
      <c r="M13" s="551">
        <v>123.97103008136897</v>
      </c>
      <c r="N13" s="555"/>
      <c r="O13" s="555"/>
    </row>
    <row r="14" spans="1:15" ht="15" customHeight="1">
      <c r="A14" s="905" t="s">
        <v>404</v>
      </c>
      <c r="B14" s="905"/>
      <c r="C14" s="598"/>
      <c r="D14" s="598"/>
      <c r="E14" s="600"/>
      <c r="F14" s="600"/>
      <c r="G14" s="600"/>
      <c r="H14" s="599"/>
      <c r="I14" s="555"/>
      <c r="J14" s="555"/>
      <c r="K14" s="555"/>
      <c r="L14" s="555"/>
      <c r="M14" s="555"/>
      <c r="N14" s="555"/>
      <c r="O14" s="555"/>
    </row>
    <row r="15" spans="1:15" ht="15" customHeight="1">
      <c r="B15" s="563" t="s">
        <v>405</v>
      </c>
      <c r="C15" s="600"/>
      <c r="D15" s="600">
        <v>2801.453336</v>
      </c>
      <c r="E15" s="600"/>
      <c r="F15" s="600"/>
      <c r="G15" s="600">
        <v>3057.7885970000002</v>
      </c>
      <c r="H15" s="601"/>
      <c r="I15" s="551"/>
      <c r="J15" s="551">
        <v>119.14340999668023</v>
      </c>
      <c r="K15" s="551"/>
      <c r="L15" s="551"/>
      <c r="M15" s="551">
        <v>113.31628322612946</v>
      </c>
      <c r="N15" s="555"/>
      <c r="O15" s="555"/>
    </row>
    <row r="16" spans="1:15" ht="15" customHeight="1">
      <c r="B16" s="563" t="s">
        <v>406</v>
      </c>
      <c r="C16" s="600"/>
      <c r="D16" s="600">
        <v>1940.905311</v>
      </c>
      <c r="E16" s="600"/>
      <c r="F16" s="600"/>
      <c r="G16" s="600">
        <v>3027.3005340000009</v>
      </c>
      <c r="H16" s="601"/>
      <c r="I16" s="551"/>
      <c r="J16" s="551">
        <v>90.736217229234612</v>
      </c>
      <c r="K16" s="551"/>
      <c r="L16" s="551"/>
      <c r="M16" s="551">
        <v>94.769355917457332</v>
      </c>
      <c r="N16" s="555"/>
      <c r="O16" s="555"/>
    </row>
    <row r="17" spans="2:15" ht="15" customHeight="1">
      <c r="B17" s="563" t="s">
        <v>407</v>
      </c>
      <c r="C17" s="600">
        <v>222.46899999999999</v>
      </c>
      <c r="D17" s="600">
        <v>1509.0782759999997</v>
      </c>
      <c r="E17" s="600"/>
      <c r="F17" s="600">
        <v>210.56171893370481</v>
      </c>
      <c r="G17" s="600">
        <v>1424.7052720000002</v>
      </c>
      <c r="H17" s="601"/>
      <c r="I17" s="551">
        <v>81.24314223584723</v>
      </c>
      <c r="J17" s="551">
        <v>104.02398720811847</v>
      </c>
      <c r="K17" s="551"/>
      <c r="L17" s="551">
        <v>107.93754760830434</v>
      </c>
      <c r="M17" s="551">
        <v>130.94102314845622</v>
      </c>
      <c r="N17" s="555"/>
      <c r="O17" s="555"/>
    </row>
    <row r="18" spans="2:15" ht="15" customHeight="1">
      <c r="B18" s="563" t="s">
        <v>408</v>
      </c>
      <c r="C18" s="600">
        <v>451.322</v>
      </c>
      <c r="D18" s="600">
        <v>2606.609066</v>
      </c>
      <c r="E18" s="600"/>
      <c r="F18" s="600">
        <v>283.26740932363452</v>
      </c>
      <c r="G18" s="600">
        <v>1574.5048289999995</v>
      </c>
      <c r="H18" s="601"/>
      <c r="I18" s="551">
        <v>84.632836065489798</v>
      </c>
      <c r="J18" s="551">
        <v>146.63241653878279</v>
      </c>
      <c r="K18" s="551"/>
      <c r="L18" s="551">
        <v>140.89986700550082</v>
      </c>
      <c r="M18" s="551">
        <v>197.21121911248943</v>
      </c>
      <c r="N18" s="555"/>
      <c r="O18" s="555"/>
    </row>
    <row r="19" spans="2:15" ht="15" customHeight="1">
      <c r="B19" s="563" t="s">
        <v>409</v>
      </c>
      <c r="C19" s="600">
        <v>31.013999999999999</v>
      </c>
      <c r="D19" s="600">
        <v>53.458157000000014</v>
      </c>
      <c r="E19" s="600"/>
      <c r="F19" s="600">
        <v>39.114235083401994</v>
      </c>
      <c r="G19" s="600">
        <v>70.776057999999978</v>
      </c>
      <c r="H19" s="601"/>
      <c r="I19" s="551">
        <v>101.01454176530267</v>
      </c>
      <c r="J19" s="551">
        <v>99.683440539157345</v>
      </c>
      <c r="K19" s="551"/>
      <c r="L19" s="551">
        <v>84.830415754923408</v>
      </c>
      <c r="M19" s="551">
        <v>85.229617397976682</v>
      </c>
      <c r="N19" s="555"/>
      <c r="O19" s="555"/>
    </row>
    <row r="20" spans="2:15" ht="15" customHeight="1">
      <c r="B20" s="563" t="s">
        <v>410</v>
      </c>
      <c r="C20" s="600">
        <v>75.99199999999999</v>
      </c>
      <c r="D20" s="600">
        <v>523.42869300000007</v>
      </c>
      <c r="E20" s="600"/>
      <c r="F20" s="600">
        <v>63.584769968672767</v>
      </c>
      <c r="G20" s="600">
        <v>418.175567</v>
      </c>
      <c r="H20" s="601"/>
      <c r="I20" s="551">
        <v>83.192242031714741</v>
      </c>
      <c r="J20" s="551">
        <v>137.60401936295378</v>
      </c>
      <c r="K20" s="551"/>
      <c r="L20" s="551">
        <v>88.652457448173678</v>
      </c>
      <c r="M20" s="551">
        <v>131.54448165651317</v>
      </c>
      <c r="N20" s="555"/>
      <c r="O20" s="555"/>
    </row>
    <row r="21" spans="2:15" ht="15" customHeight="1">
      <c r="B21" s="565" t="s">
        <v>411</v>
      </c>
      <c r="C21" s="600">
        <v>2410.069</v>
      </c>
      <c r="D21" s="600">
        <v>1239.8032200000002</v>
      </c>
      <c r="E21" s="600"/>
      <c r="F21" s="600">
        <v>2138.6091939307094</v>
      </c>
      <c r="G21" s="600">
        <v>1041.2111620000001</v>
      </c>
      <c r="H21" s="601"/>
      <c r="I21" s="551">
        <v>106.45904469117656</v>
      </c>
      <c r="J21" s="551">
        <v>85.022229032377453</v>
      </c>
      <c r="K21" s="551"/>
      <c r="L21" s="551">
        <v>101.07798047782933</v>
      </c>
      <c r="M21" s="551">
        <v>84.249244415760131</v>
      </c>
      <c r="N21" s="555"/>
      <c r="O21" s="555"/>
    </row>
    <row r="22" spans="2:15" ht="15" customHeight="1">
      <c r="B22" s="563" t="s">
        <v>412</v>
      </c>
      <c r="C22" s="600">
        <v>1051.252</v>
      </c>
      <c r="D22" s="600">
        <v>313.92642399999994</v>
      </c>
      <c r="E22" s="600"/>
      <c r="F22" s="600">
        <v>826.50132201934184</v>
      </c>
      <c r="G22" s="600">
        <v>261.1625800000001</v>
      </c>
      <c r="H22" s="601"/>
      <c r="I22" s="551">
        <v>128.3820072783073</v>
      </c>
      <c r="J22" s="551">
        <v>86.800115285165774</v>
      </c>
      <c r="K22" s="551"/>
      <c r="L22" s="551">
        <v>236.92962330233627</v>
      </c>
      <c r="M22" s="551">
        <v>156.24965187108336</v>
      </c>
      <c r="N22" s="555"/>
      <c r="O22" s="555"/>
    </row>
    <row r="23" spans="2:15" ht="15" customHeight="1">
      <c r="B23" s="563" t="s">
        <v>413</v>
      </c>
      <c r="C23" s="600"/>
      <c r="D23" s="600">
        <v>300.58054500000003</v>
      </c>
      <c r="E23" s="600"/>
      <c r="F23" s="600"/>
      <c r="G23" s="600">
        <v>327.026974</v>
      </c>
      <c r="H23" s="601"/>
      <c r="I23" s="551"/>
      <c r="J23" s="551">
        <v>112.78061336265621</v>
      </c>
      <c r="K23" s="551"/>
      <c r="L23" s="551"/>
      <c r="M23" s="551">
        <v>102.82744831477895</v>
      </c>
      <c r="N23" s="555"/>
      <c r="O23" s="555"/>
    </row>
    <row r="24" spans="2:15" ht="15" customHeight="1">
      <c r="B24" s="563" t="s">
        <v>414</v>
      </c>
      <c r="C24" s="600"/>
      <c r="D24" s="600">
        <v>336.00224400000002</v>
      </c>
      <c r="E24" s="600"/>
      <c r="F24" s="600"/>
      <c r="G24" s="600">
        <v>402.15797900000007</v>
      </c>
      <c r="H24" s="601"/>
      <c r="I24" s="551"/>
      <c r="J24" s="551">
        <v>120.07340535805737</v>
      </c>
      <c r="K24" s="551"/>
      <c r="L24" s="551"/>
      <c r="M24" s="551">
        <v>122.61350741007047</v>
      </c>
      <c r="N24" s="555"/>
      <c r="O24" s="555"/>
    </row>
    <row r="25" spans="2:15" ht="15" customHeight="1">
      <c r="B25" s="563" t="s">
        <v>475</v>
      </c>
      <c r="C25" s="600">
        <v>8604.9580000000005</v>
      </c>
      <c r="D25" s="600">
        <v>330.01302700000008</v>
      </c>
      <c r="E25" s="600"/>
      <c r="F25" s="600">
        <v>9369.713852948722</v>
      </c>
      <c r="G25" s="600">
        <v>356.28492699999993</v>
      </c>
      <c r="H25" s="601"/>
      <c r="I25" s="551">
        <v>102.13670425160628</v>
      </c>
      <c r="J25" s="551">
        <v>98.089022111948964</v>
      </c>
      <c r="K25" s="551"/>
      <c r="L25" s="551">
        <v>111.78459620231904</v>
      </c>
      <c r="M25" s="551">
        <v>110.26321537002669</v>
      </c>
      <c r="N25" s="555"/>
      <c r="O25" s="555"/>
    </row>
    <row r="26" spans="2:15" ht="15" customHeight="1">
      <c r="B26" s="563" t="s">
        <v>416</v>
      </c>
      <c r="C26" s="600">
        <v>537.75600000000009</v>
      </c>
      <c r="D26" s="600">
        <v>295.27380799999992</v>
      </c>
      <c r="E26" s="600"/>
      <c r="F26" s="600">
        <v>602.77985925001326</v>
      </c>
      <c r="G26" s="600">
        <v>327.30004100000008</v>
      </c>
      <c r="H26" s="601"/>
      <c r="I26" s="551">
        <v>64.089692467362212</v>
      </c>
      <c r="J26" s="551">
        <v>56.366800589195776</v>
      </c>
      <c r="K26" s="551"/>
      <c r="L26" s="551">
        <v>82.454518273189379</v>
      </c>
      <c r="M26" s="551">
        <v>65.695591535795415</v>
      </c>
      <c r="N26" s="555"/>
      <c r="O26" s="555"/>
    </row>
    <row r="27" spans="2:15" ht="15" customHeight="1">
      <c r="B27" s="563" t="s">
        <v>417</v>
      </c>
      <c r="C27" s="600">
        <v>318.08699999999999</v>
      </c>
      <c r="D27" s="600">
        <v>206.44120600000008</v>
      </c>
      <c r="E27" s="600"/>
      <c r="F27" s="600">
        <v>358.31131623081296</v>
      </c>
      <c r="G27" s="600">
        <v>234.851336</v>
      </c>
      <c r="H27" s="601"/>
      <c r="I27" s="551">
        <v>58.829615639349356</v>
      </c>
      <c r="J27" s="551">
        <v>49.656338180982793</v>
      </c>
      <c r="K27" s="551"/>
      <c r="L27" s="551">
        <v>51.947837731904876</v>
      </c>
      <c r="M27" s="551">
        <v>40.443044974722831</v>
      </c>
      <c r="N27" s="555"/>
      <c r="O27" s="555"/>
    </row>
    <row r="28" spans="2:15" ht="15" customHeight="1">
      <c r="B28" s="563" t="s">
        <v>454</v>
      </c>
      <c r="C28" s="600"/>
      <c r="D28" s="600">
        <v>671.56567500000006</v>
      </c>
      <c r="E28" s="600"/>
      <c r="F28" s="600"/>
      <c r="G28" s="600">
        <v>712.72210499999983</v>
      </c>
      <c r="H28" s="601"/>
      <c r="I28" s="551"/>
      <c r="J28" s="551">
        <v>99.213571948168664</v>
      </c>
      <c r="K28" s="551"/>
      <c r="L28" s="551"/>
      <c r="M28" s="551">
        <v>100.56528048760853</v>
      </c>
      <c r="N28" s="555"/>
      <c r="O28" s="555"/>
    </row>
    <row r="29" spans="2:15" ht="15" customHeight="1">
      <c r="B29" s="563" t="s">
        <v>476</v>
      </c>
      <c r="C29" s="600"/>
      <c r="D29" s="600">
        <v>708.315021</v>
      </c>
      <c r="E29" s="600"/>
      <c r="F29" s="600"/>
      <c r="G29" s="600">
        <v>724.08331499999997</v>
      </c>
      <c r="H29" s="601"/>
      <c r="I29" s="551"/>
      <c r="J29" s="551">
        <v>108.14085899116739</v>
      </c>
      <c r="K29" s="551"/>
      <c r="L29" s="551"/>
      <c r="M29" s="551">
        <v>109.24396942930879</v>
      </c>
      <c r="N29" s="555"/>
      <c r="O29" s="555"/>
    </row>
    <row r="30" spans="2:15" ht="15" customHeight="1">
      <c r="B30" s="563" t="s">
        <v>420</v>
      </c>
      <c r="C30" s="600">
        <v>548.39600000000007</v>
      </c>
      <c r="D30" s="600">
        <v>590.18182299999989</v>
      </c>
      <c r="E30" s="600"/>
      <c r="F30" s="600">
        <v>523.97853895775813</v>
      </c>
      <c r="G30" s="600">
        <v>545.09182100000021</v>
      </c>
      <c r="H30" s="601"/>
      <c r="I30" s="551">
        <v>81.713609849987506</v>
      </c>
      <c r="J30" s="551">
        <v>80.687937236658044</v>
      </c>
      <c r="K30" s="551"/>
      <c r="L30" s="551">
        <v>97.106956549455177</v>
      </c>
      <c r="M30" s="551">
        <v>93.669925707541537</v>
      </c>
      <c r="N30" s="555"/>
      <c r="O30" s="555"/>
    </row>
    <row r="31" spans="2:15" ht="15" customHeight="1">
      <c r="B31" s="563" t="s">
        <v>477</v>
      </c>
      <c r="C31" s="600"/>
      <c r="D31" s="600">
        <v>1886.8101599999998</v>
      </c>
      <c r="E31" s="600"/>
      <c r="F31" s="600"/>
      <c r="G31" s="600">
        <v>1896.4513250000002</v>
      </c>
      <c r="H31" s="601"/>
      <c r="I31" s="551"/>
      <c r="J31" s="551">
        <v>116.82743396049311</v>
      </c>
      <c r="K31" s="551"/>
      <c r="L31" s="551"/>
      <c r="M31" s="551">
        <v>112.07965191136864</v>
      </c>
      <c r="N31" s="555"/>
      <c r="O31" s="555"/>
    </row>
    <row r="32" spans="2:15" ht="15" customHeight="1">
      <c r="B32" s="563" t="s">
        <v>422</v>
      </c>
      <c r="C32" s="600">
        <v>310.82600000000002</v>
      </c>
      <c r="D32" s="600">
        <v>554.20958799999983</v>
      </c>
      <c r="E32" s="600"/>
      <c r="F32" s="600">
        <v>599.37922827443344</v>
      </c>
      <c r="G32" s="600">
        <v>995.77159800000015</v>
      </c>
      <c r="H32" s="601"/>
      <c r="I32" s="551">
        <v>92.456915801442136</v>
      </c>
      <c r="J32" s="551">
        <v>120.78114078764986</v>
      </c>
      <c r="K32" s="551"/>
      <c r="L32" s="551">
        <v>99.214774997925232</v>
      </c>
      <c r="M32" s="551">
        <v>110.61124846001644</v>
      </c>
      <c r="N32" s="555"/>
      <c r="O32" s="555"/>
    </row>
    <row r="33" spans="1:15" ht="15" customHeight="1">
      <c r="A33" s="566"/>
      <c r="B33" s="561" t="s">
        <v>423</v>
      </c>
      <c r="C33" s="600"/>
      <c r="D33" s="600">
        <v>380.76770499999998</v>
      </c>
      <c r="E33" s="600"/>
      <c r="F33" s="600"/>
      <c r="G33" s="600">
        <v>352.13498200000004</v>
      </c>
      <c r="H33" s="601"/>
      <c r="I33" s="551"/>
      <c r="J33" s="551">
        <v>115.04736436962342</v>
      </c>
      <c r="K33" s="551"/>
      <c r="L33" s="551"/>
      <c r="M33" s="551">
        <v>125.52924931721282</v>
      </c>
      <c r="N33" s="555"/>
      <c r="O33" s="555"/>
    </row>
    <row r="34" spans="1:15" ht="15" customHeight="1">
      <c r="A34" s="566"/>
      <c r="B34" s="563" t="s">
        <v>424</v>
      </c>
      <c r="C34" s="600"/>
      <c r="D34" s="600">
        <v>1204.2123860000002</v>
      </c>
      <c r="E34" s="600"/>
      <c r="F34" s="600"/>
      <c r="G34" s="600">
        <v>1146.3095450000001</v>
      </c>
      <c r="H34" s="601"/>
      <c r="I34" s="551"/>
      <c r="J34" s="551">
        <v>110.7190917507493</v>
      </c>
      <c r="K34" s="551"/>
      <c r="L34" s="551"/>
      <c r="M34" s="551">
        <v>112.57685413396337</v>
      </c>
      <c r="N34" s="555"/>
      <c r="O34" s="555"/>
    </row>
    <row r="35" spans="1:15" ht="15" customHeight="1">
      <c r="A35" s="566"/>
      <c r="B35" s="563" t="s">
        <v>425</v>
      </c>
      <c r="C35" s="600"/>
      <c r="D35" s="600">
        <v>4233.936509000001</v>
      </c>
      <c r="E35" s="600"/>
      <c r="F35" s="600"/>
      <c r="G35" s="600">
        <v>4321.4885709999999</v>
      </c>
      <c r="H35" s="601"/>
      <c r="I35" s="551"/>
      <c r="J35" s="551">
        <v>111.06633708543106</v>
      </c>
      <c r="K35" s="551"/>
      <c r="L35" s="551"/>
      <c r="M35" s="551">
        <v>106.21876561540719</v>
      </c>
      <c r="N35" s="555"/>
      <c r="O35" s="555"/>
    </row>
    <row r="36" spans="1:15" ht="15" customHeight="1">
      <c r="A36" s="566"/>
      <c r="B36" s="563" t="s">
        <v>426</v>
      </c>
      <c r="C36" s="600"/>
      <c r="D36" s="600">
        <v>542.04738599999985</v>
      </c>
      <c r="E36" s="600"/>
      <c r="F36" s="600"/>
      <c r="G36" s="600">
        <v>564.82746400000008</v>
      </c>
      <c r="H36" s="601"/>
      <c r="I36" s="551"/>
      <c r="J36" s="551">
        <v>100.1011971556385</v>
      </c>
      <c r="K36" s="551"/>
      <c r="L36" s="551"/>
      <c r="M36" s="551">
        <v>100.93306941804431</v>
      </c>
      <c r="N36" s="555"/>
      <c r="O36" s="555"/>
    </row>
    <row r="37" spans="1:15" ht="15" customHeight="1">
      <c r="A37" s="566"/>
      <c r="B37" s="563" t="s">
        <v>427</v>
      </c>
      <c r="C37" s="600">
        <v>471.19599999999997</v>
      </c>
      <c r="D37" s="600">
        <v>1047.5168680000002</v>
      </c>
      <c r="E37" s="600"/>
      <c r="F37" s="600">
        <v>498.81621790569528</v>
      </c>
      <c r="G37" s="600">
        <v>1107.6414690000001</v>
      </c>
      <c r="H37" s="601"/>
      <c r="I37" s="551">
        <v>103.89097301509631</v>
      </c>
      <c r="J37" s="551">
        <v>97.900972001156646</v>
      </c>
      <c r="K37" s="551"/>
      <c r="L37" s="551">
        <v>101.17407585543492</v>
      </c>
      <c r="M37" s="551">
        <v>94.180824722977718</v>
      </c>
      <c r="N37" s="555"/>
      <c r="O37" s="555"/>
    </row>
    <row r="38" spans="1:15" ht="15" customHeight="1">
      <c r="A38" s="566"/>
      <c r="B38" s="563" t="s">
        <v>478</v>
      </c>
      <c r="C38" s="600"/>
      <c r="D38" s="600">
        <v>9981.1937149999976</v>
      </c>
      <c r="E38" s="600"/>
      <c r="F38" s="600"/>
      <c r="G38" s="600">
        <v>11065.680082000003</v>
      </c>
      <c r="H38" s="601"/>
      <c r="I38" s="551"/>
      <c r="J38" s="551">
        <v>111.01338351424684</v>
      </c>
      <c r="K38" s="551"/>
      <c r="L38" s="551"/>
      <c r="M38" s="551">
        <v>113.61106975429847</v>
      </c>
      <c r="N38" s="555"/>
      <c r="O38" s="555"/>
    </row>
    <row r="39" spans="1:15" ht="15" customHeight="1">
      <c r="A39" s="566"/>
      <c r="B39" s="563" t="s">
        <v>429</v>
      </c>
      <c r="C39" s="600"/>
      <c r="D39" s="600">
        <v>6516.4288660000011</v>
      </c>
      <c r="E39" s="602"/>
      <c r="F39" s="600"/>
      <c r="G39" s="600">
        <v>5900.3524789999965</v>
      </c>
      <c r="H39" s="601"/>
      <c r="I39" s="551"/>
      <c r="J39" s="551">
        <v>112.03730604436637</v>
      </c>
      <c r="K39" s="551"/>
      <c r="L39" s="551"/>
      <c r="M39" s="551">
        <v>108.63526981684662</v>
      </c>
      <c r="N39" s="555"/>
      <c r="O39" s="555"/>
    </row>
    <row r="40" spans="1:15" ht="15" customHeight="1">
      <c r="A40" s="566"/>
      <c r="B40" s="563" t="s">
        <v>430</v>
      </c>
      <c r="C40" s="600"/>
      <c r="D40" s="600">
        <v>606.69234000000006</v>
      </c>
      <c r="E40" s="602"/>
      <c r="F40" s="600"/>
      <c r="G40" s="600">
        <v>634.59741399999984</v>
      </c>
      <c r="H40" s="601"/>
      <c r="I40" s="551"/>
      <c r="J40" s="551">
        <v>112.38233931204115</v>
      </c>
      <c r="K40" s="551"/>
      <c r="L40" s="551"/>
      <c r="M40" s="551">
        <v>106.7555055896803</v>
      </c>
      <c r="N40" s="555"/>
      <c r="O40" s="555"/>
    </row>
    <row r="41" spans="1:15" ht="15" customHeight="1">
      <c r="A41" s="566"/>
      <c r="B41" s="563" t="s">
        <v>431</v>
      </c>
      <c r="C41" s="600"/>
      <c r="D41" s="600">
        <v>343.56418000000002</v>
      </c>
      <c r="E41" s="602"/>
      <c r="F41" s="600"/>
      <c r="G41" s="600">
        <v>393.22673700000001</v>
      </c>
      <c r="H41" s="601"/>
      <c r="I41" s="551"/>
      <c r="J41" s="551">
        <v>136.68748236642648</v>
      </c>
      <c r="K41" s="551"/>
      <c r="L41" s="551"/>
      <c r="M41" s="551">
        <v>110.43209435191004</v>
      </c>
      <c r="N41" s="555"/>
      <c r="O41" s="555"/>
    </row>
    <row r="42" spans="1:15" ht="15" customHeight="1">
      <c r="A42" s="566"/>
      <c r="B42" s="563" t="s">
        <v>432</v>
      </c>
      <c r="C42" s="600">
        <v>2901.0749999999998</v>
      </c>
      <c r="D42" s="600">
        <v>1909.0253860000003</v>
      </c>
      <c r="E42" s="602"/>
      <c r="F42" s="600">
        <v>2266.3953656505228</v>
      </c>
      <c r="G42" s="600">
        <v>1481.6791439999997</v>
      </c>
      <c r="H42" s="601"/>
      <c r="I42" s="551">
        <v>85.019125643424431</v>
      </c>
      <c r="J42" s="551">
        <v>74.730676397135113</v>
      </c>
      <c r="K42" s="551"/>
      <c r="L42" s="551">
        <v>89.02266321550384</v>
      </c>
      <c r="M42" s="551">
        <v>80.110203468281043</v>
      </c>
      <c r="N42" s="555"/>
      <c r="O42" s="555"/>
    </row>
    <row r="43" spans="1:15" ht="15" customHeight="1">
      <c r="A43" s="566"/>
      <c r="B43" s="563" t="s">
        <v>433</v>
      </c>
      <c r="C43" s="600"/>
      <c r="D43" s="600">
        <v>1440.4595359999998</v>
      </c>
      <c r="E43" s="602"/>
      <c r="F43" s="600"/>
      <c r="G43" s="600">
        <v>1320.8439530000001</v>
      </c>
      <c r="H43" s="601"/>
      <c r="I43" s="551"/>
      <c r="J43" s="551">
        <v>130.09063273106392</v>
      </c>
      <c r="K43" s="551"/>
      <c r="L43" s="551"/>
      <c r="M43" s="551">
        <v>133.12224342690294</v>
      </c>
      <c r="N43" s="555"/>
      <c r="O43" s="555"/>
    </row>
    <row r="44" spans="1:15" ht="15" customHeight="1">
      <c r="A44" s="566"/>
      <c r="B44" s="563" t="s">
        <v>434</v>
      </c>
      <c r="C44" s="600"/>
      <c r="D44" s="600">
        <v>1223.9661329999999</v>
      </c>
      <c r="E44" s="602"/>
      <c r="F44" s="600"/>
      <c r="G44" s="600">
        <v>1172.9306670000001</v>
      </c>
      <c r="H44" s="601"/>
      <c r="I44" s="551"/>
      <c r="J44" s="551">
        <v>109.15193823714714</v>
      </c>
      <c r="K44" s="551"/>
      <c r="L44" s="551"/>
      <c r="M44" s="551">
        <v>112.60010384813515</v>
      </c>
      <c r="N44" s="555"/>
      <c r="O44" s="555"/>
    </row>
    <row r="45" spans="1:15" ht="15" customHeight="1">
      <c r="A45" s="566"/>
      <c r="B45" s="563" t="s">
        <v>435</v>
      </c>
      <c r="C45" s="600"/>
      <c r="D45" s="600">
        <v>26596.296122</v>
      </c>
      <c r="E45" s="602"/>
      <c r="F45" s="600"/>
      <c r="G45" s="600">
        <v>29776.088094999999</v>
      </c>
      <c r="H45" s="601"/>
      <c r="I45" s="551"/>
      <c r="J45" s="551">
        <v>129.09457861823631</v>
      </c>
      <c r="K45" s="551"/>
      <c r="L45" s="551"/>
      <c r="M45" s="551">
        <v>150.1050006567441</v>
      </c>
      <c r="N45" s="555"/>
      <c r="O45" s="555"/>
    </row>
    <row r="46" spans="1:15" ht="15" customHeight="1">
      <c r="A46" s="566"/>
      <c r="B46" s="563" t="s">
        <v>479</v>
      </c>
      <c r="C46" s="600"/>
      <c r="D46" s="600">
        <v>12855.48396</v>
      </c>
      <c r="E46" s="602"/>
      <c r="F46" s="600"/>
      <c r="G46" s="600">
        <v>16698.581487000003</v>
      </c>
      <c r="H46" s="601"/>
      <c r="I46" s="551"/>
      <c r="J46" s="551">
        <v>99.075879186921313</v>
      </c>
      <c r="K46" s="551"/>
      <c r="L46" s="551"/>
      <c r="M46" s="551">
        <v>99.110483186286316</v>
      </c>
      <c r="N46" s="555"/>
      <c r="O46" s="555"/>
    </row>
    <row r="47" spans="1:15" ht="15" customHeight="1">
      <c r="A47" s="566"/>
      <c r="B47" s="563" t="s">
        <v>437</v>
      </c>
      <c r="C47" s="600"/>
      <c r="D47" s="600">
        <v>1797.9888149999997</v>
      </c>
      <c r="E47" s="602"/>
      <c r="F47" s="600"/>
      <c r="G47" s="600">
        <v>2336.6635210000004</v>
      </c>
      <c r="H47" s="601"/>
      <c r="I47" s="551"/>
      <c r="J47" s="551">
        <v>78.71824835467163</v>
      </c>
      <c r="K47" s="551"/>
      <c r="L47" s="551"/>
      <c r="M47" s="551">
        <v>97.65226096620475</v>
      </c>
      <c r="N47" s="555"/>
      <c r="O47" s="555"/>
    </row>
    <row r="48" spans="1:15" ht="15" customHeight="1">
      <c r="A48" s="566"/>
      <c r="B48" s="563" t="s">
        <v>438</v>
      </c>
      <c r="C48" s="600"/>
      <c r="D48" s="600">
        <v>14513.580077000002</v>
      </c>
      <c r="E48" s="602"/>
      <c r="F48" s="600"/>
      <c r="G48" s="600">
        <v>16107.623728999999</v>
      </c>
      <c r="H48" s="601"/>
      <c r="I48" s="551"/>
      <c r="J48" s="551">
        <v>113.58915665981948</v>
      </c>
      <c r="K48" s="551"/>
      <c r="L48" s="551"/>
      <c r="M48" s="551">
        <v>117.11807548077337</v>
      </c>
      <c r="N48" s="555"/>
      <c r="O48" s="555"/>
    </row>
    <row r="49" spans="1:15" ht="15" customHeight="1">
      <c r="A49" s="566"/>
      <c r="B49" s="563" t="s">
        <v>439</v>
      </c>
      <c r="C49" s="600"/>
      <c r="D49" s="600">
        <v>1134.2595669999996</v>
      </c>
      <c r="E49" s="602"/>
      <c r="F49" s="600"/>
      <c r="G49" s="600">
        <v>1157.3347600000002</v>
      </c>
      <c r="H49" s="601"/>
      <c r="I49" s="551"/>
      <c r="J49" s="551">
        <v>123.06167065168671</v>
      </c>
      <c r="K49" s="551"/>
      <c r="L49" s="551"/>
      <c r="M49" s="551">
        <v>130.45391812723642</v>
      </c>
      <c r="N49" s="555"/>
      <c r="O49" s="555"/>
    </row>
    <row r="50" spans="1:15" ht="15" customHeight="1">
      <c r="A50" s="566"/>
      <c r="B50" s="563" t="s">
        <v>440</v>
      </c>
      <c r="C50" s="600"/>
      <c r="D50" s="600">
        <v>4290.8674880000008</v>
      </c>
      <c r="E50" s="602"/>
      <c r="F50" s="600"/>
      <c r="G50" s="600">
        <v>4548.7847780000002</v>
      </c>
      <c r="H50" s="601"/>
      <c r="I50" s="551"/>
      <c r="J50" s="551">
        <v>107.28451850973038</v>
      </c>
      <c r="K50" s="551"/>
      <c r="L50" s="551"/>
      <c r="M50" s="551">
        <v>118.46839226645025</v>
      </c>
    </row>
    <row r="51" spans="1:15" ht="15" customHeight="1">
      <c r="A51" s="566"/>
      <c r="B51" s="563" t="s">
        <v>480</v>
      </c>
      <c r="C51" s="600"/>
      <c r="D51" s="600">
        <v>869.39021600000001</v>
      </c>
      <c r="E51" s="602"/>
      <c r="F51" s="600"/>
      <c r="G51" s="600">
        <v>890.29137400000013</v>
      </c>
      <c r="H51" s="601"/>
      <c r="I51" s="551"/>
      <c r="J51" s="551">
        <v>114.09081252478248</v>
      </c>
      <c r="K51" s="551"/>
      <c r="L51" s="551"/>
      <c r="M51" s="551">
        <v>108.56030718861918</v>
      </c>
    </row>
    <row r="52" spans="1:15" ht="15" customHeight="1">
      <c r="A52" s="566"/>
      <c r="B52" s="563" t="s">
        <v>442</v>
      </c>
      <c r="C52" s="600"/>
      <c r="D52" s="600">
        <v>2077.2802909999996</v>
      </c>
      <c r="E52" s="602"/>
      <c r="F52" s="600"/>
      <c r="G52" s="600">
        <v>3236.4737309999996</v>
      </c>
      <c r="H52" s="601"/>
      <c r="I52" s="551"/>
      <c r="J52" s="551">
        <v>173.74865257644586</v>
      </c>
      <c r="K52" s="551"/>
      <c r="L52" s="551"/>
      <c r="M52" s="551">
        <v>226.72241742276574</v>
      </c>
    </row>
    <row r="53" spans="1:15">
      <c r="A53" s="566"/>
      <c r="B53" s="566"/>
      <c r="C53" s="602"/>
      <c r="D53" s="602"/>
      <c r="E53" s="602"/>
      <c r="F53" s="600"/>
      <c r="G53" s="600"/>
      <c r="H53" s="601"/>
      <c r="I53" s="551"/>
      <c r="J53" s="551"/>
      <c r="K53" s="551"/>
      <c r="L53" s="551"/>
      <c r="M53" s="551"/>
    </row>
    <row r="54" spans="1:15">
      <c r="A54" s="566"/>
      <c r="B54" s="566"/>
      <c r="C54" s="566"/>
      <c r="D54" s="566"/>
      <c r="E54" s="566"/>
      <c r="F54" s="566"/>
      <c r="G54" s="566"/>
      <c r="H54" s="566"/>
      <c r="I54" s="603"/>
      <c r="J54" s="603"/>
      <c r="K54" s="603"/>
      <c r="L54" s="603"/>
      <c r="M54" s="603"/>
    </row>
    <row r="55" spans="1:15">
      <c r="A55" s="566"/>
      <c r="B55" s="566"/>
      <c r="C55" s="566"/>
      <c r="D55" s="566"/>
      <c r="E55" s="566"/>
      <c r="F55" s="566"/>
      <c r="G55" s="566"/>
      <c r="H55" s="566"/>
      <c r="I55" s="603"/>
      <c r="J55" s="603"/>
      <c r="K55" s="603"/>
      <c r="L55" s="603"/>
      <c r="M55" s="603"/>
    </row>
    <row r="56" spans="1:15">
      <c r="A56" s="566"/>
      <c r="B56" s="566"/>
      <c r="C56" s="566"/>
      <c r="D56" s="566"/>
      <c r="E56" s="566"/>
      <c r="F56" s="566"/>
      <c r="G56" s="566"/>
      <c r="H56" s="566"/>
      <c r="I56" s="603"/>
      <c r="J56" s="603"/>
      <c r="K56" s="603"/>
      <c r="L56" s="603"/>
      <c r="M56" s="603"/>
    </row>
    <row r="57" spans="1:15">
      <c r="A57" s="566"/>
      <c r="B57" s="566"/>
      <c r="C57" s="566"/>
      <c r="D57" s="566"/>
      <c r="E57" s="566"/>
      <c r="F57" s="566"/>
      <c r="G57" s="566"/>
      <c r="H57" s="566"/>
      <c r="I57" s="603"/>
      <c r="J57" s="603"/>
      <c r="K57" s="603"/>
      <c r="L57" s="603"/>
      <c r="M57" s="603"/>
    </row>
    <row r="58" spans="1:15">
      <c r="A58" s="566"/>
      <c r="B58" s="566"/>
      <c r="C58" s="566"/>
      <c r="D58" s="566"/>
      <c r="E58" s="566"/>
      <c r="F58" s="566"/>
      <c r="G58" s="566"/>
      <c r="H58" s="566"/>
      <c r="I58" s="604"/>
      <c r="J58" s="604"/>
      <c r="K58" s="604"/>
      <c r="L58" s="604"/>
      <c r="M58" s="604"/>
    </row>
    <row r="59" spans="1:15">
      <c r="A59" s="566"/>
      <c r="B59" s="566"/>
      <c r="C59" s="566"/>
      <c r="D59" s="566"/>
      <c r="E59" s="566"/>
      <c r="F59" s="566"/>
      <c r="G59" s="566"/>
      <c r="H59" s="566"/>
      <c r="I59" s="604"/>
      <c r="J59" s="604"/>
      <c r="K59" s="604"/>
      <c r="L59" s="604"/>
      <c r="M59" s="604"/>
    </row>
    <row r="60" spans="1:15">
      <c r="A60" s="566"/>
      <c r="B60" s="566"/>
    </row>
    <row r="61" spans="1:15">
      <c r="A61" s="566"/>
      <c r="B61" s="566"/>
    </row>
    <row r="62" spans="1:15">
      <c r="A62" s="566"/>
      <c r="B62" s="566"/>
    </row>
    <row r="63" spans="1:15">
      <c r="A63" s="566"/>
      <c r="B63" s="566"/>
    </row>
  </sheetData>
  <mergeCells count="14">
    <mergeCell ref="A14:B14"/>
    <mergeCell ref="C4:D4"/>
    <mergeCell ref="F4:G4"/>
    <mergeCell ref="H4:H5"/>
    <mergeCell ref="I4:M4"/>
    <mergeCell ref="C5:D5"/>
    <mergeCell ref="F5:G5"/>
    <mergeCell ref="I5:J5"/>
    <mergeCell ref="L5:M5"/>
    <mergeCell ref="C6:D6"/>
    <mergeCell ref="F6:G6"/>
    <mergeCell ref="I6:J6"/>
    <mergeCell ref="L6:M6"/>
    <mergeCell ref="A9:B9"/>
  </mergeCells>
  <pageMargins left="0.71" right="0.17" top="0.74803149606299202" bottom="0.511811023622047" header="0.43307086614173201" footer="0.31496062992126"/>
  <pageSetup paperSize="9" scale="99" orientation="portrait" r:id="rId1"/>
  <headerFooter alignWithMargins="0">
    <oddHeader>&amp;C&amp;"Times New Roman,Regular"&amp;13&amp;P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FBC4-EA7B-4A09-AA58-2EA2EE86D2C5}">
  <sheetPr>
    <pageSetUpPr fitToPage="1"/>
  </sheetPr>
  <dimension ref="A1:P61"/>
  <sheetViews>
    <sheetView workbookViewId="0">
      <selection activeCell="D13" sqref="D13"/>
    </sheetView>
  </sheetViews>
  <sheetFormatPr defaultColWidth="9.140625" defaultRowHeight="13.5" customHeight="1"/>
  <cols>
    <col min="1" max="1" width="1.5703125" style="610" customWidth="1"/>
    <col min="2" max="2" width="34.140625" style="610" customWidth="1"/>
    <col min="3" max="4" width="7.140625" style="610" customWidth="1"/>
    <col min="5" max="5" width="0.7109375" style="610" customWidth="1"/>
    <col min="6" max="6" width="6.5703125" style="610" customWidth="1"/>
    <col min="7" max="7" width="7" style="610" bestFit="1" customWidth="1"/>
    <col min="8" max="8" width="0.5703125" style="610" customWidth="1"/>
    <col min="9" max="9" width="6.28515625" style="610" bestFit="1" customWidth="1"/>
    <col min="10" max="10" width="7.85546875" style="610" customWidth="1"/>
    <col min="11" max="11" width="0.42578125" style="610" customWidth="1"/>
    <col min="12" max="13" width="7" style="610" customWidth="1"/>
    <col min="14" max="16384" width="9.140625" style="610"/>
  </cols>
  <sheetData>
    <row r="1" spans="1:14" s="607" customFormat="1" ht="17.25">
      <c r="A1" s="533" t="s">
        <v>661</v>
      </c>
      <c r="B1" s="605"/>
      <c r="C1" s="605"/>
      <c r="D1" s="605"/>
      <c r="E1" s="605"/>
      <c r="F1" s="605"/>
      <c r="G1" s="605"/>
      <c r="H1" s="605"/>
      <c r="I1" s="606"/>
      <c r="J1" s="606"/>
      <c r="K1" s="606"/>
      <c r="L1" s="606"/>
      <c r="M1" s="606"/>
    </row>
    <row r="2" spans="1:14" ht="4.5" customHeight="1">
      <c r="A2" s="608"/>
      <c r="B2" s="608"/>
      <c r="C2" s="608"/>
      <c r="D2" s="608"/>
      <c r="E2" s="608"/>
      <c r="F2" s="608"/>
      <c r="G2" s="608"/>
      <c r="H2" s="608"/>
      <c r="I2" s="609"/>
      <c r="J2" s="609"/>
      <c r="K2" s="609"/>
      <c r="L2" s="609"/>
      <c r="M2" s="609"/>
    </row>
    <row r="3" spans="1:14" s="589" customFormat="1" ht="13.5" customHeight="1">
      <c r="B3" s="590"/>
      <c r="G3" s="539"/>
      <c r="H3" s="539"/>
      <c r="I3" s="539"/>
      <c r="J3" s="591"/>
      <c r="K3" s="591"/>
      <c r="L3" s="591"/>
      <c r="M3" s="541" t="s">
        <v>474</v>
      </c>
    </row>
    <row r="4" spans="1:14" s="538" customFormat="1" ht="13.5" customHeight="1">
      <c r="A4" s="568"/>
      <c r="B4" s="543"/>
      <c r="C4" s="906" t="s">
        <v>2</v>
      </c>
      <c r="D4" s="906"/>
      <c r="E4" s="592"/>
      <c r="F4" s="906" t="s">
        <v>340</v>
      </c>
      <c r="G4" s="906"/>
      <c r="H4" s="906"/>
      <c r="I4" s="903" t="s">
        <v>21</v>
      </c>
      <c r="J4" s="903"/>
      <c r="K4" s="903"/>
      <c r="L4" s="903"/>
      <c r="M4" s="903"/>
    </row>
    <row r="5" spans="1:14" s="538" customFormat="1" ht="13.5" customHeight="1">
      <c r="B5" s="545"/>
      <c r="C5" s="907" t="s">
        <v>22</v>
      </c>
      <c r="D5" s="907"/>
      <c r="E5" s="593"/>
      <c r="F5" s="907" t="s">
        <v>42</v>
      </c>
      <c r="G5" s="907"/>
      <c r="H5" s="907"/>
      <c r="I5" s="904" t="s">
        <v>25</v>
      </c>
      <c r="J5" s="904"/>
      <c r="K5" s="546"/>
      <c r="L5" s="904" t="s">
        <v>26</v>
      </c>
      <c r="M5" s="904"/>
    </row>
    <row r="6" spans="1:14" s="538" customFormat="1" ht="13.5" customHeight="1">
      <c r="B6" s="545"/>
      <c r="C6" s="908" t="s">
        <v>53</v>
      </c>
      <c r="D6" s="908"/>
      <c r="E6" s="593"/>
      <c r="F6" s="908" t="s">
        <v>53</v>
      </c>
      <c r="G6" s="908"/>
      <c r="H6" s="594"/>
      <c r="I6" s="902" t="s">
        <v>53</v>
      </c>
      <c r="J6" s="902"/>
      <c r="K6" s="547"/>
      <c r="L6" s="902" t="s">
        <v>53</v>
      </c>
      <c r="M6" s="902"/>
    </row>
    <row r="7" spans="1:14" s="538" customFormat="1" ht="13.5" customHeight="1">
      <c r="B7" s="545"/>
      <c r="C7" s="595" t="s">
        <v>397</v>
      </c>
      <c r="D7" s="595" t="s">
        <v>398</v>
      </c>
      <c r="E7" s="595"/>
      <c r="F7" s="596" t="s">
        <v>397</v>
      </c>
      <c r="G7" s="595" t="s">
        <v>398</v>
      </c>
      <c r="H7" s="595"/>
      <c r="I7" s="548" t="s">
        <v>397</v>
      </c>
      <c r="J7" s="548" t="s">
        <v>398</v>
      </c>
      <c r="K7" s="548"/>
      <c r="L7" s="549" t="s">
        <v>397</v>
      </c>
      <c r="M7" s="548" t="s">
        <v>398</v>
      </c>
    </row>
    <row r="8" spans="1:14" ht="6.75" customHeight="1">
      <c r="A8" s="611"/>
      <c r="B8" s="611"/>
      <c r="C8" s="611"/>
      <c r="D8" s="611"/>
      <c r="E8" s="611"/>
      <c r="F8" s="611"/>
      <c r="G8" s="611"/>
      <c r="H8" s="611"/>
      <c r="I8" s="611"/>
      <c r="J8" s="611"/>
      <c r="K8" s="611"/>
      <c r="L8" s="611"/>
      <c r="M8" s="611"/>
    </row>
    <row r="9" spans="1:14" ht="13.5" customHeight="1">
      <c r="A9" s="905" t="s">
        <v>399</v>
      </c>
      <c r="B9" s="905"/>
      <c r="C9" s="612"/>
      <c r="D9" s="612">
        <v>112575.26016500001</v>
      </c>
      <c r="E9" s="612"/>
      <c r="F9" s="612"/>
      <c r="G9" s="612">
        <v>119658.53406399998</v>
      </c>
      <c r="H9" s="612"/>
      <c r="I9" s="613"/>
      <c r="J9" s="613">
        <v>118.83177382010437</v>
      </c>
      <c r="K9" s="613"/>
      <c r="L9" s="613"/>
      <c r="M9" s="613">
        <v>120.19469861403979</v>
      </c>
      <c r="N9" s="614"/>
    </row>
    <row r="10" spans="1:14" ht="13.5" customHeight="1">
      <c r="A10" s="611"/>
      <c r="B10" s="615" t="s">
        <v>481</v>
      </c>
      <c r="C10" s="612"/>
      <c r="D10" s="612">
        <v>36007.371931000016</v>
      </c>
      <c r="E10" s="612"/>
      <c r="F10" s="612"/>
      <c r="G10" s="612">
        <v>32883.851851999978</v>
      </c>
      <c r="H10" s="612"/>
      <c r="I10" s="613"/>
      <c r="J10" s="613">
        <v>102.572161378319</v>
      </c>
      <c r="K10" s="613"/>
      <c r="L10" s="613"/>
      <c r="M10" s="613">
        <v>93.850635447314019</v>
      </c>
    </row>
    <row r="11" spans="1:14" ht="13.5" customHeight="1">
      <c r="A11" s="611"/>
      <c r="B11" s="615" t="s">
        <v>482</v>
      </c>
      <c r="C11" s="612"/>
      <c r="D11" s="612">
        <v>76567.888233999998</v>
      </c>
      <c r="E11" s="612"/>
      <c r="F11" s="612"/>
      <c r="G11" s="612">
        <v>86774.682212</v>
      </c>
      <c r="H11" s="612"/>
      <c r="I11" s="613"/>
      <c r="J11" s="613">
        <v>128.40378658858583</v>
      </c>
      <c r="K11" s="613"/>
      <c r="L11" s="613"/>
      <c r="M11" s="613">
        <v>134.50222890134373</v>
      </c>
    </row>
    <row r="12" spans="1:14" ht="13.5" customHeight="1">
      <c r="A12" s="905" t="s">
        <v>404</v>
      </c>
      <c r="B12" s="905"/>
      <c r="C12" s="616"/>
      <c r="D12" s="616"/>
      <c r="E12" s="616"/>
      <c r="F12" s="616"/>
      <c r="G12" s="616"/>
      <c r="H12" s="616"/>
      <c r="I12" s="617"/>
      <c r="J12" s="617"/>
      <c r="K12" s="617"/>
      <c r="L12" s="617"/>
      <c r="M12" s="617"/>
    </row>
    <row r="13" spans="1:14" ht="13.5" customHeight="1">
      <c r="A13" s="611"/>
      <c r="B13" s="563" t="s">
        <v>443</v>
      </c>
      <c r="C13" s="616"/>
      <c r="D13" s="616">
        <v>821.20706799999994</v>
      </c>
      <c r="E13" s="616"/>
      <c r="F13" s="616"/>
      <c r="G13" s="616">
        <v>845.28239800000028</v>
      </c>
      <c r="H13" s="616"/>
      <c r="I13" s="617"/>
      <c r="J13" s="617">
        <v>139.73725106838475</v>
      </c>
      <c r="K13" s="617"/>
      <c r="L13" s="617"/>
      <c r="M13" s="617">
        <v>127.89075868913633</v>
      </c>
    </row>
    <row r="14" spans="1:14" ht="13.5" customHeight="1">
      <c r="A14" s="611"/>
      <c r="B14" s="563" t="s">
        <v>444</v>
      </c>
      <c r="C14" s="616"/>
      <c r="D14" s="616">
        <v>388.30417299999999</v>
      </c>
      <c r="E14" s="616"/>
      <c r="F14" s="616"/>
      <c r="G14" s="616">
        <v>331.97058300000003</v>
      </c>
      <c r="H14" s="616"/>
      <c r="I14" s="617"/>
      <c r="J14" s="617">
        <v>133.67960339219897</v>
      </c>
      <c r="K14" s="617"/>
      <c r="L14" s="617"/>
      <c r="M14" s="617">
        <v>112.04836083411969</v>
      </c>
    </row>
    <row r="15" spans="1:14" ht="13.5" customHeight="1">
      <c r="A15" s="611"/>
      <c r="B15" s="563" t="s">
        <v>406</v>
      </c>
      <c r="C15" s="616"/>
      <c r="D15" s="616">
        <v>595.86470800000018</v>
      </c>
      <c r="E15" s="616"/>
      <c r="F15" s="616"/>
      <c r="G15" s="616">
        <v>707.20295699999986</v>
      </c>
      <c r="H15" s="616"/>
      <c r="I15" s="617"/>
      <c r="J15" s="617">
        <v>112.47769637531152</v>
      </c>
      <c r="K15" s="617"/>
      <c r="L15" s="617"/>
      <c r="M15" s="617">
        <v>110.82456413999286</v>
      </c>
    </row>
    <row r="16" spans="1:14" ht="13.5" customHeight="1">
      <c r="A16" s="611"/>
      <c r="B16" s="563" t="s">
        <v>407</v>
      </c>
      <c r="C16" s="616">
        <v>1063.8870000000002</v>
      </c>
      <c r="D16" s="616">
        <v>1568.0290709999999</v>
      </c>
      <c r="E16" s="616"/>
      <c r="F16" s="616">
        <v>838.1163626610595</v>
      </c>
      <c r="G16" s="616">
        <v>1232.030976</v>
      </c>
      <c r="H16" s="616"/>
      <c r="I16" s="617">
        <v>127.31738665275284</v>
      </c>
      <c r="J16" s="617">
        <v>158.96517799831784</v>
      </c>
      <c r="K16" s="617"/>
      <c r="L16" s="617">
        <v>124.12529918649375</v>
      </c>
      <c r="M16" s="617">
        <v>140.70345798582633</v>
      </c>
    </row>
    <row r="17" spans="1:13" ht="13.5" customHeight="1">
      <c r="A17" s="611"/>
      <c r="B17" s="563" t="s">
        <v>445</v>
      </c>
      <c r="C17" s="616">
        <v>1435.481</v>
      </c>
      <c r="D17" s="616">
        <v>386.40272499999992</v>
      </c>
      <c r="E17" s="616"/>
      <c r="F17" s="616">
        <v>1147.1447232352373</v>
      </c>
      <c r="G17" s="616">
        <v>304.55126600000017</v>
      </c>
      <c r="H17" s="616"/>
      <c r="I17" s="617">
        <v>87.859445061260672</v>
      </c>
      <c r="J17" s="617">
        <v>86.839833977971452</v>
      </c>
      <c r="K17" s="617"/>
      <c r="L17" s="617">
        <v>80.55695425231842</v>
      </c>
      <c r="M17" s="617">
        <v>77.829197308160076</v>
      </c>
    </row>
    <row r="18" spans="1:13" ht="13.5" customHeight="1">
      <c r="A18" s="611"/>
      <c r="B18" s="563" t="s">
        <v>13</v>
      </c>
      <c r="C18" s="616">
        <v>2318.8789999999999</v>
      </c>
      <c r="D18" s="616">
        <v>605.91982200000029</v>
      </c>
      <c r="E18" s="616"/>
      <c r="F18" s="616">
        <v>3748.0008651312983</v>
      </c>
      <c r="G18" s="616">
        <v>911.03753599999982</v>
      </c>
      <c r="H18" s="616"/>
      <c r="I18" s="617">
        <v>111.62044373246664</v>
      </c>
      <c r="J18" s="617">
        <v>117.76830298624374</v>
      </c>
      <c r="K18" s="617"/>
      <c r="L18" s="617">
        <v>115.71207413015439</v>
      </c>
      <c r="M18" s="617">
        <v>118.42725661223363</v>
      </c>
    </row>
    <row r="19" spans="1:13" ht="13.5" customHeight="1">
      <c r="A19" s="611"/>
      <c r="B19" s="563" t="s">
        <v>15</v>
      </c>
      <c r="C19" s="616">
        <v>644.79000000000008</v>
      </c>
      <c r="D19" s="616">
        <v>295.43377399999997</v>
      </c>
      <c r="E19" s="616"/>
      <c r="F19" s="616">
        <v>729.30896700778965</v>
      </c>
      <c r="G19" s="616">
        <v>347.63803200000007</v>
      </c>
      <c r="H19" s="616"/>
      <c r="I19" s="617">
        <v>121.87142063303054</v>
      </c>
      <c r="J19" s="617">
        <v>110.55128214929364</v>
      </c>
      <c r="K19" s="617"/>
      <c r="L19" s="617">
        <v>138.97105272332459</v>
      </c>
      <c r="M19" s="617">
        <v>132.54692193890344</v>
      </c>
    </row>
    <row r="20" spans="1:13" ht="13.5" customHeight="1">
      <c r="A20" s="611"/>
      <c r="B20" s="563" t="s">
        <v>446</v>
      </c>
      <c r="C20" s="616"/>
      <c r="D20" s="616">
        <v>408.30637200000001</v>
      </c>
      <c r="E20" s="616"/>
      <c r="F20" s="616"/>
      <c r="G20" s="616">
        <v>459.24572200000011</v>
      </c>
      <c r="H20" s="616"/>
      <c r="I20" s="617"/>
      <c r="J20" s="617">
        <v>128.71366163547432</v>
      </c>
      <c r="K20" s="617"/>
      <c r="L20" s="617"/>
      <c r="M20" s="617">
        <v>117.91172656433631</v>
      </c>
    </row>
    <row r="21" spans="1:13" ht="13.5" customHeight="1">
      <c r="A21" s="611"/>
      <c r="B21" s="563" t="s">
        <v>447</v>
      </c>
      <c r="C21" s="616"/>
      <c r="D21" s="616">
        <v>334.53425699999991</v>
      </c>
      <c r="E21" s="616"/>
      <c r="F21" s="616"/>
      <c r="G21" s="616">
        <v>323.89694200000008</v>
      </c>
      <c r="H21" s="616"/>
      <c r="I21" s="617"/>
      <c r="J21" s="617">
        <v>101.94620517782673</v>
      </c>
      <c r="K21" s="617"/>
      <c r="L21" s="617"/>
      <c r="M21" s="617">
        <v>87.384318284674606</v>
      </c>
    </row>
    <row r="22" spans="1:13" ht="13.5" customHeight="1">
      <c r="A22" s="611"/>
      <c r="B22" s="563" t="s">
        <v>448</v>
      </c>
      <c r="C22" s="616"/>
      <c r="D22" s="616">
        <v>1163.2204110000002</v>
      </c>
      <c r="E22" s="616"/>
      <c r="F22" s="616"/>
      <c r="G22" s="616">
        <v>1147.2200699999999</v>
      </c>
      <c r="H22" s="616"/>
      <c r="I22" s="617"/>
      <c r="J22" s="617">
        <v>87.136865442352629</v>
      </c>
      <c r="K22" s="617"/>
      <c r="L22" s="617"/>
      <c r="M22" s="617">
        <v>104.97824558831559</v>
      </c>
    </row>
    <row r="23" spans="1:13" ht="13.5" customHeight="1">
      <c r="A23" s="611"/>
      <c r="B23" s="563" t="s">
        <v>449</v>
      </c>
      <c r="C23" s="616">
        <v>8200.7950000000001</v>
      </c>
      <c r="D23" s="616">
        <v>801.27421200000015</v>
      </c>
      <c r="E23" s="616"/>
      <c r="F23" s="616">
        <v>7405.0018313387245</v>
      </c>
      <c r="G23" s="616">
        <v>765.20579699999996</v>
      </c>
      <c r="H23" s="616"/>
      <c r="I23" s="617">
        <v>122.05372998736121</v>
      </c>
      <c r="J23" s="617">
        <v>113.8395690475148</v>
      </c>
      <c r="K23" s="617"/>
      <c r="L23" s="617">
        <v>108.45864169592548</v>
      </c>
      <c r="M23" s="617">
        <v>106.33597066776987</v>
      </c>
    </row>
    <row r="24" spans="1:13" ht="13.5" customHeight="1">
      <c r="A24" s="611"/>
      <c r="B24" s="563" t="s">
        <v>450</v>
      </c>
      <c r="C24" s="616">
        <v>20747.174999999996</v>
      </c>
      <c r="D24" s="616">
        <v>2024.7865189999998</v>
      </c>
      <c r="E24" s="616"/>
      <c r="F24" s="616">
        <v>11579.177671502643</v>
      </c>
      <c r="G24" s="616">
        <v>1326.6773830000002</v>
      </c>
      <c r="H24" s="616"/>
      <c r="I24" s="617">
        <v>110.55463032265138</v>
      </c>
      <c r="J24" s="617">
        <v>90.004762389583632</v>
      </c>
      <c r="K24" s="617"/>
      <c r="L24" s="617">
        <v>70.641440989481382</v>
      </c>
      <c r="M24" s="617">
        <v>68.167602714617203</v>
      </c>
    </row>
    <row r="25" spans="1:13" ht="13.5" customHeight="1">
      <c r="A25" s="611"/>
      <c r="B25" s="563" t="s">
        <v>402</v>
      </c>
      <c r="C25" s="616">
        <v>3397.2929999999997</v>
      </c>
      <c r="D25" s="616">
        <v>1805.0721479999997</v>
      </c>
      <c r="E25" s="616"/>
      <c r="F25" s="616">
        <v>3154.4514315450888</v>
      </c>
      <c r="G25" s="616">
        <v>1986.8858050000003</v>
      </c>
      <c r="H25" s="616"/>
      <c r="I25" s="617">
        <v>98.031799731121112</v>
      </c>
      <c r="J25" s="617">
        <v>80.467658769259486</v>
      </c>
      <c r="K25" s="617"/>
      <c r="L25" s="617">
        <v>89.929544314184056</v>
      </c>
      <c r="M25" s="617">
        <v>95.104570304293262</v>
      </c>
    </row>
    <row r="26" spans="1:13" ht="13.5" customHeight="1">
      <c r="A26" s="611"/>
      <c r="B26" s="563" t="s">
        <v>451</v>
      </c>
      <c r="C26" s="616">
        <v>2633.8649999999998</v>
      </c>
      <c r="D26" s="616">
        <v>1733.6785699999996</v>
      </c>
      <c r="E26" s="616"/>
      <c r="F26" s="616">
        <v>2663.4910973462856</v>
      </c>
      <c r="G26" s="616">
        <v>1828.7878290000008</v>
      </c>
      <c r="H26" s="616"/>
      <c r="I26" s="617">
        <v>91.172562090693305</v>
      </c>
      <c r="J26" s="617">
        <v>75.325840217854591</v>
      </c>
      <c r="K26" s="617"/>
      <c r="L26" s="617">
        <v>127.41958557502547</v>
      </c>
      <c r="M26" s="617">
        <v>119.05259993827588</v>
      </c>
    </row>
    <row r="27" spans="1:13" ht="13.5" customHeight="1">
      <c r="A27" s="611"/>
      <c r="B27" s="563" t="s">
        <v>452</v>
      </c>
      <c r="C27" s="616">
        <v>915.81499999999994</v>
      </c>
      <c r="D27" s="616">
        <v>580.34363400000007</v>
      </c>
      <c r="E27" s="616"/>
      <c r="F27" s="616">
        <v>900.05324636379862</v>
      </c>
      <c r="G27" s="616">
        <v>509.56580699999995</v>
      </c>
      <c r="H27" s="616"/>
      <c r="I27" s="617">
        <v>110.28321778953082</v>
      </c>
      <c r="J27" s="617">
        <v>115.14135278330298</v>
      </c>
      <c r="K27" s="617"/>
      <c r="L27" s="617">
        <v>108.88316032384758</v>
      </c>
      <c r="M27" s="617">
        <v>95.485520546427125</v>
      </c>
    </row>
    <row r="28" spans="1:13" ht="13.5" customHeight="1">
      <c r="A28" s="611"/>
      <c r="B28" s="563" t="s">
        <v>453</v>
      </c>
      <c r="C28" s="616"/>
      <c r="D28" s="616">
        <v>440.28239499999995</v>
      </c>
      <c r="E28" s="616"/>
      <c r="F28" s="616"/>
      <c r="G28" s="616">
        <v>603.08268900000007</v>
      </c>
      <c r="H28" s="616"/>
      <c r="I28" s="617"/>
      <c r="J28" s="617">
        <v>128.57930488504138</v>
      </c>
      <c r="K28" s="617"/>
      <c r="L28" s="617"/>
      <c r="M28" s="617">
        <v>156.58622067706111</v>
      </c>
    </row>
    <row r="29" spans="1:13" ht="13.5" customHeight="1">
      <c r="A29" s="611"/>
      <c r="B29" s="563" t="s">
        <v>454</v>
      </c>
      <c r="C29" s="616"/>
      <c r="D29" s="616">
        <v>2049.3324039999993</v>
      </c>
      <c r="E29" s="616"/>
      <c r="F29" s="616"/>
      <c r="G29" s="616">
        <v>1995.325824</v>
      </c>
      <c r="H29" s="616"/>
      <c r="I29" s="617"/>
      <c r="J29" s="617">
        <v>91.377419151664441</v>
      </c>
      <c r="K29" s="617"/>
      <c r="L29" s="617"/>
      <c r="M29" s="617">
        <v>94.757040827516576</v>
      </c>
    </row>
    <row r="30" spans="1:13" ht="13.5" customHeight="1">
      <c r="A30" s="611"/>
      <c r="B30" s="563" t="s">
        <v>455</v>
      </c>
      <c r="C30" s="616"/>
      <c r="D30" s="616">
        <v>1992.0168670000003</v>
      </c>
      <c r="E30" s="616"/>
      <c r="F30" s="616"/>
      <c r="G30" s="616">
        <v>2078.6092119999998</v>
      </c>
      <c r="H30" s="616"/>
      <c r="I30" s="617"/>
      <c r="J30" s="617">
        <v>101.03247160352117</v>
      </c>
      <c r="K30" s="617"/>
      <c r="L30" s="617"/>
      <c r="M30" s="617">
        <v>105.21340039873486</v>
      </c>
    </row>
    <row r="31" spans="1:13" ht="13.5" customHeight="1">
      <c r="A31" s="611"/>
      <c r="B31" s="563" t="s">
        <v>456</v>
      </c>
      <c r="C31" s="616"/>
      <c r="D31" s="616">
        <v>1173.2411500000001</v>
      </c>
      <c r="E31" s="616"/>
      <c r="F31" s="616"/>
      <c r="G31" s="616">
        <v>1082.0973450000001</v>
      </c>
      <c r="H31" s="616"/>
      <c r="I31" s="617"/>
      <c r="J31" s="617">
        <v>107.47219390318602</v>
      </c>
      <c r="K31" s="617"/>
      <c r="L31" s="617"/>
      <c r="M31" s="617">
        <v>96.981864018907785</v>
      </c>
    </row>
    <row r="32" spans="1:13" ht="13.5" customHeight="1">
      <c r="A32" s="611"/>
      <c r="B32" s="563" t="s">
        <v>457</v>
      </c>
      <c r="C32" s="616">
        <v>1828.9819999999997</v>
      </c>
      <c r="D32" s="616">
        <v>621.81070599999998</v>
      </c>
      <c r="E32" s="616"/>
      <c r="F32" s="616">
        <v>1660.0718433243017</v>
      </c>
      <c r="G32" s="616">
        <v>653.79490099999998</v>
      </c>
      <c r="H32" s="616"/>
      <c r="I32" s="617">
        <v>123.05587962607866</v>
      </c>
      <c r="J32" s="617">
        <v>125.49012981219822</v>
      </c>
      <c r="K32" s="617"/>
      <c r="L32" s="617">
        <v>132.2802245896942</v>
      </c>
      <c r="M32" s="617">
        <v>149.2348637136445</v>
      </c>
    </row>
    <row r="33" spans="1:16" ht="13.5" customHeight="1">
      <c r="A33" s="611"/>
      <c r="B33" s="563" t="s">
        <v>458</v>
      </c>
      <c r="C33" s="616"/>
      <c r="D33" s="616">
        <v>372.2070359999999</v>
      </c>
      <c r="E33" s="616"/>
      <c r="F33" s="616"/>
      <c r="G33" s="616">
        <v>403.20126800000014</v>
      </c>
      <c r="H33" s="616"/>
      <c r="I33" s="617"/>
      <c r="J33" s="617">
        <v>99.773555035560406</v>
      </c>
      <c r="K33" s="617"/>
      <c r="L33" s="617"/>
      <c r="M33" s="617">
        <v>108.91282519820165</v>
      </c>
    </row>
    <row r="34" spans="1:16" ht="13.5" customHeight="1">
      <c r="A34" s="611"/>
      <c r="B34" s="563" t="s">
        <v>459</v>
      </c>
      <c r="C34" s="616">
        <v>2424.4899999999998</v>
      </c>
      <c r="D34" s="616">
        <v>3210.6129400000004</v>
      </c>
      <c r="E34" s="616"/>
      <c r="F34" s="616">
        <v>2428.2443280071539</v>
      </c>
      <c r="G34" s="616">
        <v>3130.2610569999993</v>
      </c>
      <c r="H34" s="616"/>
      <c r="I34" s="617">
        <v>114.47661848508727</v>
      </c>
      <c r="J34" s="617">
        <v>107.47911889424712</v>
      </c>
      <c r="K34" s="617"/>
      <c r="L34" s="617">
        <v>111.92799752968024</v>
      </c>
      <c r="M34" s="617">
        <v>101.72387614584729</v>
      </c>
    </row>
    <row r="35" spans="1:16" ht="13.5" customHeight="1">
      <c r="A35" s="611"/>
      <c r="B35" s="563" t="s">
        <v>421</v>
      </c>
      <c r="C35" s="616"/>
      <c r="D35" s="616">
        <v>2729.596853</v>
      </c>
      <c r="E35" s="616"/>
      <c r="F35" s="616"/>
      <c r="G35" s="616">
        <v>2914.3773689999998</v>
      </c>
      <c r="H35" s="616"/>
      <c r="I35" s="617"/>
      <c r="J35" s="617">
        <v>122.81689867265717</v>
      </c>
      <c r="K35" s="617"/>
      <c r="L35" s="617"/>
      <c r="M35" s="617">
        <v>125.06408464085766</v>
      </c>
    </row>
    <row r="36" spans="1:16" ht="13.5" customHeight="1">
      <c r="A36" s="611"/>
      <c r="B36" s="563" t="s">
        <v>422</v>
      </c>
      <c r="C36" s="616">
        <v>408.93799999999993</v>
      </c>
      <c r="D36" s="616">
        <v>682.87172400000009</v>
      </c>
      <c r="E36" s="616"/>
      <c r="F36" s="616">
        <v>490.19356596771826</v>
      </c>
      <c r="G36" s="616">
        <v>761.01170300000013</v>
      </c>
      <c r="H36" s="616"/>
      <c r="I36" s="617">
        <v>105.58906458176259</v>
      </c>
      <c r="J36" s="617">
        <v>110.6337681539807</v>
      </c>
      <c r="K36" s="617"/>
      <c r="L36" s="617">
        <v>97.777256808836825</v>
      </c>
      <c r="M36" s="617">
        <v>95.971455430808177</v>
      </c>
    </row>
    <row r="37" spans="1:16" ht="13.5" customHeight="1">
      <c r="A37" s="611"/>
      <c r="B37" s="563" t="s">
        <v>423</v>
      </c>
      <c r="C37" s="616"/>
      <c r="D37" s="616">
        <v>318.80970100000008</v>
      </c>
      <c r="E37" s="616"/>
      <c r="F37" s="616"/>
      <c r="G37" s="616">
        <v>322.45166099999989</v>
      </c>
      <c r="H37" s="616"/>
      <c r="I37" s="617"/>
      <c r="J37" s="617">
        <v>118.70276679799223</v>
      </c>
      <c r="K37" s="617"/>
      <c r="L37" s="617"/>
      <c r="M37" s="617">
        <v>112.94902378130931</v>
      </c>
    </row>
    <row r="38" spans="1:16" ht="13.5" customHeight="1">
      <c r="A38" s="611"/>
      <c r="B38" s="563" t="s">
        <v>425</v>
      </c>
      <c r="C38" s="616"/>
      <c r="D38" s="616">
        <v>844.43953700000009</v>
      </c>
      <c r="E38" s="616"/>
      <c r="F38" s="616"/>
      <c r="G38" s="616">
        <v>862.6923559999999</v>
      </c>
      <c r="H38" s="616"/>
      <c r="I38" s="617"/>
      <c r="J38" s="617">
        <v>116.07284224458978</v>
      </c>
      <c r="K38" s="617"/>
      <c r="L38" s="617"/>
      <c r="M38" s="617">
        <v>111.8817648037091</v>
      </c>
    </row>
    <row r="39" spans="1:16" ht="13.5" customHeight="1">
      <c r="A39" s="611"/>
      <c r="B39" s="563" t="s">
        <v>460</v>
      </c>
      <c r="C39" s="616">
        <v>723.37800000000004</v>
      </c>
      <c r="D39" s="616">
        <v>615.19502399999988</v>
      </c>
      <c r="E39" s="616"/>
      <c r="F39" s="616">
        <v>808.04042013156607</v>
      </c>
      <c r="G39" s="616">
        <v>638.19203100000004</v>
      </c>
      <c r="H39" s="616"/>
      <c r="I39" s="617">
        <v>112.90749545016092</v>
      </c>
      <c r="J39" s="617">
        <v>108.14014225715229</v>
      </c>
      <c r="K39" s="617"/>
      <c r="L39" s="617">
        <v>120.18991736338616</v>
      </c>
      <c r="M39" s="617">
        <v>108.41380947977433</v>
      </c>
    </row>
    <row r="40" spans="1:16" ht="13.5" customHeight="1">
      <c r="A40" s="611"/>
      <c r="B40" s="563" t="s">
        <v>461</v>
      </c>
      <c r="C40" s="616"/>
      <c r="D40" s="616">
        <v>335.43663500000002</v>
      </c>
      <c r="E40" s="616"/>
      <c r="F40" s="616"/>
      <c r="G40" s="616">
        <v>359.79067899999995</v>
      </c>
      <c r="H40" s="616"/>
      <c r="I40" s="617"/>
      <c r="J40" s="617">
        <v>123.53545179313193</v>
      </c>
      <c r="K40" s="617"/>
      <c r="L40" s="617"/>
      <c r="M40" s="617">
        <v>117.80979261609272</v>
      </c>
    </row>
    <row r="41" spans="1:16" ht="13.5" customHeight="1">
      <c r="A41" s="611"/>
      <c r="B41" s="563" t="s">
        <v>462</v>
      </c>
      <c r="C41" s="616">
        <v>491.59899999999999</v>
      </c>
      <c r="D41" s="616">
        <v>834.03416100000004</v>
      </c>
      <c r="E41" s="616"/>
      <c r="F41" s="616">
        <v>381.78569289758553</v>
      </c>
      <c r="G41" s="616">
        <v>638.61660899999993</v>
      </c>
      <c r="H41" s="616"/>
      <c r="I41" s="617">
        <v>130.37340546848066</v>
      </c>
      <c r="J41" s="617">
        <v>108.41595661164185</v>
      </c>
      <c r="K41" s="617"/>
      <c r="L41" s="617">
        <v>105.6989578925821</v>
      </c>
      <c r="M41" s="617">
        <v>92.436794406782013</v>
      </c>
    </row>
    <row r="42" spans="1:16" ht="13.5" customHeight="1">
      <c r="A42" s="611"/>
      <c r="B42" s="563" t="s">
        <v>463</v>
      </c>
      <c r="C42" s="616">
        <v>327.76199999999994</v>
      </c>
      <c r="D42" s="616">
        <v>744.045117</v>
      </c>
      <c r="E42" s="616"/>
      <c r="F42" s="616">
        <v>330.67267382673663</v>
      </c>
      <c r="G42" s="616">
        <v>716.51904299999967</v>
      </c>
      <c r="H42" s="616"/>
      <c r="I42" s="617">
        <v>104.61001283041509</v>
      </c>
      <c r="J42" s="617">
        <v>105.67732632044687</v>
      </c>
      <c r="K42" s="617"/>
      <c r="L42" s="617">
        <v>104.46341545779943</v>
      </c>
      <c r="M42" s="617">
        <v>98.692067890889192</v>
      </c>
    </row>
    <row r="43" spans="1:16" ht="13.5" customHeight="1">
      <c r="A43" s="611"/>
      <c r="B43" s="563" t="s">
        <v>464</v>
      </c>
      <c r="C43" s="616"/>
      <c r="D43" s="616">
        <v>4090.3170810000001</v>
      </c>
      <c r="E43" s="616"/>
      <c r="F43" s="616"/>
      <c r="G43" s="616">
        <v>3684.4463269999997</v>
      </c>
      <c r="H43" s="616"/>
      <c r="I43" s="617"/>
      <c r="J43" s="617">
        <v>99.040229102108057</v>
      </c>
      <c r="K43" s="617"/>
      <c r="L43" s="617"/>
      <c r="M43" s="617">
        <v>99.881601723093084</v>
      </c>
    </row>
    <row r="44" spans="1:16" ht="13.5" customHeight="1">
      <c r="A44" s="611"/>
      <c r="B44" s="563" t="s">
        <v>465</v>
      </c>
      <c r="C44" s="616"/>
      <c r="D44" s="616">
        <v>1876.5984230000001</v>
      </c>
      <c r="E44" s="616"/>
      <c r="F44" s="616"/>
      <c r="G44" s="616">
        <v>1834.6524689999994</v>
      </c>
      <c r="H44" s="616"/>
      <c r="I44" s="617"/>
      <c r="J44" s="617">
        <v>100.04176056647019</v>
      </c>
      <c r="K44" s="617"/>
      <c r="L44" s="617"/>
      <c r="M44" s="617">
        <v>99.832176169787786</v>
      </c>
    </row>
    <row r="45" spans="1:16" ht="13.5" customHeight="1">
      <c r="A45" s="611"/>
      <c r="B45" s="563" t="s">
        <v>431</v>
      </c>
      <c r="C45" s="616"/>
      <c r="D45" s="616">
        <v>363.06772099999995</v>
      </c>
      <c r="E45" s="616"/>
      <c r="F45" s="616"/>
      <c r="G45" s="616">
        <v>361.89015499999999</v>
      </c>
      <c r="H45" s="616"/>
      <c r="I45" s="617"/>
      <c r="J45" s="617">
        <v>87.155003149033448</v>
      </c>
      <c r="K45" s="617"/>
      <c r="L45" s="617"/>
      <c r="M45" s="617">
        <v>110.77842514122889</v>
      </c>
    </row>
    <row r="46" spans="1:16" ht="13.5" customHeight="1">
      <c r="A46" s="611"/>
      <c r="B46" s="563" t="s">
        <v>466</v>
      </c>
      <c r="C46" s="616">
        <v>1649.0849999999998</v>
      </c>
      <c r="D46" s="616">
        <v>534.83572500000002</v>
      </c>
      <c r="E46" s="616"/>
      <c r="F46" s="616">
        <v>1572.528621176333</v>
      </c>
      <c r="G46" s="616">
        <v>502.73309999999992</v>
      </c>
      <c r="H46" s="616"/>
      <c r="I46" s="617">
        <v>141.73643538776108</v>
      </c>
      <c r="J46" s="617">
        <v>124.87887056670455</v>
      </c>
      <c r="K46" s="617"/>
      <c r="L46" s="617">
        <v>144.07173874028464</v>
      </c>
      <c r="M46" s="617">
        <v>123.27102075970444</v>
      </c>
    </row>
    <row r="47" spans="1:16" ht="13.5" customHeight="1">
      <c r="A47" s="611"/>
      <c r="B47" s="563" t="s">
        <v>467</v>
      </c>
      <c r="C47" s="616">
        <v>3829.125</v>
      </c>
      <c r="D47" s="616">
        <v>2733.2761340000006</v>
      </c>
      <c r="E47" s="616"/>
      <c r="F47" s="616">
        <v>3624.1768914250533</v>
      </c>
      <c r="G47" s="616">
        <v>2601.8745199999994</v>
      </c>
      <c r="H47" s="616"/>
      <c r="I47" s="617">
        <v>92.573878385249003</v>
      </c>
      <c r="J47" s="617">
        <v>89.801720511772714</v>
      </c>
      <c r="K47" s="617"/>
      <c r="L47" s="617">
        <v>89.182518506193205</v>
      </c>
      <c r="M47" s="617">
        <v>86.766861135241811</v>
      </c>
    </row>
    <row r="48" spans="1:16" ht="13.5" customHeight="1">
      <c r="A48" s="611"/>
      <c r="B48" s="563" t="s">
        <v>433</v>
      </c>
      <c r="C48" s="616"/>
      <c r="D48" s="616">
        <v>2039.9069069999996</v>
      </c>
      <c r="E48" s="616"/>
      <c r="F48" s="616"/>
      <c r="G48" s="616">
        <v>2257.7829830000001</v>
      </c>
      <c r="H48" s="616"/>
      <c r="I48" s="617"/>
      <c r="J48" s="617">
        <v>119.10898722647229</v>
      </c>
      <c r="K48" s="617"/>
      <c r="L48" s="617"/>
      <c r="M48" s="617">
        <v>134.47943075949141</v>
      </c>
      <c r="P48" s="614"/>
    </row>
    <row r="49" spans="1:13" ht="13.5" customHeight="1">
      <c r="A49" s="611"/>
      <c r="B49" s="563" t="s">
        <v>468</v>
      </c>
      <c r="C49" s="616">
        <v>588.81100000000004</v>
      </c>
      <c r="D49" s="616">
        <v>2796.7710419999994</v>
      </c>
      <c r="E49" s="616"/>
      <c r="F49" s="616">
        <v>580.37054950302252</v>
      </c>
      <c r="G49" s="616">
        <v>2740.158023</v>
      </c>
      <c r="H49" s="616"/>
      <c r="I49" s="617">
        <v>105.2536461806046</v>
      </c>
      <c r="J49" s="617">
        <v>110.97596567340705</v>
      </c>
      <c r="K49" s="617"/>
      <c r="L49" s="617">
        <v>105.62312424869332</v>
      </c>
      <c r="M49" s="617">
        <v>112.21999347101594</v>
      </c>
    </row>
    <row r="50" spans="1:13" ht="13.5" customHeight="1">
      <c r="A50" s="611"/>
      <c r="B50" s="563" t="s">
        <v>469</v>
      </c>
      <c r="C50" s="616"/>
      <c r="D50" s="616">
        <v>1245.0547519999996</v>
      </c>
      <c r="E50" s="616"/>
      <c r="F50" s="616"/>
      <c r="G50" s="616">
        <v>1346.7792950000003</v>
      </c>
      <c r="H50" s="616"/>
      <c r="I50" s="617"/>
      <c r="J50" s="617">
        <v>152.28047212042557</v>
      </c>
      <c r="K50" s="617"/>
      <c r="L50" s="617"/>
      <c r="M50" s="617">
        <v>159.45101849163473</v>
      </c>
    </row>
    <row r="51" spans="1:13" ht="13.5" customHeight="1">
      <c r="A51" s="611"/>
      <c r="B51" s="563" t="s">
        <v>435</v>
      </c>
      <c r="C51" s="616"/>
      <c r="D51" s="616">
        <v>36303.075469000003</v>
      </c>
      <c r="E51" s="616"/>
      <c r="F51" s="616"/>
      <c r="G51" s="616">
        <v>42029.733210000006</v>
      </c>
      <c r="H51" s="616"/>
      <c r="I51" s="617"/>
      <c r="J51" s="617">
        <v>142.09326144897346</v>
      </c>
      <c r="K51" s="617"/>
      <c r="L51" s="617"/>
      <c r="M51" s="617">
        <v>141.84641944394264</v>
      </c>
    </row>
    <row r="52" spans="1:13" ht="13.5" customHeight="1">
      <c r="A52" s="611"/>
      <c r="B52" s="563" t="s">
        <v>470</v>
      </c>
      <c r="C52" s="616"/>
      <c r="D52" s="616">
        <v>661.41634999999997</v>
      </c>
      <c r="E52" s="616"/>
      <c r="F52" s="616"/>
      <c r="G52" s="616">
        <v>465.79389000000015</v>
      </c>
      <c r="H52" s="616"/>
      <c r="I52" s="617"/>
      <c r="J52" s="617">
        <v>99.061334533230905</v>
      </c>
      <c r="K52" s="617"/>
      <c r="L52" s="617"/>
      <c r="M52" s="617">
        <v>102.62545170938331</v>
      </c>
    </row>
    <row r="53" spans="1:13" ht="13.5" customHeight="1">
      <c r="A53" s="611"/>
      <c r="B53" s="563" t="s">
        <v>436</v>
      </c>
      <c r="C53" s="616"/>
      <c r="D53" s="616">
        <v>2405.7135629999993</v>
      </c>
      <c r="E53" s="616"/>
      <c r="F53" s="616"/>
      <c r="G53" s="616">
        <v>3238.3209770000012</v>
      </c>
      <c r="H53" s="616"/>
      <c r="I53" s="617"/>
      <c r="J53" s="617">
        <v>107.75260404420717</v>
      </c>
      <c r="K53" s="617"/>
      <c r="L53" s="617"/>
      <c r="M53" s="617">
        <v>112.68831180024952</v>
      </c>
    </row>
    <row r="54" spans="1:13" ht="13.5" customHeight="1">
      <c r="A54" s="611"/>
      <c r="B54" s="563" t="s">
        <v>437</v>
      </c>
      <c r="C54" s="616"/>
      <c r="D54" s="616">
        <v>605.00047599999994</v>
      </c>
      <c r="E54" s="616"/>
      <c r="F54" s="616"/>
      <c r="G54" s="616">
        <v>692.75837799999999</v>
      </c>
      <c r="H54" s="616"/>
      <c r="I54" s="617"/>
      <c r="J54" s="617">
        <v>112.48024674123462</v>
      </c>
      <c r="K54" s="617"/>
      <c r="L54" s="617"/>
      <c r="M54" s="617">
        <v>125.98408644278771</v>
      </c>
    </row>
    <row r="55" spans="1:13" ht="13.5" customHeight="1">
      <c r="A55" s="611"/>
      <c r="B55" s="563" t="s">
        <v>438</v>
      </c>
      <c r="C55" s="616"/>
      <c r="D55" s="616">
        <v>15341.777511000004</v>
      </c>
      <c r="E55" s="616"/>
      <c r="F55" s="616"/>
      <c r="G55" s="616">
        <v>16276.832353999998</v>
      </c>
      <c r="H55" s="616"/>
      <c r="I55" s="617"/>
      <c r="J55" s="617">
        <v>126.48931665850627</v>
      </c>
      <c r="K55" s="617"/>
      <c r="L55" s="617"/>
      <c r="M55" s="617">
        <v>125.31588033416234</v>
      </c>
    </row>
    <row r="56" spans="1:13" ht="13.5" customHeight="1">
      <c r="A56" s="611"/>
      <c r="B56" s="563" t="s">
        <v>439</v>
      </c>
      <c r="C56" s="616"/>
      <c r="D56" s="616">
        <v>1177.0217420000001</v>
      </c>
      <c r="E56" s="616"/>
      <c r="F56" s="616"/>
      <c r="G56" s="616">
        <v>1185.2540209999995</v>
      </c>
      <c r="H56" s="616"/>
      <c r="I56" s="617"/>
      <c r="J56" s="617">
        <v>141.70157971986447</v>
      </c>
      <c r="K56" s="617"/>
      <c r="L56" s="617"/>
      <c r="M56" s="617">
        <v>131.26052694918752</v>
      </c>
    </row>
    <row r="57" spans="1:13" ht="13.5" customHeight="1">
      <c r="A57" s="611"/>
      <c r="B57" s="563" t="s">
        <v>158</v>
      </c>
      <c r="C57" s="616"/>
      <c r="D57" s="616">
        <v>2622.8447430000001</v>
      </c>
      <c r="E57" s="616"/>
      <c r="F57" s="616"/>
      <c r="G57" s="616">
        <v>2659.9189760000004</v>
      </c>
      <c r="H57" s="616"/>
      <c r="I57" s="617"/>
      <c r="J57" s="617">
        <v>130.53174208497882</v>
      </c>
      <c r="K57" s="617"/>
      <c r="L57" s="617"/>
      <c r="M57" s="617">
        <v>113.72475233753676</v>
      </c>
    </row>
    <row r="58" spans="1:13" ht="13.5" customHeight="1">
      <c r="A58" s="611"/>
      <c r="B58" s="563" t="s">
        <v>471</v>
      </c>
      <c r="C58" s="616">
        <v>56360</v>
      </c>
      <c r="D58" s="616">
        <v>1252.023545</v>
      </c>
      <c r="E58" s="616"/>
      <c r="F58" s="616">
        <v>53274.815318696812</v>
      </c>
      <c r="G58" s="616">
        <v>1188.7048789999999</v>
      </c>
      <c r="H58" s="616"/>
      <c r="I58" s="617">
        <v>133.68438530325673</v>
      </c>
      <c r="J58" s="617">
        <v>143.54735672041309</v>
      </c>
      <c r="K58" s="617"/>
      <c r="L58" s="617">
        <v>105.1034077467977</v>
      </c>
      <c r="M58" s="617">
        <v>116.71915269206596</v>
      </c>
    </row>
    <row r="59" spans="1:13" ht="13.5" customHeight="1">
      <c r="A59" s="611"/>
      <c r="B59" s="563" t="s">
        <v>472</v>
      </c>
      <c r="C59" s="616"/>
      <c r="D59" s="616">
        <v>430.27681899999993</v>
      </c>
      <c r="E59" s="616"/>
      <c r="F59" s="616"/>
      <c r="G59" s="616">
        <v>371.57081400000004</v>
      </c>
      <c r="H59" s="616"/>
      <c r="I59" s="617"/>
      <c r="J59" s="617">
        <v>120.52961065479772</v>
      </c>
      <c r="K59" s="617"/>
      <c r="L59" s="617"/>
      <c r="M59" s="617">
        <v>113.68164277859269</v>
      </c>
    </row>
    <row r="60" spans="1:13" ht="13.5" customHeight="1">
      <c r="B60" s="578" t="s">
        <v>473</v>
      </c>
    </row>
    <row r="61" spans="1:13" ht="13.5" customHeight="1">
      <c r="G61" s="614"/>
    </row>
  </sheetData>
  <mergeCells count="14">
    <mergeCell ref="A12:B12"/>
    <mergeCell ref="C4:D4"/>
    <mergeCell ref="F4:G4"/>
    <mergeCell ref="H4:H5"/>
    <mergeCell ref="I4:M4"/>
    <mergeCell ref="C5:D5"/>
    <mergeCell ref="F5:G5"/>
    <mergeCell ref="I5:J5"/>
    <mergeCell ref="L5:M5"/>
    <mergeCell ref="C6:D6"/>
    <mergeCell ref="F6:G6"/>
    <mergeCell ref="I6:J6"/>
    <mergeCell ref="L6:M6"/>
    <mergeCell ref="A9:B9"/>
  </mergeCells>
  <pageMargins left="0.7" right="0.17" top="0.74803149606299202" bottom="0.511811023622047" header="0.43307086614173201" footer="0.31496062992126"/>
  <pageSetup paperSize="9" scale="96" orientation="portrait" r:id="rId1"/>
  <headerFooter alignWithMargins="0">
    <oddHeader>&amp;C&amp;"Times New Roman,Regular"&amp;13&amp;P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5DF5-318E-4030-97B5-242B83617252}">
  <sheetPr>
    <pageSetUpPr fitToPage="1"/>
  </sheetPr>
  <dimension ref="A1:I71"/>
  <sheetViews>
    <sheetView workbookViewId="0">
      <selection activeCell="D13" sqref="D13"/>
    </sheetView>
  </sheetViews>
  <sheetFormatPr defaultColWidth="7.85546875" defaultRowHeight="12"/>
  <cols>
    <col min="1" max="1" width="35" style="295" customWidth="1"/>
    <col min="2" max="7" width="8.85546875" style="295" customWidth="1"/>
    <col min="8" max="241" width="7.85546875" style="295"/>
    <col min="242" max="242" width="1.7109375" style="295" customWidth="1"/>
    <col min="243" max="243" width="31.5703125" style="295" customWidth="1"/>
    <col min="244" max="249" width="8.140625" style="295" customWidth="1"/>
    <col min="250" max="497" width="7.85546875" style="295"/>
    <col min="498" max="498" width="1.7109375" style="295" customWidth="1"/>
    <col min="499" max="499" width="31.5703125" style="295" customWidth="1"/>
    <col min="500" max="505" width="8.140625" style="295" customWidth="1"/>
    <col min="506" max="753" width="7.85546875" style="295"/>
    <col min="754" max="754" width="1.7109375" style="295" customWidth="1"/>
    <col min="755" max="755" width="31.5703125" style="295" customWidth="1"/>
    <col min="756" max="761" width="8.140625" style="295" customWidth="1"/>
    <col min="762" max="1009" width="7.85546875" style="295"/>
    <col min="1010" max="1010" width="1.7109375" style="295" customWidth="1"/>
    <col min="1011" max="1011" width="31.5703125" style="295" customWidth="1"/>
    <col min="1012" max="1017" width="8.140625" style="295" customWidth="1"/>
    <col min="1018" max="1265" width="7.85546875" style="295"/>
    <col min="1266" max="1266" width="1.7109375" style="295" customWidth="1"/>
    <col min="1267" max="1267" width="31.5703125" style="295" customWidth="1"/>
    <col min="1268" max="1273" width="8.140625" style="295" customWidth="1"/>
    <col min="1274" max="1521" width="7.85546875" style="295"/>
    <col min="1522" max="1522" width="1.7109375" style="295" customWidth="1"/>
    <col min="1523" max="1523" width="31.5703125" style="295" customWidth="1"/>
    <col min="1524" max="1529" width="8.140625" style="295" customWidth="1"/>
    <col min="1530" max="1777" width="7.85546875" style="295"/>
    <col min="1778" max="1778" width="1.7109375" style="295" customWidth="1"/>
    <col min="1779" max="1779" width="31.5703125" style="295" customWidth="1"/>
    <col min="1780" max="1785" width="8.140625" style="295" customWidth="1"/>
    <col min="1786" max="2033" width="7.85546875" style="295"/>
    <col min="2034" max="2034" width="1.7109375" style="295" customWidth="1"/>
    <col min="2035" max="2035" width="31.5703125" style="295" customWidth="1"/>
    <col min="2036" max="2041" width="8.140625" style="295" customWidth="1"/>
    <col min="2042" max="2289" width="7.85546875" style="295"/>
    <col min="2290" max="2290" width="1.7109375" style="295" customWidth="1"/>
    <col min="2291" max="2291" width="31.5703125" style="295" customWidth="1"/>
    <col min="2292" max="2297" width="8.140625" style="295" customWidth="1"/>
    <col min="2298" max="2545" width="7.85546875" style="295"/>
    <col min="2546" max="2546" width="1.7109375" style="295" customWidth="1"/>
    <col min="2547" max="2547" width="31.5703125" style="295" customWidth="1"/>
    <col min="2548" max="2553" width="8.140625" style="295" customWidth="1"/>
    <col min="2554" max="2801" width="7.85546875" style="295"/>
    <col min="2802" max="2802" width="1.7109375" style="295" customWidth="1"/>
    <col min="2803" max="2803" width="31.5703125" style="295" customWidth="1"/>
    <col min="2804" max="2809" width="8.140625" style="295" customWidth="1"/>
    <col min="2810" max="3057" width="7.85546875" style="295"/>
    <col min="3058" max="3058" width="1.7109375" style="295" customWidth="1"/>
    <col min="3059" max="3059" width="31.5703125" style="295" customWidth="1"/>
    <col min="3060" max="3065" width="8.140625" style="295" customWidth="1"/>
    <col min="3066" max="3313" width="7.85546875" style="295"/>
    <col min="3314" max="3314" width="1.7109375" style="295" customWidth="1"/>
    <col min="3315" max="3315" width="31.5703125" style="295" customWidth="1"/>
    <col min="3316" max="3321" width="8.140625" style="295" customWidth="1"/>
    <col min="3322" max="3569" width="7.85546875" style="295"/>
    <col min="3570" max="3570" width="1.7109375" style="295" customWidth="1"/>
    <col min="3571" max="3571" width="31.5703125" style="295" customWidth="1"/>
    <col min="3572" max="3577" width="8.140625" style="295" customWidth="1"/>
    <col min="3578" max="3825" width="7.85546875" style="295"/>
    <col min="3826" max="3826" width="1.7109375" style="295" customWidth="1"/>
    <col min="3827" max="3827" width="31.5703125" style="295" customWidth="1"/>
    <col min="3828" max="3833" width="8.140625" style="295" customWidth="1"/>
    <col min="3834" max="4081" width="7.85546875" style="295"/>
    <col min="4082" max="4082" width="1.7109375" style="295" customWidth="1"/>
    <col min="4083" max="4083" width="31.5703125" style="295" customWidth="1"/>
    <col min="4084" max="4089" width="8.140625" style="295" customWidth="1"/>
    <col min="4090" max="4337" width="7.85546875" style="295"/>
    <col min="4338" max="4338" width="1.7109375" style="295" customWidth="1"/>
    <col min="4339" max="4339" width="31.5703125" style="295" customWidth="1"/>
    <col min="4340" max="4345" width="8.140625" style="295" customWidth="1"/>
    <col min="4346" max="4593" width="7.85546875" style="295"/>
    <col min="4594" max="4594" width="1.7109375" style="295" customWidth="1"/>
    <col min="4595" max="4595" width="31.5703125" style="295" customWidth="1"/>
    <col min="4596" max="4601" width="8.140625" style="295" customWidth="1"/>
    <col min="4602" max="4849" width="7.85546875" style="295"/>
    <col min="4850" max="4850" width="1.7109375" style="295" customWidth="1"/>
    <col min="4851" max="4851" width="31.5703125" style="295" customWidth="1"/>
    <col min="4852" max="4857" width="8.140625" style="295" customWidth="1"/>
    <col min="4858" max="5105" width="7.85546875" style="295"/>
    <col min="5106" max="5106" width="1.7109375" style="295" customWidth="1"/>
    <col min="5107" max="5107" width="31.5703125" style="295" customWidth="1"/>
    <col min="5108" max="5113" width="8.140625" style="295" customWidth="1"/>
    <col min="5114" max="5361" width="7.85546875" style="295"/>
    <col min="5362" max="5362" width="1.7109375" style="295" customWidth="1"/>
    <col min="5363" max="5363" width="31.5703125" style="295" customWidth="1"/>
    <col min="5364" max="5369" width="8.140625" style="295" customWidth="1"/>
    <col min="5370" max="5617" width="7.85546875" style="295"/>
    <col min="5618" max="5618" width="1.7109375" style="295" customWidth="1"/>
    <col min="5619" max="5619" width="31.5703125" style="295" customWidth="1"/>
    <col min="5620" max="5625" width="8.140625" style="295" customWidth="1"/>
    <col min="5626" max="5873" width="7.85546875" style="295"/>
    <col min="5874" max="5874" width="1.7109375" style="295" customWidth="1"/>
    <col min="5875" max="5875" width="31.5703125" style="295" customWidth="1"/>
    <col min="5876" max="5881" width="8.140625" style="295" customWidth="1"/>
    <col min="5882" max="6129" width="7.85546875" style="295"/>
    <col min="6130" max="6130" width="1.7109375" style="295" customWidth="1"/>
    <col min="6131" max="6131" width="31.5703125" style="295" customWidth="1"/>
    <col min="6132" max="6137" width="8.140625" style="295" customWidth="1"/>
    <col min="6138" max="6385" width="7.85546875" style="295"/>
    <col min="6386" max="6386" width="1.7109375" style="295" customWidth="1"/>
    <col min="6387" max="6387" width="31.5703125" style="295" customWidth="1"/>
    <col min="6388" max="6393" width="8.140625" style="295" customWidth="1"/>
    <col min="6394" max="6641" width="7.85546875" style="295"/>
    <col min="6642" max="6642" width="1.7109375" style="295" customWidth="1"/>
    <col min="6643" max="6643" width="31.5703125" style="295" customWidth="1"/>
    <col min="6644" max="6649" width="8.140625" style="295" customWidth="1"/>
    <col min="6650" max="6897" width="7.85546875" style="295"/>
    <col min="6898" max="6898" width="1.7109375" style="295" customWidth="1"/>
    <col min="6899" max="6899" width="31.5703125" style="295" customWidth="1"/>
    <col min="6900" max="6905" width="8.140625" style="295" customWidth="1"/>
    <col min="6906" max="7153" width="7.85546875" style="295"/>
    <col min="7154" max="7154" width="1.7109375" style="295" customWidth="1"/>
    <col min="7155" max="7155" width="31.5703125" style="295" customWidth="1"/>
    <col min="7156" max="7161" width="8.140625" style="295" customWidth="1"/>
    <col min="7162" max="7409" width="7.85546875" style="295"/>
    <col min="7410" max="7410" width="1.7109375" style="295" customWidth="1"/>
    <col min="7411" max="7411" width="31.5703125" style="295" customWidth="1"/>
    <col min="7412" max="7417" width="8.140625" style="295" customWidth="1"/>
    <col min="7418" max="7665" width="7.85546875" style="295"/>
    <col min="7666" max="7666" width="1.7109375" style="295" customWidth="1"/>
    <col min="7667" max="7667" width="31.5703125" style="295" customWidth="1"/>
    <col min="7668" max="7673" width="8.140625" style="295" customWidth="1"/>
    <col min="7674" max="7921" width="7.85546875" style="295"/>
    <col min="7922" max="7922" width="1.7109375" style="295" customWidth="1"/>
    <col min="7923" max="7923" width="31.5703125" style="295" customWidth="1"/>
    <col min="7924" max="7929" width="8.140625" style="295" customWidth="1"/>
    <col min="7930" max="8177" width="7.85546875" style="295"/>
    <col min="8178" max="8178" width="1.7109375" style="295" customWidth="1"/>
    <col min="8179" max="8179" width="31.5703125" style="295" customWidth="1"/>
    <col min="8180" max="8185" width="8.140625" style="295" customWidth="1"/>
    <col min="8186" max="8433" width="7.85546875" style="295"/>
    <col min="8434" max="8434" width="1.7109375" style="295" customWidth="1"/>
    <col min="8435" max="8435" width="31.5703125" style="295" customWidth="1"/>
    <col min="8436" max="8441" width="8.140625" style="295" customWidth="1"/>
    <col min="8442" max="8689" width="7.85546875" style="295"/>
    <col min="8690" max="8690" width="1.7109375" style="295" customWidth="1"/>
    <col min="8691" max="8691" width="31.5703125" style="295" customWidth="1"/>
    <col min="8692" max="8697" width="8.140625" style="295" customWidth="1"/>
    <col min="8698" max="8945" width="7.85546875" style="295"/>
    <col min="8946" max="8946" width="1.7109375" style="295" customWidth="1"/>
    <col min="8947" max="8947" width="31.5703125" style="295" customWidth="1"/>
    <col min="8948" max="8953" width="8.140625" style="295" customWidth="1"/>
    <col min="8954" max="9201" width="7.85546875" style="295"/>
    <col min="9202" max="9202" width="1.7109375" style="295" customWidth="1"/>
    <col min="9203" max="9203" width="31.5703125" style="295" customWidth="1"/>
    <col min="9204" max="9209" width="8.140625" style="295" customWidth="1"/>
    <col min="9210" max="9457" width="7.85546875" style="295"/>
    <col min="9458" max="9458" width="1.7109375" style="295" customWidth="1"/>
    <col min="9459" max="9459" width="31.5703125" style="295" customWidth="1"/>
    <col min="9460" max="9465" width="8.140625" style="295" customWidth="1"/>
    <col min="9466" max="9713" width="7.85546875" style="295"/>
    <col min="9714" max="9714" width="1.7109375" style="295" customWidth="1"/>
    <col min="9715" max="9715" width="31.5703125" style="295" customWidth="1"/>
    <col min="9716" max="9721" width="8.140625" style="295" customWidth="1"/>
    <col min="9722" max="9969" width="7.85546875" style="295"/>
    <col min="9970" max="9970" width="1.7109375" style="295" customWidth="1"/>
    <col min="9971" max="9971" width="31.5703125" style="295" customWidth="1"/>
    <col min="9972" max="9977" width="8.140625" style="295" customWidth="1"/>
    <col min="9978" max="10225" width="7.85546875" style="295"/>
    <col min="10226" max="10226" width="1.7109375" style="295" customWidth="1"/>
    <col min="10227" max="10227" width="31.5703125" style="295" customWidth="1"/>
    <col min="10228" max="10233" width="8.140625" style="295" customWidth="1"/>
    <col min="10234" max="10481" width="7.85546875" style="295"/>
    <col min="10482" max="10482" width="1.7109375" style="295" customWidth="1"/>
    <col min="10483" max="10483" width="31.5703125" style="295" customWidth="1"/>
    <col min="10484" max="10489" width="8.140625" style="295" customWidth="1"/>
    <col min="10490" max="10737" width="7.85546875" style="295"/>
    <col min="10738" max="10738" width="1.7109375" style="295" customWidth="1"/>
    <col min="10739" max="10739" width="31.5703125" style="295" customWidth="1"/>
    <col min="10740" max="10745" width="8.140625" style="295" customWidth="1"/>
    <col min="10746" max="10993" width="7.85546875" style="295"/>
    <col min="10994" max="10994" width="1.7109375" style="295" customWidth="1"/>
    <col min="10995" max="10995" width="31.5703125" style="295" customWidth="1"/>
    <col min="10996" max="11001" width="8.140625" style="295" customWidth="1"/>
    <col min="11002" max="11249" width="7.85546875" style="295"/>
    <col min="11250" max="11250" width="1.7109375" style="295" customWidth="1"/>
    <col min="11251" max="11251" width="31.5703125" style="295" customWidth="1"/>
    <col min="11252" max="11257" width="8.140625" style="295" customWidth="1"/>
    <col min="11258" max="11505" width="7.85546875" style="295"/>
    <col min="11506" max="11506" width="1.7109375" style="295" customWidth="1"/>
    <col min="11507" max="11507" width="31.5703125" style="295" customWidth="1"/>
    <col min="11508" max="11513" width="8.140625" style="295" customWidth="1"/>
    <col min="11514" max="11761" width="7.85546875" style="295"/>
    <col min="11762" max="11762" width="1.7109375" style="295" customWidth="1"/>
    <col min="11763" max="11763" width="31.5703125" style="295" customWidth="1"/>
    <col min="11764" max="11769" width="8.140625" style="295" customWidth="1"/>
    <col min="11770" max="12017" width="7.85546875" style="295"/>
    <col min="12018" max="12018" width="1.7109375" style="295" customWidth="1"/>
    <col min="12019" max="12019" width="31.5703125" style="295" customWidth="1"/>
    <col min="12020" max="12025" width="8.140625" style="295" customWidth="1"/>
    <col min="12026" max="12273" width="7.85546875" style="295"/>
    <col min="12274" max="12274" width="1.7109375" style="295" customWidth="1"/>
    <col min="12275" max="12275" width="31.5703125" style="295" customWidth="1"/>
    <col min="12276" max="12281" width="8.140625" style="295" customWidth="1"/>
    <col min="12282" max="12529" width="7.85546875" style="295"/>
    <col min="12530" max="12530" width="1.7109375" style="295" customWidth="1"/>
    <col min="12531" max="12531" width="31.5703125" style="295" customWidth="1"/>
    <col min="12532" max="12537" width="8.140625" style="295" customWidth="1"/>
    <col min="12538" max="12785" width="7.85546875" style="295"/>
    <col min="12786" max="12786" width="1.7109375" style="295" customWidth="1"/>
    <col min="12787" max="12787" width="31.5703125" style="295" customWidth="1"/>
    <col min="12788" max="12793" width="8.140625" style="295" customWidth="1"/>
    <col min="12794" max="13041" width="7.85546875" style="295"/>
    <col min="13042" max="13042" width="1.7109375" style="295" customWidth="1"/>
    <col min="13043" max="13043" width="31.5703125" style="295" customWidth="1"/>
    <col min="13044" max="13049" width="8.140625" style="295" customWidth="1"/>
    <col min="13050" max="13297" width="7.85546875" style="295"/>
    <col min="13298" max="13298" width="1.7109375" style="295" customWidth="1"/>
    <col min="13299" max="13299" width="31.5703125" style="295" customWidth="1"/>
    <col min="13300" max="13305" width="8.140625" style="295" customWidth="1"/>
    <col min="13306" max="13553" width="7.85546875" style="295"/>
    <col min="13554" max="13554" width="1.7109375" style="295" customWidth="1"/>
    <col min="13555" max="13555" width="31.5703125" style="295" customWidth="1"/>
    <col min="13556" max="13561" width="8.140625" style="295" customWidth="1"/>
    <col min="13562" max="13809" width="7.85546875" style="295"/>
    <col min="13810" max="13810" width="1.7109375" style="295" customWidth="1"/>
    <col min="13811" max="13811" width="31.5703125" style="295" customWidth="1"/>
    <col min="13812" max="13817" width="8.140625" style="295" customWidth="1"/>
    <col min="13818" max="14065" width="7.85546875" style="295"/>
    <col min="14066" max="14066" width="1.7109375" style="295" customWidth="1"/>
    <col min="14067" max="14067" width="31.5703125" style="295" customWidth="1"/>
    <col min="14068" max="14073" width="8.140625" style="295" customWidth="1"/>
    <col min="14074" max="14321" width="7.85546875" style="295"/>
    <col min="14322" max="14322" width="1.7109375" style="295" customWidth="1"/>
    <col min="14323" max="14323" width="31.5703125" style="295" customWidth="1"/>
    <col min="14324" max="14329" width="8.140625" style="295" customWidth="1"/>
    <col min="14330" max="14577" width="7.85546875" style="295"/>
    <col min="14578" max="14578" width="1.7109375" style="295" customWidth="1"/>
    <col min="14579" max="14579" width="31.5703125" style="295" customWidth="1"/>
    <col min="14580" max="14585" width="8.140625" style="295" customWidth="1"/>
    <col min="14586" max="14833" width="7.85546875" style="295"/>
    <col min="14834" max="14834" width="1.7109375" style="295" customWidth="1"/>
    <col min="14835" max="14835" width="31.5703125" style="295" customWidth="1"/>
    <col min="14836" max="14841" width="8.140625" style="295" customWidth="1"/>
    <col min="14842" max="15089" width="7.85546875" style="295"/>
    <col min="15090" max="15090" width="1.7109375" style="295" customWidth="1"/>
    <col min="15091" max="15091" width="31.5703125" style="295" customWidth="1"/>
    <col min="15092" max="15097" width="8.140625" style="295" customWidth="1"/>
    <col min="15098" max="15345" width="7.85546875" style="295"/>
    <col min="15346" max="15346" width="1.7109375" style="295" customWidth="1"/>
    <col min="15347" max="15347" width="31.5703125" style="295" customWidth="1"/>
    <col min="15348" max="15353" width="8.140625" style="295" customWidth="1"/>
    <col min="15354" max="15601" width="7.85546875" style="295"/>
    <col min="15602" max="15602" width="1.7109375" style="295" customWidth="1"/>
    <col min="15603" max="15603" width="31.5703125" style="295" customWidth="1"/>
    <col min="15604" max="15609" width="8.140625" style="295" customWidth="1"/>
    <col min="15610" max="15857" width="7.85546875" style="295"/>
    <col min="15858" max="15858" width="1.7109375" style="295" customWidth="1"/>
    <col min="15859" max="15859" width="31.5703125" style="295" customWidth="1"/>
    <col min="15860" max="15865" width="8.140625" style="295" customWidth="1"/>
    <col min="15866" max="16113" width="7.85546875" style="295"/>
    <col min="16114" max="16114" width="1.7109375" style="295" customWidth="1"/>
    <col min="16115" max="16115" width="31.5703125" style="295" customWidth="1"/>
    <col min="16116" max="16121" width="8.140625" style="295" customWidth="1"/>
    <col min="16122" max="16384" width="7.85546875" style="295"/>
  </cols>
  <sheetData>
    <row r="1" spans="1:9" s="619" customFormat="1" ht="20.100000000000001" customHeight="1">
      <c r="A1" s="618" t="s">
        <v>662</v>
      </c>
    </row>
    <row r="2" spans="1:9" ht="20.100000000000001" customHeight="1">
      <c r="A2" s="620"/>
      <c r="B2" s="620"/>
      <c r="C2" s="620"/>
      <c r="D2" s="620"/>
      <c r="E2" s="620"/>
    </row>
    <row r="3" spans="1:9" ht="20.100000000000001" customHeight="1">
      <c r="F3" s="296"/>
      <c r="G3" s="296" t="s">
        <v>312</v>
      </c>
    </row>
    <row r="4" spans="1:9" ht="20.100000000000001" customHeight="1">
      <c r="A4" s="621"/>
      <c r="B4" s="117" t="s">
        <v>2</v>
      </c>
      <c r="C4" s="117" t="s">
        <v>19</v>
      </c>
      <c r="D4" s="117" t="s">
        <v>115</v>
      </c>
      <c r="E4" s="882" t="s">
        <v>21</v>
      </c>
      <c r="F4" s="882"/>
      <c r="G4" s="883"/>
    </row>
    <row r="5" spans="1:9" ht="20.100000000000001" customHeight="1">
      <c r="B5" s="118" t="s">
        <v>22</v>
      </c>
      <c r="C5" s="118" t="s">
        <v>42</v>
      </c>
      <c r="D5" s="118" t="s">
        <v>24</v>
      </c>
      <c r="E5" s="118" t="s">
        <v>25</v>
      </c>
      <c r="F5" s="118" t="s">
        <v>26</v>
      </c>
      <c r="G5" s="118" t="s">
        <v>24</v>
      </c>
    </row>
    <row r="6" spans="1:9" ht="20.100000000000001" customHeight="1">
      <c r="B6" s="30" t="s">
        <v>28</v>
      </c>
      <c r="C6" s="30" t="s">
        <v>28</v>
      </c>
      <c r="D6" s="30" t="s">
        <v>28</v>
      </c>
      <c r="E6" s="30" t="s">
        <v>28</v>
      </c>
      <c r="F6" s="30" t="s">
        <v>28</v>
      </c>
      <c r="G6" s="30" t="s">
        <v>28</v>
      </c>
    </row>
    <row r="7" spans="1:9" ht="20.100000000000001" customHeight="1">
      <c r="B7" s="32">
        <v>2025</v>
      </c>
      <c r="C7" s="32">
        <v>2025</v>
      </c>
      <c r="D7" s="32">
        <v>2025</v>
      </c>
      <c r="E7" s="32">
        <v>2025</v>
      </c>
      <c r="F7" s="32">
        <v>2025</v>
      </c>
      <c r="G7" s="32">
        <v>2025</v>
      </c>
    </row>
    <row r="8" spans="1:9" ht="20.100000000000001" customHeight="1">
      <c r="B8" s="30"/>
      <c r="C8" s="30"/>
      <c r="D8" s="30"/>
      <c r="E8" s="30"/>
      <c r="F8" s="30"/>
      <c r="G8" s="30"/>
    </row>
    <row r="9" spans="1:9" s="625" customFormat="1" ht="20.100000000000001" customHeight="1">
      <c r="A9" s="622" t="s">
        <v>483</v>
      </c>
      <c r="B9" s="623">
        <v>6835</v>
      </c>
      <c r="C9" s="623">
        <v>7519</v>
      </c>
      <c r="D9" s="623">
        <v>21987</v>
      </c>
      <c r="E9" s="624">
        <v>114.39330543933055</v>
      </c>
      <c r="F9" s="624">
        <v>120.22705468500159</v>
      </c>
      <c r="G9" s="624">
        <v>119.11262798634812</v>
      </c>
      <c r="I9" s="626"/>
    </row>
    <row r="10" spans="1:9" ht="20.100000000000001" customHeight="1">
      <c r="A10" s="627" t="s">
        <v>484</v>
      </c>
      <c r="B10" s="628">
        <v>1950</v>
      </c>
      <c r="C10" s="629">
        <v>2300</v>
      </c>
      <c r="D10" s="628">
        <v>6300</v>
      </c>
      <c r="E10" s="630">
        <v>114.03508771929825</v>
      </c>
      <c r="F10" s="631">
        <v>121.6931216931217</v>
      </c>
      <c r="G10" s="631">
        <v>120.92130518234165</v>
      </c>
    </row>
    <row r="11" spans="1:9" ht="20.100000000000001" customHeight="1">
      <c r="A11" s="627" t="s">
        <v>485</v>
      </c>
      <c r="B11" s="628">
        <v>103</v>
      </c>
      <c r="C11" s="629">
        <v>102</v>
      </c>
      <c r="D11" s="628">
        <v>312</v>
      </c>
      <c r="E11" s="630">
        <v>93.63636363636364</v>
      </c>
      <c r="F11" s="631">
        <v>85</v>
      </c>
      <c r="G11" s="631">
        <v>92.857142857142861</v>
      </c>
    </row>
    <row r="12" spans="1:9" ht="20.100000000000001" customHeight="1">
      <c r="A12" s="627" t="s">
        <v>486</v>
      </c>
      <c r="B12" s="628">
        <v>3420</v>
      </c>
      <c r="C12" s="629">
        <v>3500</v>
      </c>
      <c r="D12" s="628">
        <v>11120</v>
      </c>
      <c r="E12" s="630">
        <v>119.58041958041959</v>
      </c>
      <c r="F12" s="631">
        <v>130.59701492537314</v>
      </c>
      <c r="G12" s="631">
        <v>126.50739476678044</v>
      </c>
    </row>
    <row r="13" spans="1:9" ht="20.100000000000001" customHeight="1">
      <c r="A13" s="627" t="s">
        <v>487</v>
      </c>
      <c r="B13" s="628">
        <v>76</v>
      </c>
      <c r="C13" s="629">
        <v>78</v>
      </c>
      <c r="D13" s="628">
        <v>227</v>
      </c>
      <c r="E13" s="630">
        <v>102.70270270270269</v>
      </c>
      <c r="F13" s="630">
        <v>102.63157894736842</v>
      </c>
      <c r="G13" s="630">
        <v>102.25225225225225</v>
      </c>
    </row>
    <row r="14" spans="1:9" ht="20.100000000000001" customHeight="1">
      <c r="A14" s="627" t="s">
        <v>488</v>
      </c>
      <c r="B14" s="628">
        <v>30</v>
      </c>
      <c r="C14" s="629">
        <v>31</v>
      </c>
      <c r="D14" s="628">
        <v>90</v>
      </c>
      <c r="E14" s="630">
        <v>100</v>
      </c>
      <c r="F14" s="631">
        <v>100</v>
      </c>
      <c r="G14" s="631">
        <v>101.12359550561798</v>
      </c>
    </row>
    <row r="15" spans="1:9" ht="20.100000000000001" customHeight="1">
      <c r="A15" s="627" t="s">
        <v>489</v>
      </c>
      <c r="B15" s="628">
        <v>56</v>
      </c>
      <c r="C15" s="629">
        <v>58</v>
      </c>
      <c r="D15" s="628">
        <v>168</v>
      </c>
      <c r="E15" s="630">
        <v>101.81818181818181</v>
      </c>
      <c r="F15" s="630">
        <v>103.57142857142858</v>
      </c>
      <c r="G15" s="630">
        <v>102.4390243902439</v>
      </c>
    </row>
    <row r="16" spans="1:9" ht="20.100000000000001" customHeight="1">
      <c r="A16" s="627" t="s">
        <v>490</v>
      </c>
      <c r="B16" s="628">
        <v>1200</v>
      </c>
      <c r="C16" s="628">
        <v>1450</v>
      </c>
      <c r="D16" s="628">
        <v>3770</v>
      </c>
      <c r="E16" s="630">
        <v>105.63380281690141</v>
      </c>
      <c r="F16" s="632">
        <v>103.49750178443968</v>
      </c>
      <c r="G16" s="632">
        <v>103.34429824561404</v>
      </c>
    </row>
    <row r="17" spans="1:7" s="625" customFormat="1" ht="20.100000000000001" customHeight="1">
      <c r="A17" s="622" t="s">
        <v>491</v>
      </c>
      <c r="B17" s="625">
        <v>10113</v>
      </c>
      <c r="C17" s="625">
        <v>10965</v>
      </c>
      <c r="D17" s="623">
        <v>30292</v>
      </c>
      <c r="E17" s="624">
        <v>117.63405839246248</v>
      </c>
      <c r="F17" s="626">
        <v>113.88658080598255</v>
      </c>
      <c r="G17" s="626">
        <v>116.32425790100227</v>
      </c>
    </row>
    <row r="18" spans="1:7" ht="20.100000000000001" customHeight="1">
      <c r="A18" s="627" t="s">
        <v>486</v>
      </c>
      <c r="B18" s="628">
        <v>3740</v>
      </c>
      <c r="C18" s="628">
        <v>4300</v>
      </c>
      <c r="D18" s="628">
        <v>11440</v>
      </c>
      <c r="E18" s="630">
        <v>126.77966101694915</v>
      </c>
      <c r="F18" s="632">
        <v>116.21621621621621</v>
      </c>
      <c r="G18" s="632">
        <v>123.67567567567568</v>
      </c>
    </row>
    <row r="19" spans="1:7" ht="20.100000000000001" customHeight="1">
      <c r="A19" s="627" t="s">
        <v>484</v>
      </c>
      <c r="B19" s="628">
        <v>4220</v>
      </c>
      <c r="C19" s="628">
        <v>4450</v>
      </c>
      <c r="D19" s="628">
        <v>12405</v>
      </c>
      <c r="E19" s="630">
        <v>119.31014984450098</v>
      </c>
      <c r="F19" s="632">
        <v>118.60341151385927</v>
      </c>
      <c r="G19" s="632">
        <v>118.5493119266055</v>
      </c>
    </row>
    <row r="20" spans="1:7" ht="20.100000000000001" customHeight="1">
      <c r="A20" s="633" t="s">
        <v>492</v>
      </c>
      <c r="B20" s="634">
        <v>3291</v>
      </c>
      <c r="C20" s="634">
        <v>3470</v>
      </c>
      <c r="D20" s="634">
        <v>9675</v>
      </c>
      <c r="E20" s="635">
        <v>119.36887921653971</v>
      </c>
      <c r="F20" s="636">
        <v>118.99862825788752</v>
      </c>
      <c r="G20" s="636">
        <v>118.5226019845645</v>
      </c>
    </row>
    <row r="21" spans="1:7" ht="20.100000000000001" customHeight="1">
      <c r="A21" s="627" t="s">
        <v>485</v>
      </c>
      <c r="B21" s="295">
        <v>79</v>
      </c>
      <c r="C21" s="295">
        <v>97</v>
      </c>
      <c r="D21" s="628">
        <v>256</v>
      </c>
      <c r="E21" s="630">
        <v>92.941176470588232</v>
      </c>
      <c r="F21" s="632">
        <v>88.181818181818187</v>
      </c>
      <c r="G21" s="632">
        <v>93.772893772893767</v>
      </c>
    </row>
    <row r="22" spans="1:7" ht="20.100000000000001" customHeight="1">
      <c r="A22" s="627" t="s">
        <v>487</v>
      </c>
      <c r="B22" s="295">
        <v>98</v>
      </c>
      <c r="C22" s="295">
        <v>105</v>
      </c>
      <c r="D22" s="628">
        <v>290</v>
      </c>
      <c r="E22" s="630">
        <v>101.03092783505154</v>
      </c>
      <c r="F22" s="632">
        <v>100.96153846153845</v>
      </c>
      <c r="G22" s="632">
        <v>101.04529616724737</v>
      </c>
    </row>
    <row r="23" spans="1:7" ht="20.100000000000001" customHeight="1">
      <c r="A23" s="627" t="s">
        <v>488</v>
      </c>
      <c r="B23" s="295">
        <v>285</v>
      </c>
      <c r="C23" s="295">
        <v>300</v>
      </c>
      <c r="D23" s="628">
        <v>838</v>
      </c>
      <c r="E23" s="630">
        <v>117.28395061728396</v>
      </c>
      <c r="F23" s="632">
        <v>117.64705882352942</v>
      </c>
      <c r="G23" s="632">
        <v>116.3888888888889</v>
      </c>
    </row>
    <row r="24" spans="1:7" ht="20.100000000000001" customHeight="1">
      <c r="A24" s="633" t="s">
        <v>493</v>
      </c>
      <c r="B24" s="637">
        <v>275</v>
      </c>
      <c r="C24" s="637">
        <v>290</v>
      </c>
      <c r="D24" s="634">
        <v>808</v>
      </c>
      <c r="E24" s="635">
        <v>119.56521739130434</v>
      </c>
      <c r="F24" s="636">
        <v>118.85245901639345</v>
      </c>
      <c r="G24" s="636">
        <v>118.475073313783</v>
      </c>
    </row>
    <row r="25" spans="1:7" ht="20.100000000000001" customHeight="1">
      <c r="A25" s="627" t="s">
        <v>489</v>
      </c>
      <c r="B25" s="295">
        <v>61</v>
      </c>
      <c r="C25" s="295">
        <v>63</v>
      </c>
      <c r="D25" s="628">
        <v>183</v>
      </c>
      <c r="E25" s="630">
        <v>101.66666666666666</v>
      </c>
      <c r="F25" s="632">
        <v>100</v>
      </c>
      <c r="G25" s="632">
        <v>101.10497237569061</v>
      </c>
    </row>
    <row r="26" spans="1:7" ht="20.100000000000001" customHeight="1">
      <c r="A26" s="627" t="s">
        <v>490</v>
      </c>
      <c r="B26" s="295">
        <v>1630</v>
      </c>
      <c r="C26" s="295">
        <v>1650</v>
      </c>
      <c r="D26" s="628">
        <v>4880</v>
      </c>
      <c r="E26" s="630">
        <v>100.30769230769229</v>
      </c>
      <c r="F26" s="632">
        <v>100.36496350364963</v>
      </c>
      <c r="G26" s="632">
        <v>100.28771064529387</v>
      </c>
    </row>
    <row r="27" spans="1:7" ht="20.100000000000001" customHeight="1">
      <c r="A27" s="638"/>
      <c r="B27" s="627"/>
      <c r="C27" s="639"/>
      <c r="D27" s="639"/>
      <c r="E27" s="640"/>
      <c r="F27" s="640"/>
      <c r="G27" s="632"/>
    </row>
    <row r="28" spans="1:7" ht="20.100000000000001" customHeight="1">
      <c r="A28" s="638"/>
      <c r="B28" s="627"/>
      <c r="C28" s="639"/>
      <c r="D28" s="639"/>
      <c r="E28" s="640"/>
      <c r="F28" s="640"/>
      <c r="G28" s="632"/>
    </row>
    <row r="29" spans="1:7" ht="20.100000000000001" customHeight="1">
      <c r="A29" s="638"/>
      <c r="B29" s="627"/>
    </row>
    <row r="30" spans="1:7" ht="20.100000000000001" customHeight="1">
      <c r="A30" s="638"/>
      <c r="B30" s="627"/>
    </row>
    <row r="31" spans="1:7" ht="20.100000000000001" customHeight="1">
      <c r="A31" s="638"/>
      <c r="B31" s="627"/>
    </row>
    <row r="32" spans="1:7" ht="20.100000000000001" customHeight="1">
      <c r="A32" s="638"/>
      <c r="B32" s="627"/>
    </row>
    <row r="33" spans="1:6" ht="20.100000000000001" customHeight="1">
      <c r="A33" s="638"/>
      <c r="B33" s="627"/>
      <c r="C33" s="639"/>
      <c r="D33" s="639"/>
      <c r="E33" s="640"/>
      <c r="F33" s="640"/>
    </row>
    <row r="34" spans="1:6" ht="20.100000000000001" customHeight="1">
      <c r="A34" s="638"/>
      <c r="B34" s="627"/>
      <c r="C34" s="639"/>
      <c r="D34" s="639"/>
      <c r="E34" s="640"/>
      <c r="F34" s="640"/>
    </row>
    <row r="35" spans="1:6" ht="20.100000000000001" customHeight="1">
      <c r="A35" s="638"/>
      <c r="B35" s="627"/>
    </row>
    <row r="36" spans="1:6" ht="20.100000000000001" customHeight="1">
      <c r="A36" s="638"/>
      <c r="B36" s="627"/>
      <c r="C36" s="639"/>
      <c r="D36" s="639"/>
      <c r="E36" s="640"/>
      <c r="F36" s="640"/>
    </row>
    <row r="37" spans="1:6" ht="20.100000000000001" customHeight="1">
      <c r="A37" s="638"/>
      <c r="B37" s="627"/>
    </row>
    <row r="38" spans="1:6" ht="20.100000000000001" customHeight="1">
      <c r="A38" s="638"/>
      <c r="B38" s="627"/>
      <c r="C38" s="639"/>
      <c r="D38" s="639"/>
      <c r="E38" s="640"/>
      <c r="F38" s="640"/>
    </row>
    <row r="39" spans="1:6" ht="20.100000000000001" customHeight="1">
      <c r="A39" s="638"/>
      <c r="B39" s="627"/>
    </row>
    <row r="40" spans="1:6" ht="20.100000000000001" customHeight="1">
      <c r="A40" s="638"/>
      <c r="B40" s="627"/>
    </row>
    <row r="41" spans="1:6" ht="20.100000000000001" customHeight="1">
      <c r="A41" s="638"/>
      <c r="B41" s="627"/>
    </row>
    <row r="42" spans="1:6" ht="20.100000000000001" customHeight="1">
      <c r="A42" s="638"/>
      <c r="B42" s="627"/>
    </row>
    <row r="43" spans="1:6" ht="20.100000000000001" customHeight="1">
      <c r="A43" s="638"/>
      <c r="B43" s="627"/>
    </row>
    <row r="44" spans="1:6" ht="20.100000000000001" customHeight="1">
      <c r="A44" s="638"/>
      <c r="B44" s="627"/>
    </row>
    <row r="45" spans="1:6" ht="20.100000000000001" customHeight="1">
      <c r="A45" s="638"/>
      <c r="B45" s="627"/>
    </row>
    <row r="46" spans="1:6" ht="20.100000000000001" customHeight="1">
      <c r="A46" s="638"/>
      <c r="B46" s="627"/>
    </row>
    <row r="47" spans="1:6" ht="20.100000000000001" customHeight="1">
      <c r="A47" s="638"/>
      <c r="B47" s="627"/>
    </row>
    <row r="48" spans="1:6" ht="20.100000000000001" customHeight="1">
      <c r="A48" s="638"/>
      <c r="B48" s="627"/>
    </row>
    <row r="49" spans="1:2" ht="15.95" customHeight="1">
      <c r="A49" s="638"/>
      <c r="B49" s="627"/>
    </row>
    <row r="50" spans="1:2" ht="15.95" customHeight="1">
      <c r="A50" s="638"/>
      <c r="B50" s="627"/>
    </row>
    <row r="51" spans="1:2" ht="15.95" customHeight="1">
      <c r="A51" s="638"/>
      <c r="B51" s="627"/>
    </row>
    <row r="52" spans="1:2" ht="15.95" customHeight="1">
      <c r="A52" s="638"/>
      <c r="B52" s="627"/>
    </row>
    <row r="53" spans="1:2" ht="15.95" customHeight="1">
      <c r="A53" s="638"/>
      <c r="B53" s="627"/>
    </row>
    <row r="54" spans="1:2" ht="15.95" customHeight="1">
      <c r="A54" s="638"/>
      <c r="B54" s="627"/>
    </row>
    <row r="55" spans="1:2" ht="15.95" customHeight="1">
      <c r="A55" s="638"/>
      <c r="B55" s="627"/>
    </row>
    <row r="56" spans="1:2" ht="15.95" customHeight="1">
      <c r="A56" s="638"/>
      <c r="B56" s="627"/>
    </row>
    <row r="57" spans="1:2" ht="15.95" customHeight="1">
      <c r="A57" s="638"/>
      <c r="B57" s="627"/>
    </row>
    <row r="58" spans="1:2" ht="15.95" customHeight="1">
      <c r="A58" s="638"/>
      <c r="B58" s="627"/>
    </row>
    <row r="59" spans="1:2" ht="15.95" customHeight="1">
      <c r="A59" s="638"/>
      <c r="B59" s="627"/>
    </row>
    <row r="60" spans="1:2" ht="15.95" customHeight="1">
      <c r="A60" s="638"/>
      <c r="B60" s="627"/>
    </row>
    <row r="61" spans="1:2" ht="15.95" customHeight="1">
      <c r="A61" s="638"/>
      <c r="B61" s="627"/>
    </row>
    <row r="62" spans="1:2" ht="15.95" customHeight="1">
      <c r="A62" s="638"/>
      <c r="B62" s="627"/>
    </row>
    <row r="63" spans="1:2" ht="15.95" customHeight="1">
      <c r="A63" s="638"/>
      <c r="B63" s="627"/>
    </row>
    <row r="64" spans="1:2" ht="15.95" customHeight="1">
      <c r="A64" s="638"/>
      <c r="B64" s="627"/>
    </row>
    <row r="65" spans="1:2" ht="15.95" customHeight="1">
      <c r="A65" s="638"/>
      <c r="B65" s="627"/>
    </row>
    <row r="66" spans="1:2" ht="15.95" customHeight="1">
      <c r="A66" s="638"/>
      <c r="B66" s="627"/>
    </row>
    <row r="67" spans="1:2" ht="15.95" customHeight="1">
      <c r="A67" s="638"/>
      <c r="B67" s="627"/>
    </row>
    <row r="68" spans="1:2" ht="15.95" customHeight="1">
      <c r="A68" s="638"/>
      <c r="B68" s="627"/>
    </row>
    <row r="69" spans="1:2" ht="15.95" customHeight="1">
      <c r="A69" s="638"/>
      <c r="B69" s="627"/>
    </row>
    <row r="70" spans="1:2" ht="15.95" customHeight="1">
      <c r="A70" s="638"/>
      <c r="B70" s="627"/>
    </row>
    <row r="71" spans="1:2">
      <c r="B71" s="627"/>
    </row>
  </sheetData>
  <mergeCells count="1">
    <mergeCell ref="E4:G4"/>
  </mergeCells>
  <pageMargins left="0.86614173228346503" right="0.17" top="0.74803149606299202" bottom="0.511811023622047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L33"/>
  <sheetViews>
    <sheetView workbookViewId="0">
      <selection activeCell="D13" sqref="D13"/>
    </sheetView>
  </sheetViews>
  <sheetFormatPr defaultColWidth="9.28515625" defaultRowHeight="12.75"/>
  <cols>
    <col min="1" max="1" width="2" style="644" customWidth="1"/>
    <col min="2" max="2" width="11.28515625" style="644" customWidth="1"/>
    <col min="3" max="3" width="22.140625" style="644" customWidth="1"/>
    <col min="4" max="4" width="7.28515625" style="644" customWidth="1"/>
    <col min="5" max="7" width="8.7109375" style="644" customWidth="1"/>
    <col min="8" max="9" width="10" style="644" customWidth="1"/>
    <col min="10" max="16384" width="9.28515625" style="644"/>
  </cols>
  <sheetData>
    <row r="1" spans="1:10" ht="19.5" customHeight="1">
      <c r="A1" s="641" t="s">
        <v>663</v>
      </c>
      <c r="B1" s="642"/>
      <c r="C1" s="642"/>
      <c r="D1" s="642"/>
      <c r="E1" s="642"/>
      <c r="F1" s="643"/>
    </row>
    <row r="2" spans="1:10" ht="18" customHeight="1">
      <c r="A2" s="641" t="s">
        <v>494</v>
      </c>
      <c r="B2" s="642"/>
      <c r="C2" s="642"/>
      <c r="D2" s="642"/>
      <c r="E2" s="642"/>
      <c r="F2" s="643"/>
    </row>
    <row r="3" spans="1:10" ht="15">
      <c r="A3" s="645"/>
      <c r="B3" s="646"/>
      <c r="C3" s="646"/>
      <c r="D3" s="646"/>
      <c r="E3" s="646"/>
      <c r="F3" s="646"/>
      <c r="G3" s="647"/>
      <c r="H3" s="647"/>
      <c r="I3" s="645"/>
    </row>
    <row r="4" spans="1:10" ht="15">
      <c r="A4" s="645"/>
      <c r="B4" s="646"/>
      <c r="C4" s="646"/>
      <c r="D4" s="646"/>
      <c r="E4" s="646"/>
      <c r="F4" s="647"/>
      <c r="G4" s="647"/>
      <c r="H4" s="647"/>
      <c r="I4" s="648" t="s">
        <v>61</v>
      </c>
    </row>
    <row r="5" spans="1:10" ht="16.149999999999999" customHeight="1">
      <c r="A5" s="649"/>
      <c r="B5" s="650"/>
      <c r="C5" s="650"/>
      <c r="D5" s="910" t="s">
        <v>495</v>
      </c>
      <c r="E5" s="910"/>
      <c r="F5" s="910"/>
      <c r="G5" s="910"/>
      <c r="H5" s="651" t="s">
        <v>496</v>
      </c>
      <c r="I5" s="651" t="s">
        <v>496</v>
      </c>
    </row>
    <row r="6" spans="1:10" ht="16.149999999999999" customHeight="1">
      <c r="A6" s="645"/>
      <c r="B6" s="646"/>
      <c r="C6" s="646"/>
      <c r="D6" s="652" t="s">
        <v>497</v>
      </c>
      <c r="E6" s="652" t="s">
        <v>63</v>
      </c>
      <c r="F6" s="652" t="s">
        <v>498</v>
      </c>
      <c r="G6" s="652" t="s">
        <v>62</v>
      </c>
      <c r="H6" s="653" t="s">
        <v>42</v>
      </c>
      <c r="I6" s="653" t="s">
        <v>24</v>
      </c>
    </row>
    <row r="7" spans="1:10" ht="16.149999999999999" customHeight="1">
      <c r="A7" s="645"/>
      <c r="B7" s="646"/>
      <c r="C7" s="646"/>
      <c r="D7" s="654" t="s">
        <v>28</v>
      </c>
      <c r="E7" s="652" t="s">
        <v>499</v>
      </c>
      <c r="F7" s="652" t="s">
        <v>499</v>
      </c>
      <c r="G7" s="652" t="s">
        <v>499</v>
      </c>
      <c r="H7" s="653" t="s">
        <v>53</v>
      </c>
      <c r="I7" s="653" t="s">
        <v>53</v>
      </c>
    </row>
    <row r="8" spans="1:10" ht="16.149999999999999" customHeight="1">
      <c r="A8" s="645"/>
      <c r="B8" s="646"/>
      <c r="C8" s="646"/>
      <c r="D8" s="654">
        <v>2019</v>
      </c>
      <c r="E8" s="652">
        <v>2024</v>
      </c>
      <c r="F8" s="652">
        <v>2024</v>
      </c>
      <c r="G8" s="652">
        <v>2025</v>
      </c>
      <c r="H8" s="653" t="s">
        <v>64</v>
      </c>
      <c r="I8" s="653" t="s">
        <v>64</v>
      </c>
    </row>
    <row r="9" spans="1:10" ht="16.149999999999999" customHeight="1">
      <c r="A9" s="645"/>
      <c r="B9" s="646"/>
      <c r="C9" s="646"/>
      <c r="D9" s="654"/>
      <c r="E9" s="652"/>
      <c r="F9" s="652"/>
      <c r="G9" s="652"/>
      <c r="H9" s="653" t="s">
        <v>65</v>
      </c>
      <c r="I9" s="653" t="s">
        <v>65</v>
      </c>
    </row>
    <row r="10" spans="1:10" ht="16.149999999999999" customHeight="1">
      <c r="A10" s="643"/>
      <c r="B10" s="655"/>
      <c r="C10" s="655"/>
      <c r="D10" s="656"/>
      <c r="E10" s="656"/>
      <c r="F10" s="657"/>
      <c r="G10" s="658"/>
      <c r="H10" s="659" t="s">
        <v>68</v>
      </c>
      <c r="I10" s="659" t="s">
        <v>68</v>
      </c>
    </row>
    <row r="11" spans="1:10" ht="20.100000000000001" customHeight="1">
      <c r="A11" s="643"/>
      <c r="B11" s="655"/>
      <c r="C11" s="655"/>
      <c r="D11" s="655"/>
      <c r="E11" s="655"/>
      <c r="F11" s="660"/>
      <c r="H11" s="653"/>
      <c r="I11" s="653"/>
    </row>
    <row r="12" spans="1:10" ht="20.100000000000001" customHeight="1">
      <c r="A12" s="661" t="s">
        <v>500</v>
      </c>
      <c r="B12" s="645"/>
      <c r="C12" s="645"/>
      <c r="D12" s="662">
        <v>120.19846047097566</v>
      </c>
      <c r="E12" s="662">
        <v>103.38278420055637</v>
      </c>
      <c r="F12" s="663">
        <v>102.61384957917703</v>
      </c>
      <c r="G12" s="663">
        <v>100.4235</v>
      </c>
      <c r="H12" s="664">
        <v>103.27067115265449</v>
      </c>
      <c r="I12" s="664">
        <v>103.26795749664213</v>
      </c>
      <c r="J12" s="665"/>
    </row>
    <row r="13" spans="1:10" ht="20.100000000000001" customHeight="1">
      <c r="A13" s="666"/>
      <c r="B13" s="666" t="s">
        <v>501</v>
      </c>
      <c r="C13" s="666"/>
      <c r="D13" s="665">
        <v>124.85475869043458</v>
      </c>
      <c r="E13" s="665">
        <v>102.05652447587494</v>
      </c>
      <c r="F13" s="665">
        <v>101.84999817896163</v>
      </c>
      <c r="G13" s="665">
        <v>100.4076</v>
      </c>
      <c r="H13" s="667">
        <v>102.51894463617745</v>
      </c>
      <c r="I13" s="668">
        <v>103.30067860492599</v>
      </c>
      <c r="J13" s="665"/>
    </row>
    <row r="14" spans="1:10" ht="20.100000000000001" customHeight="1">
      <c r="A14" s="666"/>
      <c r="B14" s="669" t="s">
        <v>502</v>
      </c>
      <c r="C14" s="666" t="s">
        <v>503</v>
      </c>
      <c r="D14" s="665">
        <v>132.44186610547411</v>
      </c>
      <c r="E14" s="665">
        <v>99.276848552039453</v>
      </c>
      <c r="F14" s="665">
        <v>97.946791869266974</v>
      </c>
      <c r="G14" s="665">
        <v>99.985799999999998</v>
      </c>
      <c r="H14" s="667">
        <v>99.857954733809805</v>
      </c>
      <c r="I14" s="668">
        <v>100.68827259202774</v>
      </c>
      <c r="J14" s="665"/>
    </row>
    <row r="15" spans="1:10" ht="20.100000000000001" customHeight="1">
      <c r="A15" s="666"/>
      <c r="B15" s="666"/>
      <c r="C15" s="666" t="s">
        <v>504</v>
      </c>
      <c r="D15" s="665">
        <v>121.48438964140075</v>
      </c>
      <c r="E15" s="665">
        <v>101.93496327536009</v>
      </c>
      <c r="F15" s="665">
        <v>102.08655620152737</v>
      </c>
      <c r="G15" s="665">
        <v>100.4893</v>
      </c>
      <c r="H15" s="667">
        <v>102.48033590398201</v>
      </c>
      <c r="I15" s="668">
        <v>103.58870381497363</v>
      </c>
      <c r="J15" s="665"/>
    </row>
    <row r="16" spans="1:10" ht="20.100000000000001" customHeight="1">
      <c r="A16" s="666"/>
      <c r="B16" s="666"/>
      <c r="C16" s="666" t="s">
        <v>505</v>
      </c>
      <c r="D16" s="665">
        <v>130.27557002736199</v>
      </c>
      <c r="E16" s="665">
        <v>103.56972629910337</v>
      </c>
      <c r="F16" s="665">
        <v>102.96901162020818</v>
      </c>
      <c r="G16" s="665">
        <v>100.3857</v>
      </c>
      <c r="H16" s="667">
        <v>103.77172113352113</v>
      </c>
      <c r="I16" s="668">
        <v>103.71877341020615</v>
      </c>
      <c r="J16" s="665"/>
    </row>
    <row r="17" spans="1:12" ht="20.100000000000001" customHeight="1">
      <c r="A17" s="666"/>
      <c r="B17" s="666" t="s">
        <v>506</v>
      </c>
      <c r="C17" s="666"/>
      <c r="D17" s="665">
        <v>115.96522303185715</v>
      </c>
      <c r="E17" s="665">
        <v>102.35283742143335</v>
      </c>
      <c r="F17" s="665">
        <v>101.76681821383961</v>
      </c>
      <c r="G17" s="665">
        <v>100.1212</v>
      </c>
      <c r="H17" s="667">
        <v>102.28151130531776</v>
      </c>
      <c r="I17" s="668">
        <v>102.20645323154224</v>
      </c>
      <c r="J17" s="665"/>
    </row>
    <row r="18" spans="1:12" ht="20.100000000000001" customHeight="1">
      <c r="A18" s="666"/>
      <c r="B18" s="666" t="s">
        <v>507</v>
      </c>
      <c r="C18" s="666"/>
      <c r="D18" s="665">
        <v>109.3988788029951</v>
      </c>
      <c r="E18" s="665">
        <v>101.40631180170223</v>
      </c>
      <c r="F18" s="665">
        <v>100.82162694505217</v>
      </c>
      <c r="G18" s="665">
        <v>100.07259999999999</v>
      </c>
      <c r="H18" s="667">
        <v>101.42110125810797</v>
      </c>
      <c r="I18" s="668">
        <v>101.26252458653262</v>
      </c>
      <c r="J18" s="665"/>
    </row>
    <row r="19" spans="1:12" ht="20.100000000000001" customHeight="1">
      <c r="A19" s="666"/>
      <c r="B19" s="666" t="s">
        <v>508</v>
      </c>
      <c r="C19" s="666"/>
      <c r="D19" s="665">
        <v>129.67354828917826</v>
      </c>
      <c r="E19" s="665">
        <v>106.86642617856523</v>
      </c>
      <c r="F19" s="665">
        <v>105.26573399144854</v>
      </c>
      <c r="G19" s="665">
        <v>100.40560000000001</v>
      </c>
      <c r="H19" s="667">
        <v>106.97628769338674</v>
      </c>
      <c r="I19" s="668">
        <v>106.1419262526301</v>
      </c>
      <c r="J19" s="665"/>
    </row>
    <row r="20" spans="1:12" ht="20.100000000000001" customHeight="1">
      <c r="A20" s="666"/>
      <c r="B20" s="666" t="s">
        <v>509</v>
      </c>
      <c r="C20" s="666"/>
      <c r="D20" s="665">
        <v>109.94241745034124</v>
      </c>
      <c r="E20" s="665">
        <v>101.68714196243901</v>
      </c>
      <c r="F20" s="665">
        <v>101.23438961442099</v>
      </c>
      <c r="G20" s="665">
        <v>100.1032</v>
      </c>
      <c r="H20" s="667">
        <v>101.70698041005798</v>
      </c>
      <c r="I20" s="668">
        <v>101.63398092938097</v>
      </c>
      <c r="J20" s="665"/>
    </row>
    <row r="21" spans="1:12" ht="20.100000000000001" customHeight="1">
      <c r="A21" s="666"/>
      <c r="B21" s="666" t="s">
        <v>510</v>
      </c>
      <c r="C21" s="666"/>
      <c r="D21" s="665">
        <v>126.207910859975</v>
      </c>
      <c r="E21" s="665">
        <v>112.61992652149608</v>
      </c>
      <c r="F21" s="665">
        <v>110.12707452379369</v>
      </c>
      <c r="G21" s="665">
        <v>100.0292</v>
      </c>
      <c r="H21" s="667">
        <v>112.69109544501524</v>
      </c>
      <c r="I21" s="668">
        <v>113.47891632473456</v>
      </c>
      <c r="J21" s="665"/>
    </row>
    <row r="22" spans="1:12" ht="20.100000000000001" customHeight="1">
      <c r="A22" s="666"/>
      <c r="B22" s="669" t="s">
        <v>502</v>
      </c>
      <c r="C22" s="666" t="s">
        <v>511</v>
      </c>
      <c r="D22" s="665">
        <v>132.07482392703565</v>
      </c>
      <c r="E22" s="665">
        <v>116.37077245717251</v>
      </c>
      <c r="F22" s="665">
        <v>113.1508435819585</v>
      </c>
      <c r="G22" s="665">
        <v>100.00230000000001</v>
      </c>
      <c r="H22" s="667">
        <v>116.45066423741751</v>
      </c>
      <c r="I22" s="668">
        <v>117.5290729386558</v>
      </c>
      <c r="J22" s="665"/>
    </row>
    <row r="23" spans="1:12" ht="20.100000000000001" customHeight="1">
      <c r="A23" s="666"/>
      <c r="B23" s="666" t="s">
        <v>512</v>
      </c>
      <c r="C23" s="666"/>
      <c r="D23" s="665">
        <v>108.01488688021915</v>
      </c>
      <c r="E23" s="665">
        <v>101.45664359299049</v>
      </c>
      <c r="F23" s="665">
        <v>100.28825474510259</v>
      </c>
      <c r="G23" s="665">
        <v>100.57510000000001</v>
      </c>
      <c r="H23" s="667">
        <v>98.575555832095318</v>
      </c>
      <c r="I23" s="668">
        <v>97.101885232942735</v>
      </c>
      <c r="J23" s="665"/>
    </row>
    <row r="24" spans="1:12" ht="20.100000000000001" customHeight="1">
      <c r="A24" s="666"/>
      <c r="B24" s="666" t="s">
        <v>513</v>
      </c>
      <c r="C24" s="666"/>
      <c r="D24" s="665">
        <v>95.580340508179759</v>
      </c>
      <c r="E24" s="665">
        <v>99.375338398361052</v>
      </c>
      <c r="F24" s="665">
        <v>99.758247605658411</v>
      </c>
      <c r="G24" s="665">
        <v>100.0351</v>
      </c>
      <c r="H24" s="667">
        <v>99.474109382127253</v>
      </c>
      <c r="I24" s="668">
        <v>99.52586459170881</v>
      </c>
      <c r="J24" s="665"/>
      <c r="L24" s="670"/>
    </row>
    <row r="25" spans="1:12" ht="20.100000000000001" customHeight="1">
      <c r="A25" s="666"/>
      <c r="B25" s="666" t="s">
        <v>514</v>
      </c>
      <c r="C25" s="666"/>
      <c r="D25" s="665">
        <v>126.51069574391849</v>
      </c>
      <c r="E25" s="665">
        <v>103.23645069757707</v>
      </c>
      <c r="F25" s="665">
        <v>102.46766448933033</v>
      </c>
      <c r="G25" s="665">
        <v>102.2192</v>
      </c>
      <c r="H25" s="667">
        <v>103.12978520421508</v>
      </c>
      <c r="I25" s="668">
        <v>101.81013971424066</v>
      </c>
      <c r="J25" s="665"/>
    </row>
    <row r="26" spans="1:12" ht="20.100000000000001" customHeight="1">
      <c r="A26" s="666"/>
      <c r="B26" s="669" t="s">
        <v>502</v>
      </c>
      <c r="C26" s="666" t="s">
        <v>515</v>
      </c>
      <c r="D26" s="665">
        <v>127.63063503396944</v>
      </c>
      <c r="E26" s="665">
        <v>103.42616072020665</v>
      </c>
      <c r="F26" s="665">
        <v>102.59866322953411</v>
      </c>
      <c r="G26" s="665">
        <v>102.43170000000001</v>
      </c>
      <c r="H26" s="667">
        <v>103.32966156154738</v>
      </c>
      <c r="I26" s="668">
        <v>101.84627098551235</v>
      </c>
      <c r="J26" s="665"/>
    </row>
    <row r="27" spans="1:12" ht="20.100000000000001" customHeight="1">
      <c r="A27" s="666"/>
      <c r="B27" s="666" t="s">
        <v>516</v>
      </c>
      <c r="C27" s="666"/>
      <c r="D27" s="665">
        <v>108.82432057566892</v>
      </c>
      <c r="E27" s="665">
        <v>101.84187406315523</v>
      </c>
      <c r="F27" s="665">
        <v>101.34936928656053</v>
      </c>
      <c r="G27" s="665">
        <v>99.874399999999994</v>
      </c>
      <c r="H27" s="667">
        <v>101.77734855320121</v>
      </c>
      <c r="I27" s="668">
        <v>101.97482339851418</v>
      </c>
      <c r="J27" s="665"/>
    </row>
    <row r="28" spans="1:12" ht="20.100000000000001" customHeight="1">
      <c r="A28" s="666"/>
      <c r="B28" s="666" t="s">
        <v>517</v>
      </c>
      <c r="C28" s="666"/>
      <c r="D28" s="665">
        <v>125.91667586419867</v>
      </c>
      <c r="E28" s="665">
        <v>102.88215011349442</v>
      </c>
      <c r="F28" s="665">
        <v>102.09412175434684</v>
      </c>
      <c r="G28" s="665">
        <v>100.2197</v>
      </c>
      <c r="H28" s="667">
        <v>102.93008610821863</v>
      </c>
      <c r="I28" s="668">
        <v>105.36550986121564</v>
      </c>
      <c r="J28" s="665"/>
    </row>
    <row r="29" spans="1:12" ht="20.100000000000001" customHeight="1">
      <c r="A29" s="661" t="s">
        <v>518</v>
      </c>
      <c r="B29" s="671"/>
      <c r="C29" s="671"/>
      <c r="D29" s="672">
        <v>314.26678828524257</v>
      </c>
      <c r="E29" s="672">
        <v>155.40030980360206</v>
      </c>
      <c r="F29" s="672">
        <v>145.42236634792809</v>
      </c>
      <c r="G29" s="672">
        <v>106.5291</v>
      </c>
      <c r="H29" s="673">
        <v>151.21085485837</v>
      </c>
      <c r="I29" s="664">
        <v>141.85830820049483</v>
      </c>
      <c r="J29" s="665"/>
    </row>
    <row r="30" spans="1:12" ht="20.100000000000001" customHeight="1">
      <c r="A30" s="661" t="s">
        <v>519</v>
      </c>
      <c r="B30" s="671"/>
      <c r="C30" s="671"/>
      <c r="D30" s="672">
        <v>113.98158475573679</v>
      </c>
      <c r="E30" s="672">
        <v>106.64411544645441</v>
      </c>
      <c r="F30" s="672">
        <v>103.97817432039385</v>
      </c>
      <c r="G30" s="672">
        <v>100.2967</v>
      </c>
      <c r="H30" s="673">
        <v>104.81310673874924</v>
      </c>
      <c r="I30" s="664">
        <v>103.80456862098002</v>
      </c>
      <c r="J30" s="665"/>
    </row>
    <row r="31" spans="1:12" ht="20.100000000000001" customHeight="1">
      <c r="A31" s="661" t="s">
        <v>520</v>
      </c>
      <c r="B31" s="671"/>
      <c r="C31" s="671"/>
      <c r="D31" s="662"/>
      <c r="E31" s="662">
        <v>3.1776495744309852</v>
      </c>
      <c r="F31" s="663"/>
      <c r="G31" s="674">
        <v>0.20078696272594065</v>
      </c>
      <c r="H31" s="675"/>
      <c r="I31" s="664">
        <v>3.1878601722824129</v>
      </c>
      <c r="J31" s="665"/>
    </row>
    <row r="32" spans="1:12" ht="9" customHeight="1">
      <c r="A32" s="658"/>
      <c r="B32" s="658"/>
      <c r="C32" s="658"/>
    </row>
    <row r="33" spans="1:1" ht="24.75" customHeight="1">
      <c r="A33" s="676" t="s">
        <v>521</v>
      </c>
    </row>
  </sheetData>
  <mergeCells count="1">
    <mergeCell ref="D5:G5"/>
  </mergeCells>
  <pageMargins left="0.86614173228346503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L30"/>
  <sheetViews>
    <sheetView workbookViewId="0">
      <selection activeCell="D13" sqref="D13"/>
    </sheetView>
  </sheetViews>
  <sheetFormatPr defaultColWidth="9.28515625" defaultRowHeight="12.75"/>
  <cols>
    <col min="1" max="1" width="46.85546875" style="692" customWidth="1"/>
    <col min="2" max="2" width="11" style="692" customWidth="1"/>
    <col min="3" max="3" width="11.28515625" style="692" customWidth="1"/>
    <col min="4" max="4" width="16.140625" style="692" customWidth="1"/>
    <col min="5" max="5" width="11" style="692" customWidth="1"/>
    <col min="6" max="6" width="11.28515625" style="692" customWidth="1"/>
    <col min="7" max="7" width="9.28515625" style="692"/>
    <col min="8" max="8" width="17.42578125" style="692" customWidth="1"/>
    <col min="9" max="16384" width="9.28515625" style="692"/>
  </cols>
  <sheetData>
    <row r="1" spans="1:12" s="679" customFormat="1" ht="20.100000000000001" customHeight="1">
      <c r="A1" s="677" t="s">
        <v>664</v>
      </c>
      <c r="B1" s="678"/>
      <c r="G1" s="678"/>
      <c r="H1" s="678"/>
    </row>
    <row r="2" spans="1:12" s="679" customFormat="1" ht="20.100000000000001" customHeight="1">
      <c r="A2" s="680"/>
      <c r="B2" s="680"/>
      <c r="C2" s="681"/>
      <c r="G2" s="678"/>
      <c r="H2" s="678"/>
    </row>
    <row r="3" spans="1:12" s="679" customFormat="1" ht="20.100000000000001" customHeight="1">
      <c r="A3" s="682"/>
      <c r="B3" s="683"/>
      <c r="D3" s="648" t="s">
        <v>61</v>
      </c>
    </row>
    <row r="4" spans="1:12" s="679" customFormat="1" ht="20.100000000000001" customHeight="1">
      <c r="A4" s="684"/>
      <c r="B4" s="911" t="s">
        <v>522</v>
      </c>
      <c r="C4" s="911"/>
      <c r="D4" s="685" t="s">
        <v>242</v>
      </c>
    </row>
    <row r="5" spans="1:12" s="689" customFormat="1" ht="20.100000000000001" customHeight="1">
      <c r="A5" s="686"/>
      <c r="B5" s="687" t="s">
        <v>26</v>
      </c>
      <c r="C5" s="687" t="s">
        <v>25</v>
      </c>
      <c r="D5" s="688" t="s">
        <v>523</v>
      </c>
    </row>
    <row r="6" spans="1:12" s="689" customFormat="1" ht="20.100000000000001" customHeight="1">
      <c r="A6" s="686"/>
      <c r="B6" s="690" t="s">
        <v>277</v>
      </c>
      <c r="C6" s="690" t="s">
        <v>53</v>
      </c>
      <c r="D6" s="691" t="s">
        <v>68</v>
      </c>
    </row>
    <row r="7" spans="1:12" ht="18" customHeight="1"/>
    <row r="8" spans="1:12" ht="18" customHeight="1">
      <c r="A8" s="693" t="s">
        <v>524</v>
      </c>
      <c r="B8" s="694">
        <v>101.87231292400745</v>
      </c>
      <c r="C8" s="694">
        <v>98.745290087026532</v>
      </c>
      <c r="D8" s="695">
        <v>104.91202896087609</v>
      </c>
      <c r="E8" s="696"/>
      <c r="F8" s="696"/>
      <c r="G8" s="696"/>
      <c r="H8" s="697"/>
      <c r="I8" s="697"/>
      <c r="J8" s="697"/>
    </row>
    <row r="9" spans="1:12" ht="19.899999999999999" customHeight="1">
      <c r="A9" s="698" t="s">
        <v>525</v>
      </c>
      <c r="B9" s="699">
        <v>100.60056941875419</v>
      </c>
      <c r="C9" s="699">
        <v>98.088138434043174</v>
      </c>
      <c r="D9" s="700">
        <v>105.05392865234849</v>
      </c>
      <c r="E9" s="696"/>
      <c r="F9" s="696"/>
      <c r="G9" s="696"/>
      <c r="H9" s="697"/>
      <c r="I9" s="697"/>
      <c r="J9" s="697"/>
    </row>
    <row r="10" spans="1:12" ht="19.899999999999999" customHeight="1">
      <c r="A10" s="698" t="s">
        <v>526</v>
      </c>
      <c r="B10" s="699">
        <v>103.286436476728</v>
      </c>
      <c r="C10" s="699">
        <v>100.47496200199406</v>
      </c>
      <c r="D10" s="700">
        <v>103.53202720452219</v>
      </c>
      <c r="E10" s="696"/>
      <c r="F10" s="696"/>
      <c r="G10" s="696"/>
      <c r="H10" s="697"/>
      <c r="I10" s="697"/>
      <c r="J10" s="697"/>
    </row>
    <row r="11" spans="1:12" ht="19.899999999999999" customHeight="1">
      <c r="A11" s="698" t="s">
        <v>527</v>
      </c>
      <c r="B11" s="699">
        <v>105.52504142405024</v>
      </c>
      <c r="C11" s="699">
        <v>100.40567737690951</v>
      </c>
      <c r="D11" s="700">
        <v>104.38576406872768</v>
      </c>
      <c r="E11" s="696"/>
      <c r="F11" s="696"/>
      <c r="G11" s="696"/>
      <c r="H11" s="697"/>
      <c r="I11" s="697"/>
      <c r="J11" s="697"/>
    </row>
    <row r="12" spans="1:12" ht="19.899999999999999" customHeight="1">
      <c r="A12" s="693" t="s">
        <v>528</v>
      </c>
      <c r="B12" s="694">
        <v>102.73179288896648</v>
      </c>
      <c r="C12" s="694">
        <v>101.05980002460682</v>
      </c>
      <c r="D12" s="695">
        <v>102.23410573629634</v>
      </c>
      <c r="E12" s="696"/>
      <c r="F12" s="696"/>
      <c r="G12" s="696"/>
      <c r="H12" s="697"/>
      <c r="I12" s="697"/>
      <c r="J12" s="697"/>
    </row>
    <row r="13" spans="1:12" ht="19.899999999999999" customHeight="1">
      <c r="A13" s="698" t="s">
        <v>71</v>
      </c>
      <c r="B13" s="699">
        <v>96.884759586289022</v>
      </c>
      <c r="C13" s="699">
        <v>102.31137371149489</v>
      </c>
      <c r="D13" s="700">
        <v>96.592170894178423</v>
      </c>
      <c r="E13" s="696"/>
      <c r="F13" s="696"/>
      <c r="G13" s="696"/>
      <c r="H13" s="697"/>
      <c r="I13" s="697"/>
      <c r="J13" s="697"/>
    </row>
    <row r="14" spans="1:12" ht="19.899999999999999" customHeight="1">
      <c r="A14" s="698" t="s">
        <v>77</v>
      </c>
      <c r="B14" s="699">
        <v>102.77428614686592</v>
      </c>
      <c r="C14" s="699">
        <v>101.01898055417374</v>
      </c>
      <c r="D14" s="700">
        <v>102.18912687409014</v>
      </c>
      <c r="E14" s="696"/>
      <c r="F14" s="696"/>
      <c r="G14" s="696"/>
      <c r="H14" s="697"/>
      <c r="I14" s="697"/>
      <c r="J14" s="697"/>
    </row>
    <row r="15" spans="1:12" ht="30" customHeight="1">
      <c r="A15" s="701" t="s">
        <v>529</v>
      </c>
      <c r="B15" s="699">
        <v>107.96197493359163</v>
      </c>
      <c r="C15" s="699">
        <v>100.99451853838941</v>
      </c>
      <c r="D15" s="700">
        <v>109.49466198244033</v>
      </c>
      <c r="E15" s="696"/>
      <c r="F15" s="696"/>
      <c r="G15" s="696"/>
      <c r="H15" s="697"/>
      <c r="I15" s="697"/>
      <c r="J15" s="697"/>
    </row>
    <row r="16" spans="1:12" ht="30" customHeight="1">
      <c r="A16" s="701" t="s">
        <v>530</v>
      </c>
      <c r="B16" s="699">
        <v>101.50949905925783</v>
      </c>
      <c r="C16" s="699">
        <v>100.29145905910512</v>
      </c>
      <c r="D16" s="700">
        <v>101.88626048238685</v>
      </c>
      <c r="E16" s="696"/>
      <c r="F16" s="696"/>
      <c r="G16" s="696"/>
      <c r="H16" s="697"/>
      <c r="I16" s="697"/>
      <c r="J16" s="697"/>
      <c r="K16" s="702"/>
      <c r="L16" s="702"/>
    </row>
    <row r="17" spans="1:12" ht="19.899999999999999" customHeight="1">
      <c r="A17" s="693" t="s">
        <v>263</v>
      </c>
      <c r="B17" s="694">
        <v>105.29702160793781</v>
      </c>
      <c r="C17" s="694">
        <v>100.85925901162605</v>
      </c>
      <c r="D17" s="695">
        <v>105.05342286837504</v>
      </c>
      <c r="E17" s="696"/>
      <c r="F17" s="696"/>
      <c r="G17" s="696"/>
      <c r="H17" s="697"/>
      <c r="I17" s="697"/>
      <c r="J17" s="697"/>
      <c r="K17" s="702"/>
      <c r="L17" s="702"/>
    </row>
    <row r="18" spans="1:12" ht="19.899999999999999" customHeight="1">
      <c r="A18" s="703" t="s">
        <v>12</v>
      </c>
      <c r="B18" s="704"/>
      <c r="C18" s="704"/>
      <c r="D18" s="700"/>
      <c r="E18" s="696"/>
      <c r="F18" s="696"/>
      <c r="G18" s="696"/>
      <c r="H18" s="697"/>
      <c r="I18" s="697"/>
      <c r="J18" s="697"/>
      <c r="K18" s="702"/>
      <c r="L18" s="702"/>
    </row>
    <row r="19" spans="1:12" ht="19.899999999999999" customHeight="1">
      <c r="A19" s="698" t="s">
        <v>265</v>
      </c>
      <c r="B19" s="699">
        <v>107.20528007752885</v>
      </c>
      <c r="C19" s="699">
        <v>102.18907647962374</v>
      </c>
      <c r="D19" s="700">
        <v>106.55125423119134</v>
      </c>
      <c r="E19" s="696"/>
      <c r="F19" s="696"/>
      <c r="G19" s="696"/>
      <c r="H19" s="697"/>
      <c r="I19" s="697"/>
      <c r="J19" s="697"/>
      <c r="K19" s="702"/>
      <c r="L19" s="702"/>
    </row>
    <row r="20" spans="1:12" ht="19.899999999999999" customHeight="1">
      <c r="A20" s="698" t="s">
        <v>266</v>
      </c>
      <c r="B20" s="699">
        <v>105.01180409401667</v>
      </c>
      <c r="C20" s="699">
        <v>101.15342832749651</v>
      </c>
      <c r="D20" s="700">
        <v>104.70842226059175</v>
      </c>
      <c r="E20" s="696"/>
      <c r="F20" s="696"/>
      <c r="G20" s="696"/>
      <c r="H20" s="697"/>
      <c r="I20" s="697"/>
      <c r="J20" s="697"/>
      <c r="K20" s="702"/>
      <c r="L20" s="702"/>
    </row>
    <row r="21" spans="1:12" ht="19.899999999999999" customHeight="1">
      <c r="A21" s="698" t="s">
        <v>267</v>
      </c>
      <c r="B21" s="699">
        <v>100.33797575142572</v>
      </c>
      <c r="C21" s="699">
        <v>100.03193733080069</v>
      </c>
      <c r="D21" s="700">
        <v>100.12958001191033</v>
      </c>
      <c r="E21" s="696"/>
      <c r="F21" s="696"/>
      <c r="G21" s="696"/>
      <c r="H21" s="697"/>
      <c r="I21" s="697"/>
      <c r="J21" s="697"/>
      <c r="K21" s="702"/>
      <c r="L21" s="702"/>
    </row>
    <row r="22" spans="1:12" ht="19.899999999999999" customHeight="1">
      <c r="A22" s="698" t="s">
        <v>271</v>
      </c>
      <c r="B22" s="699">
        <v>102.57357990839382</v>
      </c>
      <c r="C22" s="699">
        <v>100.21434314337579</v>
      </c>
      <c r="D22" s="700">
        <v>101.59501843308325</v>
      </c>
      <c r="E22" s="696"/>
      <c r="F22" s="696"/>
      <c r="G22" s="696"/>
      <c r="H22" s="697"/>
      <c r="I22" s="697"/>
      <c r="J22" s="697"/>
      <c r="K22" s="702"/>
      <c r="L22" s="702"/>
    </row>
    <row r="23" spans="1:12" ht="19.899999999999999" customHeight="1">
      <c r="A23" s="698" t="s">
        <v>272</v>
      </c>
      <c r="B23" s="699">
        <v>116.7035030429348</v>
      </c>
      <c r="C23" s="699">
        <v>100.00386665592265</v>
      </c>
      <c r="D23" s="700">
        <v>118.21166740584938</v>
      </c>
      <c r="E23" s="696"/>
      <c r="F23" s="696"/>
      <c r="G23" s="696"/>
      <c r="H23" s="697"/>
      <c r="I23" s="697"/>
      <c r="J23" s="697"/>
      <c r="K23" s="702"/>
      <c r="L23" s="702"/>
    </row>
    <row r="24" spans="1:12" ht="19.899999999999999" customHeight="1">
      <c r="A24" s="698" t="s">
        <v>273</v>
      </c>
      <c r="B24" s="699">
        <v>101.40642938927138</v>
      </c>
      <c r="C24" s="699">
        <v>100.48289741530643</v>
      </c>
      <c r="D24" s="700">
        <v>100.93862459642986</v>
      </c>
      <c r="E24" s="696"/>
      <c r="F24" s="696"/>
      <c r="G24" s="696"/>
      <c r="H24" s="697"/>
      <c r="I24" s="697"/>
      <c r="J24" s="697"/>
    </row>
    <row r="25" spans="1:12" s="706" customFormat="1" ht="6" customHeight="1">
      <c r="A25" s="705"/>
      <c r="B25" s="705"/>
      <c r="C25" s="705"/>
      <c r="D25" s="705"/>
    </row>
    <row r="26" spans="1:12" s="706" customFormat="1" ht="21.75" customHeight="1">
      <c r="A26" s="707" t="s">
        <v>531</v>
      </c>
    </row>
    <row r="27" spans="1:12" ht="19.899999999999999" customHeight="1"/>
    <row r="28" spans="1:12" ht="19.899999999999999" customHeight="1"/>
    <row r="29" spans="1:12" ht="19.899999999999999" customHeight="1"/>
    <row r="30" spans="1:12" ht="19.899999999999999" customHeight="1"/>
  </sheetData>
  <mergeCells count="1">
    <mergeCell ref="B4:C4"/>
  </mergeCells>
  <pageMargins left="0.86614173228346503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J112"/>
  <sheetViews>
    <sheetView workbookViewId="0">
      <selection activeCell="D13" sqref="D13"/>
    </sheetView>
  </sheetViews>
  <sheetFormatPr defaultRowHeight="25.15" customHeight="1"/>
  <cols>
    <col min="1" max="1" width="48.140625" style="709" customWidth="1"/>
    <col min="2" max="2" width="11" style="692" customWidth="1"/>
    <col min="3" max="3" width="11.28515625" style="692" customWidth="1"/>
    <col min="4" max="4" width="16.140625" style="709" customWidth="1"/>
    <col min="5" max="255" width="9.140625" style="709"/>
    <col min="256" max="256" width="51" style="709" customWidth="1"/>
    <col min="257" max="257" width="12.42578125" style="709" customWidth="1"/>
    <col min="258" max="258" width="12.85546875" style="709" customWidth="1"/>
    <col min="259" max="259" width="11.28515625" style="709" customWidth="1"/>
    <col min="260" max="511" width="9.140625" style="709"/>
    <col min="512" max="512" width="51" style="709" customWidth="1"/>
    <col min="513" max="513" width="12.42578125" style="709" customWidth="1"/>
    <col min="514" max="514" width="12.85546875" style="709" customWidth="1"/>
    <col min="515" max="515" width="11.28515625" style="709" customWidth="1"/>
    <col min="516" max="767" width="9.140625" style="709"/>
    <col min="768" max="768" width="51" style="709" customWidth="1"/>
    <col min="769" max="769" width="12.42578125" style="709" customWidth="1"/>
    <col min="770" max="770" width="12.85546875" style="709" customWidth="1"/>
    <col min="771" max="771" width="11.28515625" style="709" customWidth="1"/>
    <col min="772" max="1023" width="9.140625" style="709"/>
    <col min="1024" max="1024" width="51" style="709" customWidth="1"/>
    <col min="1025" max="1025" width="12.42578125" style="709" customWidth="1"/>
    <col min="1026" max="1026" width="12.85546875" style="709" customWidth="1"/>
    <col min="1027" max="1027" width="11.28515625" style="709" customWidth="1"/>
    <col min="1028" max="1279" width="9.140625" style="709"/>
    <col min="1280" max="1280" width="51" style="709" customWidth="1"/>
    <col min="1281" max="1281" width="12.42578125" style="709" customWidth="1"/>
    <col min="1282" max="1282" width="12.85546875" style="709" customWidth="1"/>
    <col min="1283" max="1283" width="11.28515625" style="709" customWidth="1"/>
    <col min="1284" max="1535" width="9.140625" style="709"/>
    <col min="1536" max="1536" width="51" style="709" customWidth="1"/>
    <col min="1537" max="1537" width="12.42578125" style="709" customWidth="1"/>
    <col min="1538" max="1538" width="12.85546875" style="709" customWidth="1"/>
    <col min="1539" max="1539" width="11.28515625" style="709" customWidth="1"/>
    <col min="1540" max="1791" width="9.140625" style="709"/>
    <col min="1792" max="1792" width="51" style="709" customWidth="1"/>
    <col min="1793" max="1793" width="12.42578125" style="709" customWidth="1"/>
    <col min="1794" max="1794" width="12.85546875" style="709" customWidth="1"/>
    <col min="1795" max="1795" width="11.28515625" style="709" customWidth="1"/>
    <col min="1796" max="2047" width="9.140625" style="709"/>
    <col min="2048" max="2048" width="51" style="709" customWidth="1"/>
    <col min="2049" max="2049" width="12.42578125" style="709" customWidth="1"/>
    <col min="2050" max="2050" width="12.85546875" style="709" customWidth="1"/>
    <col min="2051" max="2051" width="11.28515625" style="709" customWidth="1"/>
    <col min="2052" max="2303" width="9.140625" style="709"/>
    <col min="2304" max="2304" width="51" style="709" customWidth="1"/>
    <col min="2305" max="2305" width="12.42578125" style="709" customWidth="1"/>
    <col min="2306" max="2306" width="12.85546875" style="709" customWidth="1"/>
    <col min="2307" max="2307" width="11.28515625" style="709" customWidth="1"/>
    <col min="2308" max="2559" width="9.140625" style="709"/>
    <col min="2560" max="2560" width="51" style="709" customWidth="1"/>
    <col min="2561" max="2561" width="12.42578125" style="709" customWidth="1"/>
    <col min="2562" max="2562" width="12.85546875" style="709" customWidth="1"/>
    <col min="2563" max="2563" width="11.28515625" style="709" customWidth="1"/>
    <col min="2564" max="2815" width="9.140625" style="709"/>
    <col min="2816" max="2816" width="51" style="709" customWidth="1"/>
    <col min="2817" max="2817" width="12.42578125" style="709" customWidth="1"/>
    <col min="2818" max="2818" width="12.85546875" style="709" customWidth="1"/>
    <col min="2819" max="2819" width="11.28515625" style="709" customWidth="1"/>
    <col min="2820" max="3071" width="9.140625" style="709"/>
    <col min="3072" max="3072" width="51" style="709" customWidth="1"/>
    <col min="3073" max="3073" width="12.42578125" style="709" customWidth="1"/>
    <col min="3074" max="3074" width="12.85546875" style="709" customWidth="1"/>
    <col min="3075" max="3075" width="11.28515625" style="709" customWidth="1"/>
    <col min="3076" max="3327" width="9.140625" style="709"/>
    <col min="3328" max="3328" width="51" style="709" customWidth="1"/>
    <col min="3329" max="3329" width="12.42578125" style="709" customWidth="1"/>
    <col min="3330" max="3330" width="12.85546875" style="709" customWidth="1"/>
    <col min="3331" max="3331" width="11.28515625" style="709" customWidth="1"/>
    <col min="3332" max="3583" width="9.140625" style="709"/>
    <col min="3584" max="3584" width="51" style="709" customWidth="1"/>
    <col min="3585" max="3585" width="12.42578125" style="709" customWidth="1"/>
    <col min="3586" max="3586" width="12.85546875" style="709" customWidth="1"/>
    <col min="3587" max="3587" width="11.28515625" style="709" customWidth="1"/>
    <col min="3588" max="3839" width="9.140625" style="709"/>
    <col min="3840" max="3840" width="51" style="709" customWidth="1"/>
    <col min="3841" max="3841" width="12.42578125" style="709" customWidth="1"/>
    <col min="3842" max="3842" width="12.85546875" style="709" customWidth="1"/>
    <col min="3843" max="3843" width="11.28515625" style="709" customWidth="1"/>
    <col min="3844" max="4095" width="9.140625" style="709"/>
    <col min="4096" max="4096" width="51" style="709" customWidth="1"/>
    <col min="4097" max="4097" width="12.42578125" style="709" customWidth="1"/>
    <col min="4098" max="4098" width="12.85546875" style="709" customWidth="1"/>
    <col min="4099" max="4099" width="11.28515625" style="709" customWidth="1"/>
    <col min="4100" max="4351" width="9.140625" style="709"/>
    <col min="4352" max="4352" width="51" style="709" customWidth="1"/>
    <col min="4353" max="4353" width="12.42578125" style="709" customWidth="1"/>
    <col min="4354" max="4354" width="12.85546875" style="709" customWidth="1"/>
    <col min="4355" max="4355" width="11.28515625" style="709" customWidth="1"/>
    <col min="4356" max="4607" width="9.140625" style="709"/>
    <col min="4608" max="4608" width="51" style="709" customWidth="1"/>
    <col min="4609" max="4609" width="12.42578125" style="709" customWidth="1"/>
    <col min="4610" max="4610" width="12.85546875" style="709" customWidth="1"/>
    <col min="4611" max="4611" width="11.28515625" style="709" customWidth="1"/>
    <col min="4612" max="4863" width="9.140625" style="709"/>
    <col min="4864" max="4864" width="51" style="709" customWidth="1"/>
    <col min="4865" max="4865" width="12.42578125" style="709" customWidth="1"/>
    <col min="4866" max="4866" width="12.85546875" style="709" customWidth="1"/>
    <col min="4867" max="4867" width="11.28515625" style="709" customWidth="1"/>
    <col min="4868" max="5119" width="9.140625" style="709"/>
    <col min="5120" max="5120" width="51" style="709" customWidth="1"/>
    <col min="5121" max="5121" width="12.42578125" style="709" customWidth="1"/>
    <col min="5122" max="5122" width="12.85546875" style="709" customWidth="1"/>
    <col min="5123" max="5123" width="11.28515625" style="709" customWidth="1"/>
    <col min="5124" max="5375" width="9.140625" style="709"/>
    <col min="5376" max="5376" width="51" style="709" customWidth="1"/>
    <col min="5377" max="5377" width="12.42578125" style="709" customWidth="1"/>
    <col min="5378" max="5378" width="12.85546875" style="709" customWidth="1"/>
    <col min="5379" max="5379" width="11.28515625" style="709" customWidth="1"/>
    <col min="5380" max="5631" width="9.140625" style="709"/>
    <col min="5632" max="5632" width="51" style="709" customWidth="1"/>
    <col min="5633" max="5633" width="12.42578125" style="709" customWidth="1"/>
    <col min="5634" max="5634" width="12.85546875" style="709" customWidth="1"/>
    <col min="5635" max="5635" width="11.28515625" style="709" customWidth="1"/>
    <col min="5636" max="5887" width="9.140625" style="709"/>
    <col min="5888" max="5888" width="51" style="709" customWidth="1"/>
    <col min="5889" max="5889" width="12.42578125" style="709" customWidth="1"/>
    <col min="5890" max="5890" width="12.85546875" style="709" customWidth="1"/>
    <col min="5891" max="5891" width="11.28515625" style="709" customWidth="1"/>
    <col min="5892" max="6143" width="9.140625" style="709"/>
    <col min="6144" max="6144" width="51" style="709" customWidth="1"/>
    <col min="6145" max="6145" width="12.42578125" style="709" customWidth="1"/>
    <col min="6146" max="6146" width="12.85546875" style="709" customWidth="1"/>
    <col min="6147" max="6147" width="11.28515625" style="709" customWidth="1"/>
    <col min="6148" max="6399" width="9.140625" style="709"/>
    <col min="6400" max="6400" width="51" style="709" customWidth="1"/>
    <col min="6401" max="6401" width="12.42578125" style="709" customWidth="1"/>
    <col min="6402" max="6402" width="12.85546875" style="709" customWidth="1"/>
    <col min="6403" max="6403" width="11.28515625" style="709" customWidth="1"/>
    <col min="6404" max="6655" width="9.140625" style="709"/>
    <col min="6656" max="6656" width="51" style="709" customWidth="1"/>
    <col min="6657" max="6657" width="12.42578125" style="709" customWidth="1"/>
    <col min="6658" max="6658" width="12.85546875" style="709" customWidth="1"/>
    <col min="6659" max="6659" width="11.28515625" style="709" customWidth="1"/>
    <col min="6660" max="6911" width="9.140625" style="709"/>
    <col min="6912" max="6912" width="51" style="709" customWidth="1"/>
    <col min="6913" max="6913" width="12.42578125" style="709" customWidth="1"/>
    <col min="6914" max="6914" width="12.85546875" style="709" customWidth="1"/>
    <col min="6915" max="6915" width="11.28515625" style="709" customWidth="1"/>
    <col min="6916" max="7167" width="9.140625" style="709"/>
    <col min="7168" max="7168" width="51" style="709" customWidth="1"/>
    <col min="7169" max="7169" width="12.42578125" style="709" customWidth="1"/>
    <col min="7170" max="7170" width="12.85546875" style="709" customWidth="1"/>
    <col min="7171" max="7171" width="11.28515625" style="709" customWidth="1"/>
    <col min="7172" max="7423" width="9.140625" style="709"/>
    <col min="7424" max="7424" width="51" style="709" customWidth="1"/>
    <col min="7425" max="7425" width="12.42578125" style="709" customWidth="1"/>
    <col min="7426" max="7426" width="12.85546875" style="709" customWidth="1"/>
    <col min="7427" max="7427" width="11.28515625" style="709" customWidth="1"/>
    <col min="7428" max="7679" width="9.140625" style="709"/>
    <col min="7680" max="7680" width="51" style="709" customWidth="1"/>
    <col min="7681" max="7681" width="12.42578125" style="709" customWidth="1"/>
    <col min="7682" max="7682" width="12.85546875" style="709" customWidth="1"/>
    <col min="7683" max="7683" width="11.28515625" style="709" customWidth="1"/>
    <col min="7684" max="7935" width="9.140625" style="709"/>
    <col min="7936" max="7936" width="51" style="709" customWidth="1"/>
    <col min="7937" max="7937" width="12.42578125" style="709" customWidth="1"/>
    <col min="7938" max="7938" width="12.85546875" style="709" customWidth="1"/>
    <col min="7939" max="7939" width="11.28515625" style="709" customWidth="1"/>
    <col min="7940" max="8191" width="9.140625" style="709"/>
    <col min="8192" max="8192" width="51" style="709" customWidth="1"/>
    <col min="8193" max="8193" width="12.42578125" style="709" customWidth="1"/>
    <col min="8194" max="8194" width="12.85546875" style="709" customWidth="1"/>
    <col min="8195" max="8195" width="11.28515625" style="709" customWidth="1"/>
    <col min="8196" max="8447" width="9.140625" style="709"/>
    <col min="8448" max="8448" width="51" style="709" customWidth="1"/>
    <col min="8449" max="8449" width="12.42578125" style="709" customWidth="1"/>
    <col min="8450" max="8450" width="12.85546875" style="709" customWidth="1"/>
    <col min="8451" max="8451" width="11.28515625" style="709" customWidth="1"/>
    <col min="8452" max="8703" width="9.140625" style="709"/>
    <col min="8704" max="8704" width="51" style="709" customWidth="1"/>
    <col min="8705" max="8705" width="12.42578125" style="709" customWidth="1"/>
    <col min="8706" max="8706" width="12.85546875" style="709" customWidth="1"/>
    <col min="8707" max="8707" width="11.28515625" style="709" customWidth="1"/>
    <col min="8708" max="8959" width="9.140625" style="709"/>
    <col min="8960" max="8960" width="51" style="709" customWidth="1"/>
    <col min="8961" max="8961" width="12.42578125" style="709" customWidth="1"/>
    <col min="8962" max="8962" width="12.85546875" style="709" customWidth="1"/>
    <col min="8963" max="8963" width="11.28515625" style="709" customWidth="1"/>
    <col min="8964" max="9215" width="9.140625" style="709"/>
    <col min="9216" max="9216" width="51" style="709" customWidth="1"/>
    <col min="9217" max="9217" width="12.42578125" style="709" customWidth="1"/>
    <col min="9218" max="9218" width="12.85546875" style="709" customWidth="1"/>
    <col min="9219" max="9219" width="11.28515625" style="709" customWidth="1"/>
    <col min="9220" max="9471" width="9.140625" style="709"/>
    <col min="9472" max="9472" width="51" style="709" customWidth="1"/>
    <col min="9473" max="9473" width="12.42578125" style="709" customWidth="1"/>
    <col min="9474" max="9474" width="12.85546875" style="709" customWidth="1"/>
    <col min="9475" max="9475" width="11.28515625" style="709" customWidth="1"/>
    <col min="9476" max="9727" width="9.140625" style="709"/>
    <col min="9728" max="9728" width="51" style="709" customWidth="1"/>
    <col min="9729" max="9729" width="12.42578125" style="709" customWidth="1"/>
    <col min="9730" max="9730" width="12.85546875" style="709" customWidth="1"/>
    <col min="9731" max="9731" width="11.28515625" style="709" customWidth="1"/>
    <col min="9732" max="9983" width="9.140625" style="709"/>
    <col min="9984" max="9984" width="51" style="709" customWidth="1"/>
    <col min="9985" max="9985" width="12.42578125" style="709" customWidth="1"/>
    <col min="9986" max="9986" width="12.85546875" style="709" customWidth="1"/>
    <col min="9987" max="9987" width="11.28515625" style="709" customWidth="1"/>
    <col min="9988" max="10239" width="9.140625" style="709"/>
    <col min="10240" max="10240" width="51" style="709" customWidth="1"/>
    <col min="10241" max="10241" width="12.42578125" style="709" customWidth="1"/>
    <col min="10242" max="10242" width="12.85546875" style="709" customWidth="1"/>
    <col min="10243" max="10243" width="11.28515625" style="709" customWidth="1"/>
    <col min="10244" max="10495" width="9.140625" style="709"/>
    <col min="10496" max="10496" width="51" style="709" customWidth="1"/>
    <col min="10497" max="10497" width="12.42578125" style="709" customWidth="1"/>
    <col min="10498" max="10498" width="12.85546875" style="709" customWidth="1"/>
    <col min="10499" max="10499" width="11.28515625" style="709" customWidth="1"/>
    <col min="10500" max="10751" width="9.140625" style="709"/>
    <col min="10752" max="10752" width="51" style="709" customWidth="1"/>
    <col min="10753" max="10753" width="12.42578125" style="709" customWidth="1"/>
    <col min="10754" max="10754" width="12.85546875" style="709" customWidth="1"/>
    <col min="10755" max="10755" width="11.28515625" style="709" customWidth="1"/>
    <col min="10756" max="11007" width="9.140625" style="709"/>
    <col min="11008" max="11008" width="51" style="709" customWidth="1"/>
    <col min="11009" max="11009" width="12.42578125" style="709" customWidth="1"/>
    <col min="11010" max="11010" width="12.85546875" style="709" customWidth="1"/>
    <col min="11011" max="11011" width="11.28515625" style="709" customWidth="1"/>
    <col min="11012" max="11263" width="9.140625" style="709"/>
    <col min="11264" max="11264" width="51" style="709" customWidth="1"/>
    <col min="11265" max="11265" width="12.42578125" style="709" customWidth="1"/>
    <col min="11266" max="11266" width="12.85546875" style="709" customWidth="1"/>
    <col min="11267" max="11267" width="11.28515625" style="709" customWidth="1"/>
    <col min="11268" max="11519" width="9.140625" style="709"/>
    <col min="11520" max="11520" width="51" style="709" customWidth="1"/>
    <col min="11521" max="11521" width="12.42578125" style="709" customWidth="1"/>
    <col min="11522" max="11522" width="12.85546875" style="709" customWidth="1"/>
    <col min="11523" max="11523" width="11.28515625" style="709" customWidth="1"/>
    <col min="11524" max="11775" width="9.140625" style="709"/>
    <col min="11776" max="11776" width="51" style="709" customWidth="1"/>
    <col min="11777" max="11777" width="12.42578125" style="709" customWidth="1"/>
    <col min="11778" max="11778" width="12.85546875" style="709" customWidth="1"/>
    <col min="11779" max="11779" width="11.28515625" style="709" customWidth="1"/>
    <col min="11780" max="12031" width="9.140625" style="709"/>
    <col min="12032" max="12032" width="51" style="709" customWidth="1"/>
    <col min="12033" max="12033" width="12.42578125" style="709" customWidth="1"/>
    <col min="12034" max="12034" width="12.85546875" style="709" customWidth="1"/>
    <col min="12035" max="12035" width="11.28515625" style="709" customWidth="1"/>
    <col min="12036" max="12287" width="9.140625" style="709"/>
    <col min="12288" max="12288" width="51" style="709" customWidth="1"/>
    <col min="12289" max="12289" width="12.42578125" style="709" customWidth="1"/>
    <col min="12290" max="12290" width="12.85546875" style="709" customWidth="1"/>
    <col min="12291" max="12291" width="11.28515625" style="709" customWidth="1"/>
    <col min="12292" max="12543" width="9.140625" style="709"/>
    <col min="12544" max="12544" width="51" style="709" customWidth="1"/>
    <col min="12545" max="12545" width="12.42578125" style="709" customWidth="1"/>
    <col min="12546" max="12546" width="12.85546875" style="709" customWidth="1"/>
    <col min="12547" max="12547" width="11.28515625" style="709" customWidth="1"/>
    <col min="12548" max="12799" width="9.140625" style="709"/>
    <col min="12800" max="12800" width="51" style="709" customWidth="1"/>
    <col min="12801" max="12801" width="12.42578125" style="709" customWidth="1"/>
    <col min="12802" max="12802" width="12.85546875" style="709" customWidth="1"/>
    <col min="12803" max="12803" width="11.28515625" style="709" customWidth="1"/>
    <col min="12804" max="13055" width="9.140625" style="709"/>
    <col min="13056" max="13056" width="51" style="709" customWidth="1"/>
    <col min="13057" max="13057" width="12.42578125" style="709" customWidth="1"/>
    <col min="13058" max="13058" width="12.85546875" style="709" customWidth="1"/>
    <col min="13059" max="13059" width="11.28515625" style="709" customWidth="1"/>
    <col min="13060" max="13311" width="9.140625" style="709"/>
    <col min="13312" max="13312" width="51" style="709" customWidth="1"/>
    <col min="13313" max="13313" width="12.42578125" style="709" customWidth="1"/>
    <col min="13314" max="13314" width="12.85546875" style="709" customWidth="1"/>
    <col min="13315" max="13315" width="11.28515625" style="709" customWidth="1"/>
    <col min="13316" max="13567" width="9.140625" style="709"/>
    <col min="13568" max="13568" width="51" style="709" customWidth="1"/>
    <col min="13569" max="13569" width="12.42578125" style="709" customWidth="1"/>
    <col min="13570" max="13570" width="12.85546875" style="709" customWidth="1"/>
    <col min="13571" max="13571" width="11.28515625" style="709" customWidth="1"/>
    <col min="13572" max="13823" width="9.140625" style="709"/>
    <col min="13824" max="13824" width="51" style="709" customWidth="1"/>
    <col min="13825" max="13825" width="12.42578125" style="709" customWidth="1"/>
    <col min="13826" max="13826" width="12.85546875" style="709" customWidth="1"/>
    <col min="13827" max="13827" width="11.28515625" style="709" customWidth="1"/>
    <col min="13828" max="14079" width="9.140625" style="709"/>
    <col min="14080" max="14080" width="51" style="709" customWidth="1"/>
    <col min="14081" max="14081" width="12.42578125" style="709" customWidth="1"/>
    <col min="14082" max="14082" width="12.85546875" style="709" customWidth="1"/>
    <col min="14083" max="14083" width="11.28515625" style="709" customWidth="1"/>
    <col min="14084" max="14335" width="9.140625" style="709"/>
    <col min="14336" max="14336" width="51" style="709" customWidth="1"/>
    <col min="14337" max="14337" width="12.42578125" style="709" customWidth="1"/>
    <col min="14338" max="14338" width="12.85546875" style="709" customWidth="1"/>
    <col min="14339" max="14339" width="11.28515625" style="709" customWidth="1"/>
    <col min="14340" max="14591" width="9.140625" style="709"/>
    <col min="14592" max="14592" width="51" style="709" customWidth="1"/>
    <col min="14593" max="14593" width="12.42578125" style="709" customWidth="1"/>
    <col min="14594" max="14594" width="12.85546875" style="709" customWidth="1"/>
    <col min="14595" max="14595" width="11.28515625" style="709" customWidth="1"/>
    <col min="14596" max="14847" width="9.140625" style="709"/>
    <col min="14848" max="14848" width="51" style="709" customWidth="1"/>
    <col min="14849" max="14849" width="12.42578125" style="709" customWidth="1"/>
    <col min="14850" max="14850" width="12.85546875" style="709" customWidth="1"/>
    <col min="14851" max="14851" width="11.28515625" style="709" customWidth="1"/>
    <col min="14852" max="15103" width="9.140625" style="709"/>
    <col min="15104" max="15104" width="51" style="709" customWidth="1"/>
    <col min="15105" max="15105" width="12.42578125" style="709" customWidth="1"/>
    <col min="15106" max="15106" width="12.85546875" style="709" customWidth="1"/>
    <col min="15107" max="15107" width="11.28515625" style="709" customWidth="1"/>
    <col min="15108" max="15359" width="9.140625" style="709"/>
    <col min="15360" max="15360" width="51" style="709" customWidth="1"/>
    <col min="15361" max="15361" width="12.42578125" style="709" customWidth="1"/>
    <col min="15362" max="15362" width="12.85546875" style="709" customWidth="1"/>
    <col min="15363" max="15363" width="11.28515625" style="709" customWidth="1"/>
    <col min="15364" max="15615" width="9.140625" style="709"/>
    <col min="15616" max="15616" width="51" style="709" customWidth="1"/>
    <col min="15617" max="15617" width="12.42578125" style="709" customWidth="1"/>
    <col min="15618" max="15618" width="12.85546875" style="709" customWidth="1"/>
    <col min="15619" max="15619" width="11.28515625" style="709" customWidth="1"/>
    <col min="15620" max="15871" width="9.140625" style="709"/>
    <col min="15872" max="15872" width="51" style="709" customWidth="1"/>
    <col min="15873" max="15873" width="12.42578125" style="709" customWidth="1"/>
    <col min="15874" max="15874" width="12.85546875" style="709" customWidth="1"/>
    <col min="15875" max="15875" width="11.28515625" style="709" customWidth="1"/>
    <col min="15876" max="16127" width="9.140625" style="709"/>
    <col min="16128" max="16128" width="51" style="709" customWidth="1"/>
    <col min="16129" max="16129" width="12.42578125" style="709" customWidth="1"/>
    <col min="16130" max="16130" width="12.85546875" style="709" customWidth="1"/>
    <col min="16131" max="16131" width="11.28515625" style="709" customWidth="1"/>
    <col min="16132" max="16384" width="9.140625" style="709"/>
  </cols>
  <sheetData>
    <row r="1" spans="1:10" ht="20.100000000000001" customHeight="1">
      <c r="A1" s="677" t="s">
        <v>665</v>
      </c>
      <c r="B1" s="708"/>
      <c r="C1" s="709"/>
      <c r="F1" s="679"/>
      <c r="G1" s="708"/>
      <c r="H1" s="708"/>
    </row>
    <row r="2" spans="1:10" ht="20.100000000000001" customHeight="1">
      <c r="A2" s="710"/>
      <c r="B2" s="710"/>
      <c r="C2" s="711"/>
      <c r="F2" s="679"/>
      <c r="G2" s="708"/>
      <c r="H2" s="708"/>
    </row>
    <row r="3" spans="1:10" ht="20.100000000000001" customHeight="1">
      <c r="A3" s="712"/>
      <c r="B3" s="713"/>
      <c r="C3" s="714"/>
      <c r="D3" s="715" t="s">
        <v>61</v>
      </c>
      <c r="F3" s="679"/>
    </row>
    <row r="4" spans="1:10" ht="20.100000000000001" customHeight="1">
      <c r="A4" s="684"/>
      <c r="B4" s="911" t="s">
        <v>522</v>
      </c>
      <c r="C4" s="911"/>
      <c r="D4" s="685" t="s">
        <v>242</v>
      </c>
      <c r="F4" s="679"/>
    </row>
    <row r="5" spans="1:10" ht="20.100000000000001" customHeight="1">
      <c r="A5" s="686"/>
      <c r="B5" s="687" t="s">
        <v>26</v>
      </c>
      <c r="C5" s="687" t="s">
        <v>25</v>
      </c>
      <c r="D5" s="688" t="s">
        <v>523</v>
      </c>
      <c r="F5" s="689"/>
    </row>
    <row r="6" spans="1:10" ht="20.100000000000001" customHeight="1">
      <c r="A6" s="686"/>
      <c r="B6" s="690" t="s">
        <v>277</v>
      </c>
      <c r="C6" s="690" t="s">
        <v>53</v>
      </c>
      <c r="D6" s="691" t="s">
        <v>68</v>
      </c>
      <c r="F6" s="689"/>
    </row>
    <row r="7" spans="1:10" ht="20.100000000000001" customHeight="1">
      <c r="A7" s="686"/>
      <c r="B7" s="652"/>
      <c r="C7" s="652"/>
      <c r="F7" s="692"/>
    </row>
    <row r="8" spans="1:10" s="719" customFormat="1" ht="20.100000000000001" customHeight="1">
      <c r="A8" s="716" t="s">
        <v>532</v>
      </c>
      <c r="B8" s="717">
        <v>107.20528007752885</v>
      </c>
      <c r="C8" s="717">
        <v>102.18907647962374</v>
      </c>
      <c r="D8" s="718">
        <v>106.55125423119134</v>
      </c>
      <c r="F8" s="692"/>
      <c r="H8" s="720"/>
      <c r="I8" s="720"/>
      <c r="J8" s="720"/>
    </row>
    <row r="9" spans="1:10" ht="20.100000000000001" customHeight="1">
      <c r="A9" s="721" t="s">
        <v>533</v>
      </c>
      <c r="B9" s="717">
        <v>103.11020328415488</v>
      </c>
      <c r="C9" s="717">
        <v>100.33665848743618</v>
      </c>
      <c r="D9" s="718">
        <v>102.75365609073891</v>
      </c>
      <c r="F9" s="692"/>
      <c r="H9" s="720"/>
      <c r="I9" s="720"/>
      <c r="J9" s="720"/>
    </row>
    <row r="10" spans="1:10" ht="20.100000000000001" customHeight="1">
      <c r="A10" s="698" t="s">
        <v>534</v>
      </c>
      <c r="B10" s="722">
        <v>107.72984298099715</v>
      </c>
      <c r="C10" s="722">
        <v>106.16884949162682</v>
      </c>
      <c r="D10" s="723">
        <v>100.99855158519195</v>
      </c>
      <c r="F10" s="692"/>
      <c r="H10" s="720"/>
      <c r="I10" s="720"/>
      <c r="J10" s="720"/>
    </row>
    <row r="11" spans="1:10" ht="20.100000000000001" customHeight="1">
      <c r="A11" s="698" t="s">
        <v>535</v>
      </c>
      <c r="B11" s="722">
        <v>102.75966227462499</v>
      </c>
      <c r="C11" s="722">
        <v>100.26427869151048</v>
      </c>
      <c r="D11" s="723">
        <v>102.50749437377509</v>
      </c>
      <c r="F11" s="692"/>
      <c r="H11" s="720"/>
      <c r="I11" s="720"/>
      <c r="J11" s="720"/>
    </row>
    <row r="12" spans="1:10" ht="20.100000000000001" customHeight="1">
      <c r="A12" s="721" t="s">
        <v>536</v>
      </c>
      <c r="B12" s="717">
        <v>102.88324952456907</v>
      </c>
      <c r="C12" s="717">
        <v>100.17370676122013</v>
      </c>
      <c r="D12" s="718">
        <v>102.73073636113511</v>
      </c>
      <c r="F12" s="692"/>
      <c r="H12" s="720"/>
      <c r="I12" s="720"/>
      <c r="J12" s="720"/>
    </row>
    <row r="13" spans="1:10" ht="20.100000000000001" customHeight="1">
      <c r="A13" s="698" t="s">
        <v>537</v>
      </c>
      <c r="B13" s="722">
        <v>103.32822848873984</v>
      </c>
      <c r="C13" s="722">
        <v>99.819659117899334</v>
      </c>
      <c r="D13" s="723">
        <v>103.17576727368463</v>
      </c>
      <c r="F13" s="692"/>
      <c r="H13" s="720"/>
      <c r="I13" s="720"/>
      <c r="J13" s="720"/>
    </row>
    <row r="14" spans="1:10" ht="20.100000000000001" customHeight="1">
      <c r="A14" s="698" t="s">
        <v>538</v>
      </c>
      <c r="B14" s="722">
        <v>101.92716257555279</v>
      </c>
      <c r="C14" s="722">
        <v>100.87552085304937</v>
      </c>
      <c r="D14" s="723">
        <v>101.79784186773914</v>
      </c>
      <c r="F14" s="692"/>
      <c r="H14" s="720"/>
      <c r="I14" s="720"/>
      <c r="J14" s="720"/>
    </row>
    <row r="15" spans="1:10" ht="20.100000000000001" customHeight="1">
      <c r="A15" s="693" t="s">
        <v>539</v>
      </c>
      <c r="B15" s="717">
        <v>172.62950420014337</v>
      </c>
      <c r="C15" s="717">
        <v>118.93484553274598</v>
      </c>
      <c r="D15" s="718">
        <v>169.11898410367945</v>
      </c>
      <c r="F15" s="692"/>
      <c r="G15" s="724"/>
      <c r="H15" s="720"/>
      <c r="I15" s="720"/>
      <c r="J15" s="720"/>
    </row>
    <row r="16" spans="1:10" ht="30" customHeight="1">
      <c r="A16" s="725" t="s">
        <v>540</v>
      </c>
      <c r="B16" s="717">
        <v>101.32097530938979</v>
      </c>
      <c r="C16" s="717">
        <v>100.41943095315777</v>
      </c>
      <c r="D16" s="718">
        <v>102.02944142455446</v>
      </c>
      <c r="F16" s="726"/>
      <c r="G16" s="727"/>
      <c r="H16" s="720"/>
      <c r="I16" s="720"/>
      <c r="J16" s="720"/>
    </row>
    <row r="17" spans="1:10" ht="20.100000000000001" customHeight="1">
      <c r="A17" s="728" t="s">
        <v>541</v>
      </c>
      <c r="B17" s="722"/>
      <c r="C17" s="722"/>
      <c r="D17" s="723"/>
      <c r="F17" s="729"/>
      <c r="H17" s="720"/>
      <c r="I17" s="720"/>
      <c r="J17" s="720"/>
    </row>
    <row r="18" spans="1:10" ht="20.100000000000001" customHeight="1">
      <c r="A18" s="698" t="s">
        <v>542</v>
      </c>
      <c r="B18" s="722">
        <v>101.5491973945259</v>
      </c>
      <c r="C18" s="722">
        <v>100.49475822705838</v>
      </c>
      <c r="D18" s="723">
        <v>102.22965820471926</v>
      </c>
      <c r="F18" s="729"/>
      <c r="H18" s="720"/>
      <c r="I18" s="720"/>
      <c r="J18" s="720"/>
    </row>
    <row r="19" spans="1:10" ht="20.100000000000001" customHeight="1">
      <c r="A19" s="698" t="s">
        <v>543</v>
      </c>
      <c r="B19" s="722">
        <v>101.02740373559138</v>
      </c>
      <c r="C19" s="722">
        <v>100.22366043637024</v>
      </c>
      <c r="D19" s="723">
        <v>100.58132341261715</v>
      </c>
      <c r="F19" s="729"/>
      <c r="H19" s="720"/>
      <c r="I19" s="720"/>
      <c r="J19" s="720"/>
    </row>
    <row r="20" spans="1:10" ht="20.100000000000001" customHeight="1">
      <c r="A20" s="730" t="s">
        <v>544</v>
      </c>
      <c r="B20" s="717">
        <v>99.735651322198848</v>
      </c>
      <c r="C20" s="717">
        <v>100.07392102568942</v>
      </c>
      <c r="D20" s="718">
        <v>100.62305815395197</v>
      </c>
      <c r="F20" s="729"/>
      <c r="H20" s="720"/>
      <c r="I20" s="720"/>
      <c r="J20" s="720"/>
    </row>
    <row r="21" spans="1:10" s="706" customFormat="1" ht="6" customHeight="1">
      <c r="A21" s="705"/>
      <c r="B21" s="705"/>
      <c r="C21" s="705"/>
      <c r="D21" s="705"/>
    </row>
    <row r="22" spans="1:10" s="706" customFormat="1" ht="21.75" customHeight="1">
      <c r="A22" s="707" t="s">
        <v>531</v>
      </c>
    </row>
    <row r="23" spans="1:10" ht="20.100000000000001" customHeight="1">
      <c r="A23" s="731"/>
      <c r="B23" s="722"/>
      <c r="C23" s="722"/>
      <c r="F23" s="729"/>
    </row>
    <row r="24" spans="1:10" ht="20.100000000000001" customHeight="1">
      <c r="A24" s="731"/>
      <c r="B24" s="722"/>
      <c r="C24" s="722"/>
      <c r="F24" s="692"/>
    </row>
    <row r="25" spans="1:10" ht="20.100000000000001" customHeight="1">
      <c r="A25" s="731"/>
      <c r="B25" s="722"/>
      <c r="C25" s="722"/>
      <c r="F25" s="692"/>
    </row>
    <row r="26" spans="1:10" ht="20.100000000000001" customHeight="1">
      <c r="A26" s="732"/>
      <c r="B26" s="733"/>
      <c r="C26" s="733"/>
      <c r="F26" s="692"/>
    </row>
    <row r="27" spans="1:10" ht="20.100000000000001" customHeight="1">
      <c r="A27" s="732"/>
      <c r="B27" s="733"/>
      <c r="C27" s="733"/>
      <c r="F27" s="692"/>
    </row>
    <row r="28" spans="1:10" ht="20.100000000000001" customHeight="1">
      <c r="A28" s="732"/>
      <c r="B28" s="733"/>
      <c r="C28" s="733"/>
      <c r="F28" s="692"/>
    </row>
    <row r="29" spans="1:10" ht="20.100000000000001" customHeight="1">
      <c r="A29" s="732"/>
      <c r="B29" s="733"/>
      <c r="C29" s="733"/>
      <c r="F29" s="692"/>
    </row>
    <row r="30" spans="1:10" ht="20.100000000000001" customHeight="1">
      <c r="A30" s="732"/>
      <c r="B30" s="733"/>
      <c r="C30" s="733"/>
      <c r="F30" s="692"/>
    </row>
    <row r="31" spans="1:10" ht="20.100000000000001" customHeight="1">
      <c r="A31" s="734"/>
      <c r="B31" s="714"/>
      <c r="C31" s="714"/>
      <c r="F31" s="692"/>
    </row>
    <row r="32" spans="1:10" ht="20.100000000000001" customHeight="1">
      <c r="A32" s="734"/>
      <c r="B32" s="714"/>
      <c r="C32" s="714"/>
      <c r="F32" s="692"/>
    </row>
    <row r="33" spans="1:6" ht="20.100000000000001" customHeight="1">
      <c r="A33" s="734"/>
      <c r="B33" s="714"/>
      <c r="C33" s="714"/>
      <c r="F33" s="692"/>
    </row>
    <row r="34" spans="1:6" ht="20.100000000000001" customHeight="1">
      <c r="A34" s="734"/>
      <c r="B34" s="714"/>
      <c r="C34" s="714"/>
      <c r="F34" s="692"/>
    </row>
    <row r="35" spans="1:6" ht="20.100000000000001" customHeight="1">
      <c r="A35" s="734"/>
      <c r="B35" s="714"/>
      <c r="C35" s="714"/>
      <c r="F35" s="692"/>
    </row>
    <row r="36" spans="1:6" ht="20.100000000000001" customHeight="1">
      <c r="A36" s="734"/>
      <c r="B36" s="714"/>
      <c r="C36" s="714"/>
      <c r="F36" s="692"/>
    </row>
    <row r="37" spans="1:6" ht="20.100000000000001" customHeight="1">
      <c r="A37" s="734"/>
      <c r="B37" s="714"/>
      <c r="C37" s="714"/>
      <c r="F37" s="692"/>
    </row>
    <row r="38" spans="1:6" ht="20.100000000000001" customHeight="1">
      <c r="A38" s="734"/>
      <c r="B38" s="714"/>
      <c r="C38" s="714"/>
      <c r="F38" s="692"/>
    </row>
    <row r="39" spans="1:6" ht="20.100000000000001" customHeight="1">
      <c r="A39" s="734"/>
      <c r="B39" s="714"/>
      <c r="C39" s="714"/>
      <c r="F39" s="692"/>
    </row>
    <row r="40" spans="1:6" ht="20.100000000000001" customHeight="1">
      <c r="A40" s="734"/>
      <c r="B40" s="714"/>
      <c r="C40" s="714"/>
      <c r="F40" s="692"/>
    </row>
    <row r="41" spans="1:6" ht="20.100000000000001" customHeight="1">
      <c r="A41" s="734"/>
      <c r="B41" s="714"/>
      <c r="C41" s="714"/>
      <c r="F41" s="692"/>
    </row>
    <row r="42" spans="1:6" ht="20.100000000000001" customHeight="1">
      <c r="A42" s="734"/>
      <c r="B42" s="714"/>
      <c r="C42" s="714"/>
      <c r="F42" s="692"/>
    </row>
    <row r="43" spans="1:6" ht="20.100000000000001" customHeight="1">
      <c r="A43" s="734"/>
      <c r="F43" s="692"/>
    </row>
    <row r="44" spans="1:6" ht="20.100000000000001" customHeight="1">
      <c r="A44" s="734"/>
      <c r="F44" s="692"/>
    </row>
    <row r="45" spans="1:6" ht="20.100000000000001" customHeight="1">
      <c r="A45" s="734"/>
      <c r="F45" s="692"/>
    </row>
    <row r="46" spans="1:6" ht="20.100000000000001" customHeight="1">
      <c r="A46" s="734"/>
      <c r="F46" s="692"/>
    </row>
    <row r="47" spans="1:6" ht="20.100000000000001" customHeight="1">
      <c r="A47" s="734"/>
      <c r="F47" s="692"/>
    </row>
    <row r="48" spans="1:6" ht="20.100000000000001" customHeight="1">
      <c r="A48" s="734"/>
      <c r="F48" s="692"/>
    </row>
    <row r="49" spans="1:6" ht="20.100000000000001" customHeight="1">
      <c r="A49" s="692"/>
      <c r="D49" s="692"/>
      <c r="E49" s="692"/>
      <c r="F49" s="692"/>
    </row>
    <row r="50" spans="1:6" ht="20.100000000000001" customHeight="1">
      <c r="A50" s="692"/>
      <c r="D50" s="692"/>
      <c r="E50" s="692"/>
      <c r="F50" s="692"/>
    </row>
    <row r="51" spans="1:6" ht="20.100000000000001" customHeight="1">
      <c r="A51" s="692"/>
      <c r="D51" s="692"/>
      <c r="E51" s="692"/>
      <c r="F51" s="692"/>
    </row>
    <row r="52" spans="1:6" ht="20.100000000000001" customHeight="1">
      <c r="A52" s="692"/>
      <c r="D52" s="692"/>
      <c r="E52" s="692"/>
      <c r="F52" s="692"/>
    </row>
    <row r="53" spans="1:6" ht="20.100000000000001" customHeight="1">
      <c r="A53" s="692"/>
      <c r="D53" s="692"/>
      <c r="E53" s="692"/>
      <c r="F53" s="692"/>
    </row>
    <row r="54" spans="1:6" ht="20.100000000000001" customHeight="1">
      <c r="A54" s="692"/>
      <c r="D54" s="692"/>
      <c r="E54" s="692"/>
      <c r="F54" s="692"/>
    </row>
    <row r="55" spans="1:6" ht="20.100000000000001" customHeight="1">
      <c r="A55" s="692"/>
      <c r="D55" s="692"/>
      <c r="E55" s="692"/>
      <c r="F55" s="692"/>
    </row>
    <row r="56" spans="1:6" ht="20.100000000000001" customHeight="1">
      <c r="A56" s="692"/>
      <c r="D56" s="692"/>
      <c r="E56" s="692"/>
      <c r="F56" s="692"/>
    </row>
    <row r="57" spans="1:6" ht="20.100000000000001" customHeight="1">
      <c r="A57" s="692"/>
      <c r="D57" s="692"/>
      <c r="E57" s="692"/>
      <c r="F57" s="692"/>
    </row>
    <row r="58" spans="1:6" ht="20.100000000000001" customHeight="1">
      <c r="A58" s="692"/>
      <c r="D58" s="692"/>
      <c r="E58" s="692"/>
      <c r="F58" s="692"/>
    </row>
    <row r="59" spans="1:6" ht="25.15" customHeight="1">
      <c r="A59" s="692"/>
      <c r="D59" s="692"/>
      <c r="E59" s="692"/>
      <c r="F59" s="692"/>
    </row>
    <row r="60" spans="1:6" ht="25.15" customHeight="1">
      <c r="A60" s="692"/>
      <c r="D60" s="692"/>
      <c r="E60" s="692"/>
      <c r="F60" s="692"/>
    </row>
    <row r="61" spans="1:6" ht="25.15" customHeight="1">
      <c r="A61" s="692"/>
      <c r="D61" s="692"/>
      <c r="E61" s="692"/>
      <c r="F61" s="692"/>
    </row>
    <row r="62" spans="1:6" ht="25.15" customHeight="1">
      <c r="A62" s="692"/>
      <c r="D62" s="692"/>
      <c r="E62" s="692"/>
      <c r="F62" s="692"/>
    </row>
    <row r="63" spans="1:6" ht="25.15" customHeight="1">
      <c r="A63" s="692"/>
      <c r="D63" s="692"/>
      <c r="E63" s="692"/>
      <c r="F63" s="692"/>
    </row>
    <row r="64" spans="1:6" ht="25.15" customHeight="1">
      <c r="A64" s="692"/>
      <c r="D64" s="692"/>
      <c r="E64" s="692"/>
      <c r="F64" s="692"/>
    </row>
    <row r="65" spans="1:6" ht="25.15" customHeight="1">
      <c r="A65" s="692"/>
      <c r="D65" s="692"/>
      <c r="E65" s="692"/>
      <c r="F65" s="692"/>
    </row>
    <row r="66" spans="1:6" ht="25.15" customHeight="1">
      <c r="A66" s="692"/>
      <c r="D66" s="692"/>
      <c r="E66" s="692"/>
      <c r="F66" s="692"/>
    </row>
    <row r="67" spans="1:6" ht="25.15" customHeight="1">
      <c r="A67" s="692"/>
      <c r="D67" s="692"/>
      <c r="E67" s="692"/>
      <c r="F67" s="692"/>
    </row>
    <row r="68" spans="1:6" ht="25.15" customHeight="1">
      <c r="A68" s="692"/>
      <c r="D68" s="692"/>
      <c r="E68" s="692"/>
      <c r="F68" s="692"/>
    </row>
    <row r="69" spans="1:6" ht="25.15" customHeight="1">
      <c r="A69" s="692"/>
      <c r="D69" s="692"/>
      <c r="E69" s="692"/>
      <c r="F69" s="692"/>
    </row>
    <row r="70" spans="1:6" ht="25.15" customHeight="1">
      <c r="A70" s="692"/>
      <c r="D70" s="692"/>
      <c r="E70" s="692"/>
      <c r="F70" s="692"/>
    </row>
    <row r="71" spans="1:6" ht="25.15" customHeight="1">
      <c r="A71" s="692"/>
      <c r="D71" s="692"/>
      <c r="E71" s="692"/>
      <c r="F71" s="692"/>
    </row>
    <row r="72" spans="1:6" ht="25.15" customHeight="1">
      <c r="A72" s="692"/>
      <c r="D72" s="692"/>
      <c r="E72" s="692"/>
      <c r="F72" s="692"/>
    </row>
    <row r="73" spans="1:6" ht="25.15" customHeight="1">
      <c r="A73" s="692"/>
      <c r="D73" s="692"/>
      <c r="E73" s="692"/>
      <c r="F73" s="692"/>
    </row>
    <row r="74" spans="1:6" ht="25.15" customHeight="1">
      <c r="A74" s="692"/>
      <c r="D74" s="692"/>
      <c r="E74" s="692"/>
      <c r="F74" s="692"/>
    </row>
    <row r="75" spans="1:6" ht="25.15" customHeight="1">
      <c r="A75" s="692"/>
      <c r="D75" s="692"/>
      <c r="E75" s="692"/>
      <c r="F75" s="692"/>
    </row>
    <row r="76" spans="1:6" ht="25.15" customHeight="1">
      <c r="A76" s="692"/>
      <c r="D76" s="692"/>
      <c r="E76" s="692"/>
      <c r="F76" s="692"/>
    </row>
    <row r="77" spans="1:6" ht="25.15" customHeight="1">
      <c r="A77" s="692"/>
      <c r="D77" s="692"/>
      <c r="E77" s="692"/>
      <c r="F77" s="692"/>
    </row>
    <row r="78" spans="1:6" ht="25.15" customHeight="1">
      <c r="A78" s="692"/>
      <c r="D78" s="692"/>
      <c r="E78" s="692"/>
      <c r="F78" s="692"/>
    </row>
    <row r="79" spans="1:6" ht="25.15" customHeight="1">
      <c r="A79" s="692"/>
      <c r="D79" s="692"/>
      <c r="E79" s="692"/>
      <c r="F79" s="692"/>
    </row>
    <row r="80" spans="1:6" ht="25.15" customHeight="1">
      <c r="A80" s="692"/>
      <c r="D80" s="692"/>
      <c r="E80" s="692"/>
      <c r="F80" s="692"/>
    </row>
    <row r="81" spans="1:6" ht="25.15" customHeight="1">
      <c r="A81" s="692"/>
      <c r="D81" s="692"/>
      <c r="E81" s="692"/>
      <c r="F81" s="692"/>
    </row>
    <row r="82" spans="1:6" ht="25.15" customHeight="1">
      <c r="A82" s="692"/>
      <c r="D82" s="692"/>
      <c r="E82" s="692"/>
      <c r="F82" s="692"/>
    </row>
    <row r="83" spans="1:6" ht="25.15" customHeight="1">
      <c r="A83" s="692"/>
      <c r="D83" s="692"/>
      <c r="E83" s="692"/>
      <c r="F83" s="692"/>
    </row>
    <row r="84" spans="1:6" ht="25.15" customHeight="1">
      <c r="A84" s="692"/>
      <c r="D84" s="692"/>
      <c r="E84" s="692"/>
      <c r="F84" s="692"/>
    </row>
    <row r="85" spans="1:6" ht="25.15" customHeight="1">
      <c r="A85" s="692"/>
      <c r="D85" s="692"/>
      <c r="E85" s="692"/>
      <c r="F85" s="692"/>
    </row>
    <row r="86" spans="1:6" ht="25.15" customHeight="1">
      <c r="A86" s="692"/>
      <c r="D86" s="692"/>
      <c r="E86" s="692"/>
      <c r="F86" s="692"/>
    </row>
    <row r="87" spans="1:6" ht="25.15" customHeight="1">
      <c r="A87" s="692"/>
      <c r="D87" s="692"/>
      <c r="E87" s="692"/>
      <c r="F87" s="692"/>
    </row>
    <row r="88" spans="1:6" ht="25.15" customHeight="1">
      <c r="A88" s="692"/>
      <c r="D88" s="692"/>
      <c r="E88" s="692"/>
      <c r="F88" s="692"/>
    </row>
    <row r="89" spans="1:6" ht="25.15" customHeight="1">
      <c r="A89" s="692"/>
      <c r="D89" s="692"/>
      <c r="E89" s="692"/>
      <c r="F89" s="692"/>
    </row>
    <row r="90" spans="1:6" ht="25.15" customHeight="1">
      <c r="A90" s="692"/>
      <c r="D90" s="692"/>
      <c r="E90" s="692"/>
      <c r="F90" s="692"/>
    </row>
    <row r="91" spans="1:6" ht="25.15" customHeight="1">
      <c r="A91" s="692"/>
      <c r="D91" s="692"/>
      <c r="E91" s="692"/>
      <c r="F91" s="692"/>
    </row>
    <row r="92" spans="1:6" ht="25.15" customHeight="1">
      <c r="A92" s="692"/>
      <c r="D92" s="692"/>
      <c r="E92" s="692"/>
      <c r="F92" s="692"/>
    </row>
    <row r="93" spans="1:6" ht="25.15" customHeight="1">
      <c r="A93" s="692"/>
      <c r="D93" s="692"/>
      <c r="E93" s="692"/>
      <c r="F93" s="692"/>
    </row>
    <row r="94" spans="1:6" ht="25.15" customHeight="1">
      <c r="A94" s="692"/>
      <c r="D94" s="692"/>
      <c r="E94" s="692"/>
      <c r="F94" s="692"/>
    </row>
    <row r="95" spans="1:6" ht="25.15" customHeight="1">
      <c r="A95" s="692"/>
      <c r="D95" s="692"/>
      <c r="E95" s="692"/>
      <c r="F95" s="692"/>
    </row>
    <row r="96" spans="1:6" ht="25.15" customHeight="1">
      <c r="A96" s="692"/>
      <c r="D96" s="692"/>
      <c r="E96" s="692"/>
      <c r="F96" s="692"/>
    </row>
    <row r="97" spans="1:6" ht="25.15" customHeight="1">
      <c r="A97" s="692"/>
      <c r="D97" s="692"/>
      <c r="E97" s="692"/>
      <c r="F97" s="692"/>
    </row>
    <row r="98" spans="1:6" ht="25.15" customHeight="1">
      <c r="A98" s="692"/>
      <c r="D98" s="692"/>
      <c r="E98" s="692"/>
      <c r="F98" s="692"/>
    </row>
    <row r="99" spans="1:6" ht="25.15" customHeight="1">
      <c r="A99" s="692"/>
      <c r="D99" s="692"/>
      <c r="E99" s="692"/>
      <c r="F99" s="692"/>
    </row>
    <row r="100" spans="1:6" ht="25.15" customHeight="1">
      <c r="A100" s="692"/>
      <c r="D100" s="692"/>
      <c r="E100" s="692"/>
      <c r="F100" s="692"/>
    </row>
    <row r="101" spans="1:6" ht="25.15" customHeight="1">
      <c r="A101" s="692"/>
      <c r="D101" s="692"/>
      <c r="E101" s="692"/>
      <c r="F101" s="692"/>
    </row>
    <row r="102" spans="1:6" ht="25.15" customHeight="1">
      <c r="A102" s="692"/>
      <c r="D102" s="692"/>
      <c r="E102" s="692"/>
      <c r="F102" s="692"/>
    </row>
    <row r="103" spans="1:6" ht="25.15" customHeight="1">
      <c r="A103" s="692"/>
      <c r="D103" s="692"/>
      <c r="E103" s="692"/>
      <c r="F103" s="692"/>
    </row>
    <row r="104" spans="1:6" ht="25.15" customHeight="1">
      <c r="A104" s="692"/>
      <c r="D104" s="692"/>
      <c r="E104" s="692"/>
      <c r="F104" s="692"/>
    </row>
    <row r="105" spans="1:6" ht="25.15" customHeight="1">
      <c r="A105" s="692"/>
      <c r="D105" s="692"/>
      <c r="E105" s="692"/>
      <c r="F105" s="692"/>
    </row>
    <row r="106" spans="1:6" ht="25.15" customHeight="1">
      <c r="A106" s="692"/>
      <c r="D106" s="692"/>
      <c r="E106" s="692"/>
      <c r="F106" s="692"/>
    </row>
    <row r="107" spans="1:6" ht="25.15" customHeight="1">
      <c r="A107" s="692"/>
      <c r="D107" s="692"/>
      <c r="E107" s="692"/>
      <c r="F107" s="692"/>
    </row>
    <row r="108" spans="1:6" ht="25.15" customHeight="1">
      <c r="A108" s="692"/>
      <c r="D108" s="692"/>
      <c r="E108" s="692"/>
      <c r="F108" s="692"/>
    </row>
    <row r="109" spans="1:6" ht="25.15" customHeight="1">
      <c r="A109" s="692"/>
      <c r="D109" s="692"/>
      <c r="E109" s="692"/>
      <c r="F109" s="692"/>
    </row>
    <row r="110" spans="1:6" ht="25.15" customHeight="1">
      <c r="A110" s="692"/>
      <c r="D110" s="692"/>
      <c r="E110" s="692"/>
      <c r="F110" s="692"/>
    </row>
    <row r="111" spans="1:6" ht="25.15" customHeight="1">
      <c r="A111" s="692"/>
      <c r="D111" s="692"/>
      <c r="E111" s="692"/>
      <c r="F111" s="692"/>
    </row>
    <row r="112" spans="1:6" ht="25.15" customHeight="1">
      <c r="A112" s="692"/>
      <c r="D112" s="692"/>
      <c r="E112" s="692"/>
      <c r="F112" s="692"/>
    </row>
  </sheetData>
  <mergeCells count="1">
    <mergeCell ref="B4:C4"/>
  </mergeCells>
  <pageMargins left="0.86614173228346503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J112"/>
  <sheetViews>
    <sheetView workbookViewId="0">
      <selection activeCell="D13" sqref="D13"/>
    </sheetView>
  </sheetViews>
  <sheetFormatPr defaultColWidth="9.28515625" defaultRowHeight="25.15" customHeight="1"/>
  <cols>
    <col min="1" max="1" width="50.28515625" style="709" customWidth="1"/>
    <col min="2" max="2" width="11" style="692" customWidth="1"/>
    <col min="3" max="3" width="11.28515625" style="692" customWidth="1"/>
    <col min="4" max="4" width="16.140625" style="709" customWidth="1"/>
    <col min="5" max="16384" width="9.28515625" style="709"/>
  </cols>
  <sheetData>
    <row r="1" spans="1:10" ht="20.100000000000001" customHeight="1">
      <c r="A1" s="677" t="s">
        <v>666</v>
      </c>
      <c r="B1" s="708"/>
      <c r="C1" s="709"/>
      <c r="F1" s="679"/>
      <c r="G1" s="708"/>
      <c r="H1" s="708"/>
    </row>
    <row r="2" spans="1:10" ht="20.100000000000001" customHeight="1">
      <c r="A2" s="710"/>
      <c r="B2" s="710"/>
      <c r="C2" s="711"/>
      <c r="F2" s="679"/>
      <c r="G2" s="708"/>
      <c r="H2" s="708"/>
    </row>
    <row r="3" spans="1:10" ht="20.100000000000001" customHeight="1">
      <c r="A3" s="712"/>
      <c r="B3" s="713"/>
      <c r="C3" s="714"/>
      <c r="D3" s="715" t="s">
        <v>61</v>
      </c>
      <c r="F3" s="679"/>
    </row>
    <row r="4" spans="1:10" ht="20.100000000000001" customHeight="1">
      <c r="A4" s="684"/>
      <c r="B4" s="911" t="s">
        <v>522</v>
      </c>
      <c r="C4" s="911"/>
      <c r="D4" s="685" t="s">
        <v>242</v>
      </c>
      <c r="F4" s="679"/>
    </row>
    <row r="5" spans="1:10" ht="20.100000000000001" customHeight="1">
      <c r="A5" s="686"/>
      <c r="B5" s="687" t="s">
        <v>26</v>
      </c>
      <c r="C5" s="687" t="s">
        <v>25</v>
      </c>
      <c r="D5" s="688" t="s">
        <v>523</v>
      </c>
      <c r="F5" s="689"/>
    </row>
    <row r="6" spans="1:10" ht="20.100000000000001" customHeight="1">
      <c r="A6" s="686"/>
      <c r="B6" s="690" t="s">
        <v>277</v>
      </c>
      <c r="C6" s="690" t="s">
        <v>53</v>
      </c>
      <c r="D6" s="691" t="s">
        <v>68</v>
      </c>
      <c r="F6" s="689"/>
    </row>
    <row r="7" spans="1:10" ht="20.100000000000001" customHeight="1">
      <c r="A7" s="686"/>
      <c r="B7" s="652"/>
      <c r="C7" s="652"/>
      <c r="F7" s="692"/>
    </row>
    <row r="8" spans="1:10" s="719" customFormat="1" ht="20.100000000000001" customHeight="1">
      <c r="A8" s="716" t="s">
        <v>532</v>
      </c>
      <c r="B8" s="717">
        <v>104.6034009055755</v>
      </c>
      <c r="C8" s="717">
        <v>101.29033419211314</v>
      </c>
      <c r="D8" s="718">
        <v>104.0913698852724</v>
      </c>
      <c r="E8" s="720"/>
      <c r="F8" s="720"/>
      <c r="G8" s="720"/>
      <c r="H8" s="720"/>
      <c r="I8" s="720"/>
      <c r="J8" s="720"/>
    </row>
    <row r="9" spans="1:10" ht="20.100000000000001" customHeight="1">
      <c r="A9" s="716" t="s">
        <v>545</v>
      </c>
      <c r="B9" s="722"/>
      <c r="C9" s="722"/>
      <c r="E9" s="720"/>
      <c r="F9" s="720"/>
      <c r="G9" s="720"/>
      <c r="H9" s="720"/>
      <c r="I9" s="720"/>
      <c r="J9" s="720"/>
    </row>
    <row r="10" spans="1:10" ht="20.100000000000001" customHeight="1">
      <c r="A10" s="731" t="s">
        <v>546</v>
      </c>
      <c r="B10" s="722">
        <v>102.65534492294778</v>
      </c>
      <c r="C10" s="722">
        <v>101.17322751802217</v>
      </c>
      <c r="D10" s="723">
        <v>102.07384487655763</v>
      </c>
      <c r="E10" s="720"/>
      <c r="F10" s="720"/>
      <c r="G10" s="720"/>
      <c r="H10" s="720"/>
      <c r="I10" s="720"/>
      <c r="J10" s="720"/>
    </row>
    <row r="11" spans="1:10" ht="20.100000000000001" customHeight="1">
      <c r="A11" s="731" t="s">
        <v>547</v>
      </c>
      <c r="B11" s="722">
        <v>104.80440556571827</v>
      </c>
      <c r="C11" s="722">
        <v>101.13420395450699</v>
      </c>
      <c r="D11" s="723">
        <v>104.4345450848777</v>
      </c>
      <c r="E11" s="720"/>
      <c r="F11" s="720"/>
      <c r="G11" s="720"/>
      <c r="H11" s="720"/>
      <c r="I11" s="720"/>
      <c r="J11" s="720"/>
    </row>
    <row r="12" spans="1:10" ht="20.100000000000001" customHeight="1">
      <c r="A12" s="731" t="s">
        <v>548</v>
      </c>
      <c r="B12" s="722">
        <v>104.63976640550447</v>
      </c>
      <c r="C12" s="722">
        <v>103.11927152829074</v>
      </c>
      <c r="D12" s="723">
        <v>102.33413004032946</v>
      </c>
      <c r="E12" s="720"/>
      <c r="F12" s="720"/>
      <c r="G12" s="720"/>
      <c r="H12" s="720"/>
      <c r="I12" s="720"/>
      <c r="J12" s="720"/>
    </row>
    <row r="13" spans="1:10" ht="20.100000000000001" customHeight="1">
      <c r="A13" s="716" t="s">
        <v>549</v>
      </c>
      <c r="B13" s="722"/>
      <c r="C13" s="722"/>
      <c r="E13" s="720"/>
      <c r="F13" s="720"/>
      <c r="G13" s="720"/>
      <c r="H13" s="720"/>
      <c r="I13" s="720"/>
      <c r="J13" s="720"/>
    </row>
    <row r="14" spans="1:10" ht="20.100000000000001" customHeight="1">
      <c r="A14" s="731" t="s">
        <v>550</v>
      </c>
      <c r="B14" s="722">
        <v>104.86605139357592</v>
      </c>
      <c r="C14" s="722">
        <v>99.939125823185975</v>
      </c>
      <c r="D14" s="723">
        <v>104.89537799222784</v>
      </c>
      <c r="E14" s="720"/>
      <c r="F14" s="720"/>
      <c r="G14" s="720"/>
      <c r="H14" s="720"/>
      <c r="I14" s="720"/>
      <c r="J14" s="720"/>
    </row>
    <row r="15" spans="1:10" ht="20.100000000000001" customHeight="1">
      <c r="A15" s="731" t="s">
        <v>551</v>
      </c>
      <c r="B15" s="722">
        <v>110.80656559441373</v>
      </c>
      <c r="C15" s="722">
        <v>105.95019555656708</v>
      </c>
      <c r="D15" s="723">
        <v>106.40880992835589</v>
      </c>
      <c r="E15" s="720"/>
      <c r="F15" s="720"/>
      <c r="G15" s="720"/>
      <c r="H15" s="720"/>
      <c r="I15" s="720"/>
      <c r="J15" s="720"/>
    </row>
    <row r="16" spans="1:10" ht="20.100000000000001" customHeight="1">
      <c r="A16" s="731" t="s">
        <v>552</v>
      </c>
      <c r="B16" s="722">
        <v>104.20363287153062</v>
      </c>
      <c r="C16" s="722">
        <v>101.24438194034235</v>
      </c>
      <c r="D16" s="723">
        <v>103.83780075185</v>
      </c>
      <c r="E16" s="720"/>
      <c r="F16" s="720"/>
      <c r="G16" s="720"/>
      <c r="H16" s="720"/>
      <c r="I16" s="720"/>
      <c r="J16" s="720"/>
    </row>
    <row r="17" spans="1:10" ht="20.100000000000001" customHeight="1">
      <c r="A17" s="731" t="s">
        <v>553</v>
      </c>
      <c r="B17" s="722">
        <v>107.11517155356006</v>
      </c>
      <c r="C17" s="722">
        <v>102.6998171827026</v>
      </c>
      <c r="D17" s="723">
        <v>104.97081170093398</v>
      </c>
      <c r="E17" s="720"/>
      <c r="F17" s="720"/>
      <c r="G17" s="720"/>
      <c r="H17" s="720"/>
      <c r="I17" s="720"/>
      <c r="J17" s="720"/>
    </row>
    <row r="18" spans="1:10" ht="20.100000000000001" customHeight="1">
      <c r="A18" s="731" t="s">
        <v>554</v>
      </c>
      <c r="B18" s="722">
        <v>103.85439373223601</v>
      </c>
      <c r="C18" s="722">
        <v>100.80591220895634</v>
      </c>
      <c r="D18" s="723">
        <v>103.68222511700469</v>
      </c>
      <c r="E18" s="720"/>
      <c r="F18" s="720"/>
      <c r="G18" s="720"/>
      <c r="H18" s="720"/>
      <c r="I18" s="720"/>
      <c r="J18" s="720"/>
    </row>
    <row r="19" spans="1:10" ht="20.100000000000001" customHeight="1">
      <c r="A19" s="731" t="s">
        <v>555</v>
      </c>
      <c r="B19" s="722">
        <v>102.35103098290615</v>
      </c>
      <c r="C19" s="722">
        <v>100.35534838592011</v>
      </c>
      <c r="D19" s="723">
        <v>102.53160788324118</v>
      </c>
      <c r="E19" s="720"/>
      <c r="F19" s="720"/>
      <c r="G19" s="720"/>
      <c r="H19" s="720"/>
      <c r="I19" s="720"/>
      <c r="J19" s="720"/>
    </row>
    <row r="20" spans="1:10" ht="20.100000000000001" customHeight="1">
      <c r="A20" s="731" t="s">
        <v>556</v>
      </c>
      <c r="B20" s="722">
        <v>103.15647757227511</v>
      </c>
      <c r="C20" s="722">
        <v>100.44081243106986</v>
      </c>
      <c r="D20" s="723">
        <v>103.35371685490369</v>
      </c>
      <c r="E20" s="720"/>
      <c r="F20" s="720"/>
      <c r="G20" s="720"/>
      <c r="H20" s="720"/>
      <c r="I20" s="720"/>
      <c r="J20" s="720"/>
    </row>
    <row r="21" spans="1:10" s="706" customFormat="1" ht="6" customHeight="1">
      <c r="A21" s="705"/>
      <c r="B21" s="705"/>
      <c r="C21" s="705"/>
      <c r="D21" s="705"/>
    </row>
    <row r="22" spans="1:10" s="706" customFormat="1" ht="21.75" customHeight="1">
      <c r="A22" s="707" t="s">
        <v>531</v>
      </c>
    </row>
    <row r="23" spans="1:10" ht="20.100000000000001" customHeight="1">
      <c r="A23" s="731"/>
      <c r="B23" s="722"/>
      <c r="C23" s="722"/>
      <c r="F23" s="729"/>
    </row>
    <row r="24" spans="1:10" ht="20.100000000000001" customHeight="1">
      <c r="A24" s="731"/>
      <c r="B24" s="722"/>
      <c r="C24" s="722"/>
      <c r="F24" s="692"/>
    </row>
    <row r="25" spans="1:10" ht="20.100000000000001" customHeight="1">
      <c r="A25" s="731"/>
      <c r="B25" s="722"/>
      <c r="C25" s="722"/>
      <c r="F25" s="692"/>
    </row>
    <row r="26" spans="1:10" ht="20.100000000000001" customHeight="1">
      <c r="A26" s="732"/>
      <c r="B26" s="733"/>
      <c r="C26" s="733"/>
      <c r="F26" s="692"/>
    </row>
    <row r="27" spans="1:10" ht="20.100000000000001" customHeight="1">
      <c r="A27" s="732"/>
      <c r="B27" s="733"/>
      <c r="C27" s="733"/>
      <c r="F27" s="692"/>
    </row>
    <row r="28" spans="1:10" ht="20.100000000000001" customHeight="1">
      <c r="A28" s="732"/>
      <c r="B28" s="733"/>
      <c r="C28" s="733"/>
      <c r="F28" s="692"/>
    </row>
    <row r="29" spans="1:10" ht="20.100000000000001" customHeight="1">
      <c r="A29" s="732"/>
      <c r="B29" s="733"/>
      <c r="C29" s="733"/>
      <c r="F29" s="692"/>
    </row>
    <row r="30" spans="1:10" ht="20.100000000000001" customHeight="1">
      <c r="A30" s="732"/>
      <c r="B30" s="733"/>
      <c r="C30" s="733"/>
      <c r="F30" s="692"/>
    </row>
    <row r="31" spans="1:10" ht="20.100000000000001" customHeight="1">
      <c r="A31" s="734"/>
      <c r="B31" s="714"/>
      <c r="C31" s="714"/>
      <c r="F31" s="692"/>
    </row>
    <row r="32" spans="1:10" ht="20.100000000000001" customHeight="1">
      <c r="A32" s="734"/>
      <c r="B32" s="714"/>
      <c r="C32" s="714"/>
      <c r="F32" s="692"/>
    </row>
    <row r="33" spans="1:6" ht="20.100000000000001" customHeight="1">
      <c r="A33" s="734"/>
      <c r="B33" s="714"/>
      <c r="C33" s="714"/>
      <c r="F33" s="692"/>
    </row>
    <row r="34" spans="1:6" ht="20.100000000000001" customHeight="1">
      <c r="A34" s="734"/>
      <c r="B34" s="714"/>
      <c r="C34" s="714"/>
      <c r="F34" s="692"/>
    </row>
    <row r="35" spans="1:6" ht="20.100000000000001" customHeight="1">
      <c r="A35" s="734"/>
      <c r="B35" s="714"/>
      <c r="C35" s="714"/>
      <c r="F35" s="692"/>
    </row>
    <row r="36" spans="1:6" ht="20.100000000000001" customHeight="1">
      <c r="A36" s="734"/>
      <c r="B36" s="714"/>
      <c r="C36" s="714"/>
      <c r="F36" s="692"/>
    </row>
    <row r="37" spans="1:6" ht="20.100000000000001" customHeight="1">
      <c r="A37" s="734"/>
      <c r="B37" s="714"/>
      <c r="C37" s="714"/>
      <c r="F37" s="692"/>
    </row>
    <row r="38" spans="1:6" ht="20.100000000000001" customHeight="1">
      <c r="A38" s="734"/>
      <c r="B38" s="714"/>
      <c r="C38" s="714"/>
      <c r="F38" s="692"/>
    </row>
    <row r="39" spans="1:6" ht="20.100000000000001" customHeight="1">
      <c r="A39" s="734"/>
      <c r="B39" s="714"/>
      <c r="C39" s="714"/>
      <c r="F39" s="692"/>
    </row>
    <row r="40" spans="1:6" ht="20.100000000000001" customHeight="1">
      <c r="A40" s="734"/>
      <c r="B40" s="714"/>
      <c r="C40" s="714"/>
      <c r="F40" s="692"/>
    </row>
    <row r="41" spans="1:6" ht="20.100000000000001" customHeight="1">
      <c r="A41" s="734"/>
      <c r="B41" s="714"/>
      <c r="C41" s="714"/>
      <c r="F41" s="692"/>
    </row>
    <row r="42" spans="1:6" ht="20.100000000000001" customHeight="1">
      <c r="A42" s="734"/>
      <c r="B42" s="714"/>
      <c r="C42" s="714"/>
      <c r="F42" s="692"/>
    </row>
    <row r="43" spans="1:6" ht="20.100000000000001" customHeight="1">
      <c r="A43" s="734"/>
      <c r="B43" s="714"/>
      <c r="C43" s="714"/>
      <c r="F43" s="692"/>
    </row>
    <row r="44" spans="1:6" ht="20.100000000000001" customHeight="1">
      <c r="A44" s="734"/>
      <c r="B44" s="714"/>
      <c r="C44" s="714"/>
      <c r="F44" s="692"/>
    </row>
    <row r="45" spans="1:6" ht="20.100000000000001" customHeight="1">
      <c r="A45" s="734"/>
      <c r="F45" s="692"/>
    </row>
    <row r="46" spans="1:6" ht="20.100000000000001" customHeight="1">
      <c r="A46" s="734"/>
      <c r="F46" s="692"/>
    </row>
    <row r="47" spans="1:6" ht="20.100000000000001" customHeight="1">
      <c r="A47" s="734"/>
      <c r="F47" s="692"/>
    </row>
    <row r="48" spans="1:6" ht="20.100000000000001" customHeight="1">
      <c r="A48" s="734"/>
      <c r="F48" s="692"/>
    </row>
    <row r="49" spans="1:6" ht="20.100000000000001" customHeight="1">
      <c r="A49" s="692"/>
      <c r="D49" s="692"/>
      <c r="E49" s="692"/>
      <c r="F49" s="692"/>
    </row>
    <row r="50" spans="1:6" ht="20.100000000000001" customHeight="1">
      <c r="A50" s="692"/>
      <c r="D50" s="692"/>
      <c r="E50" s="692"/>
      <c r="F50" s="692"/>
    </row>
    <row r="51" spans="1:6" ht="20.100000000000001" customHeight="1">
      <c r="A51" s="692"/>
      <c r="D51" s="692"/>
      <c r="E51" s="692"/>
      <c r="F51" s="692"/>
    </row>
    <row r="52" spans="1:6" ht="20.100000000000001" customHeight="1">
      <c r="A52" s="692"/>
      <c r="D52" s="692"/>
      <c r="E52" s="692"/>
      <c r="F52" s="692"/>
    </row>
    <row r="53" spans="1:6" ht="20.100000000000001" customHeight="1">
      <c r="A53" s="692"/>
      <c r="D53" s="692"/>
      <c r="E53" s="692"/>
      <c r="F53" s="692"/>
    </row>
    <row r="54" spans="1:6" ht="20.100000000000001" customHeight="1">
      <c r="A54" s="692"/>
      <c r="D54" s="692"/>
      <c r="E54" s="692"/>
      <c r="F54" s="692"/>
    </row>
    <row r="55" spans="1:6" ht="20.100000000000001" customHeight="1">
      <c r="A55" s="692"/>
      <c r="D55" s="692"/>
      <c r="E55" s="692"/>
      <c r="F55" s="692"/>
    </row>
    <row r="56" spans="1:6" ht="20.100000000000001" customHeight="1">
      <c r="A56" s="692"/>
      <c r="D56" s="692"/>
      <c r="E56" s="692"/>
      <c r="F56" s="692"/>
    </row>
    <row r="57" spans="1:6" ht="20.100000000000001" customHeight="1">
      <c r="A57" s="692"/>
      <c r="D57" s="692"/>
      <c r="E57" s="692"/>
      <c r="F57" s="692"/>
    </row>
    <row r="58" spans="1:6" ht="20.100000000000001" customHeight="1">
      <c r="A58" s="692"/>
      <c r="D58" s="692"/>
      <c r="E58" s="692"/>
      <c r="F58" s="692"/>
    </row>
    <row r="59" spans="1:6" ht="25.15" customHeight="1">
      <c r="A59" s="692"/>
      <c r="D59" s="692"/>
      <c r="E59" s="692"/>
      <c r="F59" s="692"/>
    </row>
    <row r="60" spans="1:6" ht="25.15" customHeight="1">
      <c r="A60" s="692"/>
      <c r="D60" s="692"/>
      <c r="E60" s="692"/>
      <c r="F60" s="692"/>
    </row>
    <row r="61" spans="1:6" ht="25.15" customHeight="1">
      <c r="A61" s="692"/>
      <c r="D61" s="692"/>
      <c r="E61" s="692"/>
      <c r="F61" s="692"/>
    </row>
    <row r="62" spans="1:6" ht="25.15" customHeight="1">
      <c r="A62" s="692"/>
      <c r="D62" s="692"/>
      <c r="E62" s="692"/>
      <c r="F62" s="692"/>
    </row>
    <row r="63" spans="1:6" ht="25.15" customHeight="1">
      <c r="A63" s="692"/>
      <c r="D63" s="692"/>
      <c r="E63" s="692"/>
      <c r="F63" s="692"/>
    </row>
    <row r="64" spans="1:6" ht="25.15" customHeight="1">
      <c r="A64" s="692"/>
      <c r="D64" s="692"/>
      <c r="E64" s="692"/>
      <c r="F64" s="692"/>
    </row>
    <row r="65" spans="1:6" ht="25.15" customHeight="1">
      <c r="A65" s="692"/>
      <c r="D65" s="692"/>
      <c r="E65" s="692"/>
      <c r="F65" s="692"/>
    </row>
    <row r="66" spans="1:6" ht="25.15" customHeight="1">
      <c r="A66" s="692"/>
      <c r="D66" s="692"/>
      <c r="E66" s="692"/>
      <c r="F66" s="692"/>
    </row>
    <row r="67" spans="1:6" ht="25.15" customHeight="1">
      <c r="A67" s="692"/>
      <c r="D67" s="692"/>
      <c r="E67" s="692"/>
      <c r="F67" s="692"/>
    </row>
    <row r="68" spans="1:6" ht="25.15" customHeight="1">
      <c r="A68" s="692"/>
      <c r="D68" s="692"/>
      <c r="E68" s="692"/>
      <c r="F68" s="692"/>
    </row>
    <row r="69" spans="1:6" ht="25.15" customHeight="1">
      <c r="A69" s="692"/>
      <c r="D69" s="692"/>
      <c r="E69" s="692"/>
      <c r="F69" s="692"/>
    </row>
    <row r="70" spans="1:6" ht="25.15" customHeight="1">
      <c r="A70" s="692"/>
      <c r="D70" s="692"/>
      <c r="E70" s="692"/>
      <c r="F70" s="692"/>
    </row>
    <row r="71" spans="1:6" ht="25.15" customHeight="1">
      <c r="A71" s="692"/>
      <c r="D71" s="692"/>
      <c r="E71" s="692"/>
      <c r="F71" s="692"/>
    </row>
    <row r="72" spans="1:6" ht="25.15" customHeight="1">
      <c r="A72" s="692"/>
      <c r="D72" s="692"/>
      <c r="E72" s="692"/>
      <c r="F72" s="692"/>
    </row>
    <row r="73" spans="1:6" ht="25.15" customHeight="1">
      <c r="A73" s="692"/>
      <c r="D73" s="692"/>
      <c r="E73" s="692"/>
      <c r="F73" s="692"/>
    </row>
    <row r="74" spans="1:6" ht="25.15" customHeight="1">
      <c r="A74" s="692"/>
      <c r="D74" s="692"/>
      <c r="E74" s="692"/>
      <c r="F74" s="692"/>
    </row>
    <row r="75" spans="1:6" ht="25.15" customHeight="1">
      <c r="A75" s="692"/>
      <c r="D75" s="692"/>
      <c r="E75" s="692"/>
      <c r="F75" s="692"/>
    </row>
    <row r="76" spans="1:6" ht="25.15" customHeight="1">
      <c r="A76" s="692"/>
      <c r="D76" s="692"/>
      <c r="E76" s="692"/>
      <c r="F76" s="692"/>
    </row>
    <row r="77" spans="1:6" ht="25.15" customHeight="1">
      <c r="A77" s="692"/>
      <c r="D77" s="692"/>
      <c r="E77" s="692"/>
      <c r="F77" s="692"/>
    </row>
    <row r="78" spans="1:6" ht="25.15" customHeight="1">
      <c r="A78" s="692"/>
      <c r="D78" s="692"/>
      <c r="E78" s="692"/>
      <c r="F78" s="692"/>
    </row>
    <row r="79" spans="1:6" ht="25.15" customHeight="1">
      <c r="A79" s="692"/>
      <c r="D79" s="692"/>
      <c r="E79" s="692"/>
      <c r="F79" s="692"/>
    </row>
    <row r="80" spans="1:6" ht="25.15" customHeight="1">
      <c r="A80" s="692"/>
      <c r="D80" s="692"/>
      <c r="E80" s="692"/>
      <c r="F80" s="692"/>
    </row>
    <row r="81" spans="1:6" ht="25.15" customHeight="1">
      <c r="A81" s="692"/>
      <c r="D81" s="692"/>
      <c r="E81" s="692"/>
      <c r="F81" s="692"/>
    </row>
    <row r="82" spans="1:6" ht="25.15" customHeight="1">
      <c r="A82" s="692"/>
      <c r="D82" s="692"/>
      <c r="E82" s="692"/>
      <c r="F82" s="692"/>
    </row>
    <row r="83" spans="1:6" ht="25.15" customHeight="1">
      <c r="A83" s="692"/>
      <c r="D83" s="692"/>
      <c r="E83" s="692"/>
      <c r="F83" s="692"/>
    </row>
    <row r="84" spans="1:6" ht="25.15" customHeight="1">
      <c r="A84" s="692"/>
      <c r="D84" s="692"/>
      <c r="E84" s="692"/>
      <c r="F84" s="692"/>
    </row>
    <row r="85" spans="1:6" ht="25.15" customHeight="1">
      <c r="A85" s="692"/>
      <c r="D85" s="692"/>
      <c r="E85" s="692"/>
      <c r="F85" s="692"/>
    </row>
    <row r="86" spans="1:6" ht="25.15" customHeight="1">
      <c r="A86" s="692"/>
      <c r="D86" s="692"/>
      <c r="E86" s="692"/>
      <c r="F86" s="692"/>
    </row>
    <row r="87" spans="1:6" ht="25.15" customHeight="1">
      <c r="A87" s="692"/>
      <c r="D87" s="692"/>
      <c r="E87" s="692"/>
      <c r="F87" s="692"/>
    </row>
    <row r="88" spans="1:6" ht="25.15" customHeight="1">
      <c r="A88" s="692"/>
      <c r="D88" s="692"/>
      <c r="E88" s="692"/>
      <c r="F88" s="692"/>
    </row>
    <row r="89" spans="1:6" ht="25.15" customHeight="1">
      <c r="A89" s="692"/>
      <c r="D89" s="692"/>
      <c r="E89" s="692"/>
      <c r="F89" s="692"/>
    </row>
    <row r="90" spans="1:6" ht="25.15" customHeight="1">
      <c r="A90" s="692"/>
      <c r="D90" s="692"/>
      <c r="E90" s="692"/>
      <c r="F90" s="692"/>
    </row>
    <row r="91" spans="1:6" ht="25.15" customHeight="1">
      <c r="A91" s="692"/>
      <c r="D91" s="692"/>
      <c r="E91" s="692"/>
      <c r="F91" s="692"/>
    </row>
    <row r="92" spans="1:6" ht="25.15" customHeight="1">
      <c r="A92" s="692"/>
      <c r="D92" s="692"/>
      <c r="E92" s="692"/>
      <c r="F92" s="692"/>
    </row>
    <row r="93" spans="1:6" ht="25.15" customHeight="1">
      <c r="A93" s="692"/>
      <c r="D93" s="692"/>
      <c r="E93" s="692"/>
      <c r="F93" s="692"/>
    </row>
    <row r="94" spans="1:6" ht="25.15" customHeight="1">
      <c r="A94" s="692"/>
      <c r="D94" s="692"/>
      <c r="E94" s="692"/>
      <c r="F94" s="692"/>
    </row>
    <row r="95" spans="1:6" ht="25.15" customHeight="1">
      <c r="A95" s="692"/>
      <c r="D95" s="692"/>
      <c r="E95" s="692"/>
      <c r="F95" s="692"/>
    </row>
    <row r="96" spans="1:6" ht="25.15" customHeight="1">
      <c r="A96" s="692"/>
      <c r="D96" s="692"/>
      <c r="E96" s="692"/>
      <c r="F96" s="692"/>
    </row>
    <row r="97" spans="1:6" ht="25.15" customHeight="1">
      <c r="A97" s="692"/>
      <c r="D97" s="692"/>
      <c r="E97" s="692"/>
      <c r="F97" s="692"/>
    </row>
    <row r="98" spans="1:6" ht="25.15" customHeight="1">
      <c r="A98" s="692"/>
      <c r="D98" s="692"/>
      <c r="E98" s="692"/>
      <c r="F98" s="692"/>
    </row>
    <row r="99" spans="1:6" ht="25.15" customHeight="1">
      <c r="A99" s="692"/>
      <c r="D99" s="692"/>
      <c r="E99" s="692"/>
      <c r="F99" s="692"/>
    </row>
    <row r="100" spans="1:6" ht="25.15" customHeight="1">
      <c r="A100" s="692"/>
      <c r="D100" s="692"/>
      <c r="E100" s="692"/>
      <c r="F100" s="692"/>
    </row>
    <row r="101" spans="1:6" ht="25.15" customHeight="1">
      <c r="A101" s="692"/>
      <c r="D101" s="692"/>
      <c r="E101" s="692"/>
      <c r="F101" s="692"/>
    </row>
    <row r="102" spans="1:6" ht="25.15" customHeight="1">
      <c r="A102" s="692"/>
      <c r="D102" s="692"/>
      <c r="E102" s="692"/>
      <c r="F102" s="692"/>
    </row>
    <row r="103" spans="1:6" ht="25.15" customHeight="1">
      <c r="A103" s="692"/>
      <c r="D103" s="692"/>
      <c r="E103" s="692"/>
      <c r="F103" s="692"/>
    </row>
    <row r="104" spans="1:6" ht="25.15" customHeight="1">
      <c r="A104" s="692"/>
      <c r="D104" s="692"/>
      <c r="E104" s="692"/>
      <c r="F104" s="692"/>
    </row>
    <row r="105" spans="1:6" ht="25.15" customHeight="1">
      <c r="A105" s="692"/>
      <c r="D105" s="692"/>
      <c r="E105" s="692"/>
      <c r="F105" s="692"/>
    </row>
    <row r="106" spans="1:6" ht="25.15" customHeight="1">
      <c r="A106" s="692"/>
      <c r="D106" s="692"/>
      <c r="E106" s="692"/>
      <c r="F106" s="692"/>
    </row>
    <row r="107" spans="1:6" ht="25.15" customHeight="1">
      <c r="A107" s="692"/>
      <c r="D107" s="692"/>
      <c r="E107" s="692"/>
      <c r="F107" s="692"/>
    </row>
    <row r="108" spans="1:6" ht="25.15" customHeight="1">
      <c r="A108" s="692"/>
      <c r="D108" s="692"/>
      <c r="E108" s="692"/>
      <c r="F108" s="692"/>
    </row>
    <row r="109" spans="1:6" ht="25.15" customHeight="1">
      <c r="A109" s="692"/>
      <c r="D109" s="692"/>
      <c r="E109" s="692"/>
      <c r="F109" s="692"/>
    </row>
    <row r="110" spans="1:6" ht="25.15" customHeight="1">
      <c r="A110" s="692"/>
      <c r="D110" s="692"/>
      <c r="E110" s="692"/>
      <c r="F110" s="692"/>
    </row>
    <row r="111" spans="1:6" ht="25.15" customHeight="1">
      <c r="A111" s="692"/>
      <c r="D111" s="692"/>
      <c r="E111" s="692"/>
      <c r="F111" s="692"/>
    </row>
    <row r="112" spans="1:6" ht="25.15" customHeight="1">
      <c r="A112" s="692"/>
      <c r="D112" s="692"/>
      <c r="E112" s="692"/>
      <c r="F112" s="692"/>
    </row>
  </sheetData>
  <mergeCells count="1">
    <mergeCell ref="B4:C4"/>
  </mergeCells>
  <pageMargins left="0.86614173228346503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H112"/>
  <sheetViews>
    <sheetView workbookViewId="0">
      <selection activeCell="D13" sqref="D13"/>
    </sheetView>
  </sheetViews>
  <sheetFormatPr defaultColWidth="9.28515625" defaultRowHeight="15"/>
  <cols>
    <col min="1" max="1" width="47" style="735" customWidth="1"/>
    <col min="2" max="2" width="11" style="692" customWidth="1"/>
    <col min="3" max="3" width="11.28515625" style="692" customWidth="1"/>
    <col min="4" max="4" width="16.140625" style="692" customWidth="1"/>
    <col min="5" max="5" width="15.5703125" style="735" customWidth="1"/>
    <col min="6" max="240" width="9.28515625" style="735"/>
    <col min="241" max="241" width="41.42578125" style="735" customWidth="1"/>
    <col min="242" max="242" width="8.28515625" style="735" customWidth="1"/>
    <col min="243" max="243" width="11.28515625" style="735" customWidth="1"/>
    <col min="244" max="244" width="11.140625" style="735" customWidth="1"/>
    <col min="245" max="245" width="12.140625" style="735" customWidth="1"/>
    <col min="246" max="246" width="9.28515625" style="735"/>
    <col min="247" max="247" width="2.28515625" style="735" customWidth="1"/>
    <col min="248" max="16384" width="9.28515625" style="735"/>
  </cols>
  <sheetData>
    <row r="1" spans="1:8" ht="20.100000000000001" customHeight="1">
      <c r="A1" s="677" t="s">
        <v>667</v>
      </c>
      <c r="B1" s="708"/>
      <c r="C1" s="709"/>
      <c r="D1" s="735"/>
      <c r="F1" s="679"/>
      <c r="G1" s="736"/>
      <c r="H1" s="736"/>
    </row>
    <row r="2" spans="1:8" ht="16.149999999999999" customHeight="1">
      <c r="A2" s="710"/>
      <c r="B2" s="710"/>
      <c r="C2" s="711"/>
      <c r="D2" s="735"/>
      <c r="F2" s="679"/>
      <c r="G2" s="736"/>
      <c r="H2" s="736"/>
    </row>
    <row r="3" spans="1:8" ht="16.149999999999999" customHeight="1">
      <c r="A3" s="712"/>
      <c r="B3" s="713"/>
      <c r="C3" s="735"/>
      <c r="D3" s="715" t="s">
        <v>61</v>
      </c>
      <c r="F3" s="679"/>
    </row>
    <row r="4" spans="1:8" ht="16.149999999999999" customHeight="1">
      <c r="A4" s="684"/>
      <c r="B4" s="911" t="s">
        <v>522</v>
      </c>
      <c r="C4" s="911"/>
      <c r="D4" s="685" t="s">
        <v>242</v>
      </c>
      <c r="F4" s="679"/>
    </row>
    <row r="5" spans="1:8" ht="16.149999999999999" customHeight="1">
      <c r="A5" s="686"/>
      <c r="B5" s="687" t="s">
        <v>26</v>
      </c>
      <c r="C5" s="687" t="s">
        <v>25</v>
      </c>
      <c r="D5" s="688" t="s">
        <v>523</v>
      </c>
      <c r="F5" s="689"/>
    </row>
    <row r="6" spans="1:8" ht="16.149999999999999" customHeight="1">
      <c r="A6" s="686"/>
      <c r="B6" s="690" t="s">
        <v>277</v>
      </c>
      <c r="C6" s="690" t="s">
        <v>53</v>
      </c>
      <c r="D6" s="691" t="s">
        <v>68</v>
      </c>
      <c r="F6" s="689"/>
    </row>
    <row r="7" spans="1:8" ht="16.149999999999999" customHeight="1">
      <c r="A7" s="686"/>
      <c r="B7" s="652"/>
      <c r="C7" s="652"/>
      <c r="D7" s="735"/>
      <c r="F7" s="692"/>
    </row>
    <row r="8" spans="1:8" s="739" customFormat="1" ht="18" customHeight="1">
      <c r="A8" s="721" t="s">
        <v>532</v>
      </c>
      <c r="B8" s="737">
        <v>100.31025673190604</v>
      </c>
      <c r="C8" s="737">
        <v>100.10500404357816</v>
      </c>
      <c r="D8" s="738">
        <v>104.45646278546658</v>
      </c>
      <c r="E8" s="720"/>
      <c r="F8" s="720"/>
      <c r="G8" s="720"/>
    </row>
    <row r="9" spans="1:8" s="739" customFormat="1" ht="18" customHeight="1">
      <c r="A9" s="721" t="s">
        <v>557</v>
      </c>
      <c r="B9" s="737">
        <v>106.58291615183317</v>
      </c>
      <c r="C9" s="737">
        <v>94.850022950774502</v>
      </c>
      <c r="D9" s="738">
        <v>116.78323310489641</v>
      </c>
      <c r="E9" s="720"/>
      <c r="F9" s="720"/>
      <c r="G9" s="720"/>
    </row>
    <row r="10" spans="1:8" s="739" customFormat="1" ht="18" customHeight="1">
      <c r="A10" s="703" t="s">
        <v>12</v>
      </c>
      <c r="B10" s="740"/>
      <c r="C10" s="740"/>
      <c r="D10" s="738"/>
      <c r="E10" s="720"/>
      <c r="F10" s="720"/>
      <c r="G10" s="720"/>
    </row>
    <row r="11" spans="1:8" ht="18" customHeight="1">
      <c r="A11" s="741" t="s">
        <v>558</v>
      </c>
      <c r="B11" s="740">
        <v>105.11129866700746</v>
      </c>
      <c r="C11" s="740">
        <v>99.171934891398763</v>
      </c>
      <c r="D11" s="742">
        <v>105.44340429890266</v>
      </c>
      <c r="E11" s="720"/>
      <c r="F11" s="720"/>
      <c r="G11" s="720"/>
    </row>
    <row r="12" spans="1:8" ht="18" customHeight="1">
      <c r="A12" s="741" t="s">
        <v>559</v>
      </c>
      <c r="B12" s="740">
        <v>112.25117767913679</v>
      </c>
      <c r="C12" s="740">
        <v>92.193936210781402</v>
      </c>
      <c r="D12" s="742">
        <v>120.97616816762904</v>
      </c>
      <c r="E12" s="720"/>
      <c r="F12" s="720"/>
      <c r="G12" s="720"/>
    </row>
    <row r="13" spans="1:8" ht="18" customHeight="1">
      <c r="A13" s="741" t="s">
        <v>407</v>
      </c>
      <c r="B13" s="740">
        <v>109.16421783493379</v>
      </c>
      <c r="C13" s="740">
        <v>102.234176055029</v>
      </c>
      <c r="D13" s="742">
        <v>114.86098700648769</v>
      </c>
      <c r="E13" s="720"/>
      <c r="F13" s="720"/>
      <c r="G13" s="720"/>
    </row>
    <row r="14" spans="1:8" ht="18" customHeight="1">
      <c r="A14" s="741" t="s">
        <v>408</v>
      </c>
      <c r="B14" s="740">
        <v>108.12148125257607</v>
      </c>
      <c r="C14" s="740">
        <v>89.362613037536022</v>
      </c>
      <c r="D14" s="742">
        <v>137.82753948652405</v>
      </c>
      <c r="E14" s="720"/>
      <c r="F14" s="720"/>
      <c r="G14" s="720"/>
    </row>
    <row r="15" spans="1:8" ht="18" customHeight="1">
      <c r="A15" s="741" t="s">
        <v>409</v>
      </c>
      <c r="B15" s="740">
        <v>98.00526104549931</v>
      </c>
      <c r="C15" s="740">
        <v>96.377434342660877</v>
      </c>
      <c r="D15" s="742">
        <v>99.921814432983894</v>
      </c>
      <c r="E15" s="720"/>
      <c r="F15" s="720"/>
      <c r="G15" s="720"/>
    </row>
    <row r="16" spans="1:8" ht="18" customHeight="1">
      <c r="A16" s="741" t="s">
        <v>410</v>
      </c>
      <c r="B16" s="740">
        <v>116.39721690416789</v>
      </c>
      <c r="C16" s="740">
        <v>96.528246195647711</v>
      </c>
      <c r="D16" s="742">
        <v>139.87873016884444</v>
      </c>
      <c r="E16" s="720"/>
      <c r="F16" s="720"/>
      <c r="G16" s="720"/>
    </row>
    <row r="17" spans="1:7" ht="18" customHeight="1">
      <c r="A17" s="741" t="s">
        <v>411</v>
      </c>
      <c r="B17" s="740">
        <v>89.461071529644968</v>
      </c>
      <c r="C17" s="740">
        <v>98.166179633717064</v>
      </c>
      <c r="D17" s="742">
        <v>91.642453121799477</v>
      </c>
      <c r="E17" s="720"/>
      <c r="F17" s="720"/>
      <c r="G17" s="720"/>
    </row>
    <row r="18" spans="1:7" s="739" customFormat="1" ht="18" customHeight="1">
      <c r="A18" s="741" t="s">
        <v>560</v>
      </c>
      <c r="B18" s="740">
        <v>78.692346010057292</v>
      </c>
      <c r="C18" s="740">
        <v>101.19075359975925</v>
      </c>
      <c r="D18" s="742">
        <v>78.5687706335722</v>
      </c>
      <c r="E18" s="720"/>
      <c r="F18" s="720"/>
      <c r="G18" s="720"/>
    </row>
    <row r="19" spans="1:7" s="739" customFormat="1" ht="18" customHeight="1">
      <c r="A19" s="741" t="s">
        <v>422</v>
      </c>
      <c r="B19" s="740">
        <v>102.63206206649701</v>
      </c>
      <c r="C19" s="740">
        <v>90.207514805789629</v>
      </c>
      <c r="D19" s="742">
        <v>117.60492935861133</v>
      </c>
      <c r="E19" s="720"/>
      <c r="F19" s="720"/>
      <c r="G19" s="720"/>
    </row>
    <row r="20" spans="1:7" ht="18" customHeight="1">
      <c r="A20" s="721" t="s">
        <v>561</v>
      </c>
      <c r="B20" s="737">
        <v>77.767327248873926</v>
      </c>
      <c r="C20" s="737">
        <v>92.262941722468582</v>
      </c>
      <c r="D20" s="738">
        <v>82.482873980302884</v>
      </c>
      <c r="E20" s="720"/>
      <c r="F20" s="720"/>
      <c r="G20" s="720"/>
    </row>
    <row r="21" spans="1:7" ht="18" customHeight="1">
      <c r="A21" s="743" t="s">
        <v>450</v>
      </c>
      <c r="B21" s="740">
        <v>85.281441209995464</v>
      </c>
      <c r="C21" s="740">
        <v>92.943274500000001</v>
      </c>
      <c r="D21" s="742">
        <v>85.086415920520267</v>
      </c>
      <c r="E21" s="720"/>
      <c r="F21" s="720"/>
      <c r="G21" s="720"/>
    </row>
    <row r="22" spans="1:7" ht="18" customHeight="1">
      <c r="A22" s="743" t="s">
        <v>402</v>
      </c>
      <c r="B22" s="740">
        <v>75.469884860198036</v>
      </c>
      <c r="C22" s="740">
        <v>88.819494400000011</v>
      </c>
      <c r="D22" s="742">
        <v>83.441431305573573</v>
      </c>
      <c r="E22" s="720"/>
      <c r="F22" s="720"/>
      <c r="G22" s="720"/>
    </row>
    <row r="23" spans="1:7" ht="18" customHeight="1">
      <c r="A23" s="743" t="s">
        <v>562</v>
      </c>
      <c r="B23" s="740">
        <v>87.137047272254762</v>
      </c>
      <c r="C23" s="740">
        <v>97.196699729689698</v>
      </c>
      <c r="D23" s="742">
        <v>87.304527612511251</v>
      </c>
      <c r="E23" s="720"/>
      <c r="F23" s="720"/>
      <c r="G23" s="720"/>
    </row>
    <row r="24" spans="1:7" ht="18" customHeight="1">
      <c r="A24" s="721" t="s">
        <v>563</v>
      </c>
      <c r="B24" s="737">
        <v>100.13529404906953</v>
      </c>
      <c r="C24" s="737">
        <v>101.08101637681568</v>
      </c>
      <c r="D24" s="738">
        <v>103.51580608205094</v>
      </c>
      <c r="E24" s="720"/>
      <c r="F24" s="720"/>
      <c r="G24" s="720"/>
    </row>
    <row r="25" spans="1:7" ht="18" customHeight="1">
      <c r="A25" s="703" t="s">
        <v>12</v>
      </c>
      <c r="B25" s="740"/>
      <c r="C25" s="740"/>
      <c r="D25" s="738"/>
      <c r="E25" s="720"/>
      <c r="F25" s="720"/>
      <c r="G25" s="720"/>
    </row>
    <row r="26" spans="1:7" s="739" customFormat="1" ht="18" customHeight="1">
      <c r="A26" s="743" t="s">
        <v>414</v>
      </c>
      <c r="B26" s="740">
        <v>96.194324861192342</v>
      </c>
      <c r="C26" s="740">
        <v>102.35684737851474</v>
      </c>
      <c r="D26" s="742">
        <v>93.77476625047936</v>
      </c>
      <c r="E26" s="720"/>
      <c r="F26" s="720"/>
      <c r="G26" s="720"/>
    </row>
    <row r="27" spans="1:7" s="739" customFormat="1" ht="18" customHeight="1">
      <c r="A27" s="743" t="s">
        <v>564</v>
      </c>
      <c r="B27" s="740">
        <v>94.999219431957286</v>
      </c>
      <c r="C27" s="740">
        <v>101.17319588304802</v>
      </c>
      <c r="D27" s="742">
        <v>97.836416144800054</v>
      </c>
      <c r="E27" s="720"/>
      <c r="F27" s="720"/>
      <c r="G27" s="720"/>
    </row>
    <row r="28" spans="1:7" s="739" customFormat="1" ht="18" customHeight="1">
      <c r="A28" s="743" t="s">
        <v>457</v>
      </c>
      <c r="B28" s="740">
        <v>115.16094626109505</v>
      </c>
      <c r="C28" s="740">
        <v>106.55908883490926</v>
      </c>
      <c r="D28" s="742">
        <v>107.07132467145287</v>
      </c>
      <c r="E28" s="720"/>
      <c r="F28" s="720"/>
      <c r="G28" s="720"/>
    </row>
    <row r="29" spans="1:7" s="739" customFormat="1" ht="18" customHeight="1">
      <c r="A29" s="743" t="s">
        <v>477</v>
      </c>
      <c r="B29" s="740">
        <v>92.114779292355593</v>
      </c>
      <c r="C29" s="740">
        <v>100.98510642021277</v>
      </c>
      <c r="D29" s="742">
        <v>94.739056218293285</v>
      </c>
      <c r="E29" s="720"/>
      <c r="F29" s="720"/>
      <c r="G29" s="720"/>
    </row>
    <row r="30" spans="1:7" s="739" customFormat="1" ht="18" customHeight="1">
      <c r="A30" s="743" t="s">
        <v>565</v>
      </c>
      <c r="B30" s="740">
        <v>107.33887381914811</v>
      </c>
      <c r="C30" s="740">
        <v>99.171230685182877</v>
      </c>
      <c r="D30" s="742">
        <v>110.05426347012104</v>
      </c>
      <c r="E30" s="720"/>
      <c r="F30" s="720"/>
      <c r="G30" s="720"/>
    </row>
    <row r="31" spans="1:7" s="739" customFormat="1" ht="18" customHeight="1">
      <c r="A31" s="743" t="s">
        <v>566</v>
      </c>
      <c r="B31" s="740">
        <v>93.575783096168237</v>
      </c>
      <c r="C31" s="740">
        <v>103.20970945400134</v>
      </c>
      <c r="D31" s="742">
        <v>93.410981848290106</v>
      </c>
      <c r="E31" s="720"/>
      <c r="F31" s="720"/>
      <c r="G31" s="720"/>
    </row>
    <row r="32" spans="1:7" s="739" customFormat="1" ht="18" customHeight="1">
      <c r="A32" s="743" t="s">
        <v>567</v>
      </c>
      <c r="B32" s="740">
        <v>98.793928929849343</v>
      </c>
      <c r="C32" s="740">
        <v>99.688262370032248</v>
      </c>
      <c r="D32" s="742">
        <v>99.664528828717337</v>
      </c>
      <c r="E32" s="720"/>
      <c r="F32" s="720"/>
      <c r="G32" s="720"/>
    </row>
    <row r="33" spans="1:7" s="739" customFormat="1" ht="18" customHeight="1">
      <c r="A33" s="743" t="s">
        <v>568</v>
      </c>
      <c r="B33" s="740">
        <v>96.83537613369775</v>
      </c>
      <c r="C33" s="740">
        <v>100.70928761938025</v>
      </c>
      <c r="D33" s="742">
        <v>98.450261974676238</v>
      </c>
      <c r="E33" s="720"/>
      <c r="F33" s="720"/>
      <c r="G33" s="720"/>
    </row>
    <row r="34" spans="1:7" s="739" customFormat="1" ht="18" customHeight="1">
      <c r="A34" s="743" t="s">
        <v>569</v>
      </c>
      <c r="B34" s="740">
        <v>102.28310578614359</v>
      </c>
      <c r="C34" s="740">
        <v>103.26871107390674</v>
      </c>
      <c r="D34" s="742">
        <v>102.34727818005895</v>
      </c>
      <c r="E34" s="720"/>
      <c r="F34" s="720"/>
      <c r="G34" s="720"/>
    </row>
    <row r="35" spans="1:7" s="739" customFormat="1" ht="18" customHeight="1">
      <c r="A35" s="743" t="s">
        <v>570</v>
      </c>
      <c r="B35" s="740">
        <v>101.98324783774588</v>
      </c>
      <c r="C35" s="740">
        <v>100.79768411354569</v>
      </c>
      <c r="D35" s="742">
        <v>101.56530570917977</v>
      </c>
      <c r="E35" s="720"/>
      <c r="F35" s="720"/>
      <c r="G35" s="720"/>
    </row>
    <row r="36" spans="1:7" s="739" customFormat="1" ht="18" customHeight="1">
      <c r="A36" s="743" t="s">
        <v>432</v>
      </c>
      <c r="B36" s="740">
        <v>90.595130154403293</v>
      </c>
      <c r="C36" s="740">
        <v>100.73639039048199</v>
      </c>
      <c r="D36" s="742">
        <v>89.99957622091236</v>
      </c>
      <c r="E36" s="720"/>
      <c r="F36" s="720"/>
      <c r="G36" s="720"/>
    </row>
    <row r="37" spans="1:7" s="739" customFormat="1" ht="18" customHeight="1">
      <c r="A37" s="743" t="s">
        <v>571</v>
      </c>
      <c r="B37" s="740">
        <v>96.125929566753271</v>
      </c>
      <c r="C37" s="740">
        <v>101.80396295419894</v>
      </c>
      <c r="D37" s="742">
        <v>100.41656397924964</v>
      </c>
      <c r="E37" s="720"/>
      <c r="F37" s="720"/>
      <c r="G37" s="720"/>
    </row>
    <row r="38" spans="1:7" s="739" customFormat="1" ht="18" customHeight="1">
      <c r="A38" s="743" t="s">
        <v>572</v>
      </c>
      <c r="B38" s="740">
        <v>93.709139603141836</v>
      </c>
      <c r="C38" s="740">
        <v>104.32676364623079</v>
      </c>
      <c r="D38" s="742">
        <v>101.35559527616918</v>
      </c>
      <c r="E38" s="720"/>
      <c r="F38" s="720"/>
      <c r="G38" s="720"/>
    </row>
    <row r="39" spans="1:7" s="739" customFormat="1" ht="18" customHeight="1">
      <c r="A39" s="743" t="s">
        <v>573</v>
      </c>
      <c r="B39" s="740">
        <v>105.15681793916013</v>
      </c>
      <c r="C39" s="740">
        <v>100.03970121794067</v>
      </c>
      <c r="D39" s="742">
        <v>105.88312788100144</v>
      </c>
      <c r="E39" s="720"/>
      <c r="F39" s="720"/>
      <c r="G39" s="720"/>
    </row>
    <row r="40" spans="1:7" s="739" customFormat="1" ht="18" customHeight="1">
      <c r="A40" s="743" t="s">
        <v>574</v>
      </c>
      <c r="B40" s="740">
        <v>98.941476597372173</v>
      </c>
      <c r="C40" s="740">
        <v>103.055725076165</v>
      </c>
      <c r="D40" s="742">
        <v>100.24757995394872</v>
      </c>
      <c r="E40" s="720"/>
      <c r="F40" s="720"/>
      <c r="G40" s="720"/>
    </row>
    <row r="41" spans="1:7" s="706" customFormat="1" ht="6" customHeight="1">
      <c r="A41" s="705"/>
      <c r="B41" s="705"/>
      <c r="C41" s="705"/>
      <c r="D41" s="705"/>
    </row>
    <row r="42" spans="1:7" s="706" customFormat="1" ht="21.75" customHeight="1">
      <c r="A42" s="707" t="s">
        <v>531</v>
      </c>
    </row>
    <row r="43" spans="1:7" ht="16.149999999999999" customHeight="1">
      <c r="A43" s="743"/>
      <c r="B43" s="740"/>
      <c r="C43" s="740"/>
      <c r="D43" s="742"/>
      <c r="F43" s="692"/>
    </row>
    <row r="44" spans="1:7" ht="16.149999999999999" customHeight="1">
      <c r="B44" s="735"/>
      <c r="C44" s="735"/>
      <c r="D44" s="735"/>
      <c r="F44" s="692"/>
    </row>
    <row r="45" spans="1:7" ht="16.149999999999999" customHeight="1">
      <c r="B45" s="735"/>
      <c r="C45" s="735"/>
      <c r="D45" s="735"/>
      <c r="F45" s="692"/>
    </row>
    <row r="46" spans="1:7" ht="16.149999999999999" customHeight="1">
      <c r="A46" s="703"/>
      <c r="B46" s="742"/>
      <c r="C46" s="742"/>
      <c r="D46" s="744"/>
      <c r="F46" s="692"/>
    </row>
    <row r="47" spans="1:7" ht="16.149999999999999" customHeight="1">
      <c r="A47" s="698"/>
      <c r="B47" s="742"/>
      <c r="C47" s="742"/>
      <c r="D47" s="744"/>
      <c r="F47" s="692"/>
    </row>
    <row r="48" spans="1:7" ht="16.149999999999999" customHeight="1">
      <c r="A48" s="698"/>
      <c r="B48" s="742"/>
      <c r="C48" s="742"/>
      <c r="D48" s="744"/>
      <c r="F48" s="692"/>
    </row>
    <row r="49" spans="1:6">
      <c r="A49" s="692"/>
      <c r="E49" s="692"/>
      <c r="F49" s="692"/>
    </row>
    <row r="50" spans="1:6">
      <c r="A50" s="692"/>
      <c r="E50" s="692"/>
      <c r="F50" s="692"/>
    </row>
    <row r="51" spans="1:6">
      <c r="A51" s="692"/>
      <c r="E51" s="692"/>
      <c r="F51" s="692"/>
    </row>
    <row r="52" spans="1:6">
      <c r="A52" s="692"/>
      <c r="E52" s="692"/>
      <c r="F52" s="692"/>
    </row>
    <row r="53" spans="1:6">
      <c r="A53" s="692"/>
      <c r="E53" s="692"/>
      <c r="F53" s="692"/>
    </row>
    <row r="54" spans="1:6">
      <c r="A54" s="692"/>
      <c r="E54" s="692"/>
      <c r="F54" s="692"/>
    </row>
    <row r="55" spans="1:6">
      <c r="A55" s="692"/>
      <c r="E55" s="692"/>
      <c r="F55" s="692"/>
    </row>
    <row r="56" spans="1:6">
      <c r="A56" s="692"/>
      <c r="E56" s="692"/>
      <c r="F56" s="692"/>
    </row>
    <row r="57" spans="1:6">
      <c r="A57" s="692"/>
      <c r="E57" s="692"/>
      <c r="F57" s="692"/>
    </row>
    <row r="58" spans="1:6">
      <c r="A58" s="692"/>
      <c r="E58" s="692"/>
      <c r="F58" s="692"/>
    </row>
    <row r="59" spans="1:6">
      <c r="A59" s="692"/>
      <c r="E59" s="692"/>
      <c r="F59" s="692"/>
    </row>
    <row r="60" spans="1:6">
      <c r="A60" s="692"/>
      <c r="E60" s="692"/>
      <c r="F60" s="692"/>
    </row>
    <row r="61" spans="1:6">
      <c r="A61" s="692"/>
      <c r="E61" s="692"/>
      <c r="F61" s="692"/>
    </row>
    <row r="62" spans="1:6">
      <c r="A62" s="692"/>
      <c r="E62" s="692"/>
      <c r="F62" s="692"/>
    </row>
    <row r="63" spans="1:6">
      <c r="A63" s="692"/>
      <c r="E63" s="692"/>
      <c r="F63" s="692"/>
    </row>
    <row r="64" spans="1:6">
      <c r="A64" s="692"/>
      <c r="E64" s="692"/>
      <c r="F64" s="692"/>
    </row>
    <row r="65" spans="1:6">
      <c r="A65" s="692"/>
      <c r="E65" s="692"/>
      <c r="F65" s="692"/>
    </row>
    <row r="66" spans="1:6">
      <c r="A66" s="692"/>
      <c r="E66" s="692"/>
      <c r="F66" s="692"/>
    </row>
    <row r="67" spans="1:6">
      <c r="A67" s="692"/>
      <c r="E67" s="692"/>
      <c r="F67" s="692"/>
    </row>
    <row r="68" spans="1:6">
      <c r="A68" s="692"/>
      <c r="E68" s="692"/>
      <c r="F68" s="692"/>
    </row>
    <row r="69" spans="1:6">
      <c r="A69" s="692"/>
      <c r="E69" s="692"/>
      <c r="F69" s="692"/>
    </row>
    <row r="70" spans="1:6">
      <c r="A70" s="692"/>
      <c r="E70" s="692"/>
      <c r="F70" s="692"/>
    </row>
    <row r="71" spans="1:6">
      <c r="A71" s="692"/>
      <c r="E71" s="692"/>
      <c r="F71" s="692"/>
    </row>
    <row r="72" spans="1:6">
      <c r="A72" s="692"/>
      <c r="E72" s="692"/>
      <c r="F72" s="692"/>
    </row>
    <row r="73" spans="1:6">
      <c r="A73" s="692"/>
      <c r="E73" s="692"/>
      <c r="F73" s="692"/>
    </row>
    <row r="74" spans="1:6">
      <c r="A74" s="692"/>
      <c r="E74" s="692"/>
      <c r="F74" s="692"/>
    </row>
    <row r="75" spans="1:6">
      <c r="A75" s="692"/>
      <c r="E75" s="692"/>
      <c r="F75" s="692"/>
    </row>
    <row r="76" spans="1:6">
      <c r="A76" s="692"/>
      <c r="E76" s="692"/>
      <c r="F76" s="692"/>
    </row>
    <row r="77" spans="1:6">
      <c r="A77" s="692"/>
      <c r="E77" s="692"/>
      <c r="F77" s="692"/>
    </row>
    <row r="78" spans="1:6">
      <c r="A78" s="692"/>
      <c r="E78" s="692"/>
      <c r="F78" s="692"/>
    </row>
    <row r="79" spans="1:6">
      <c r="A79" s="692"/>
      <c r="E79" s="692"/>
      <c r="F79" s="692"/>
    </row>
    <row r="80" spans="1:6">
      <c r="A80" s="692"/>
      <c r="E80" s="692"/>
      <c r="F80" s="692"/>
    </row>
    <row r="81" spans="1:6">
      <c r="A81" s="692"/>
      <c r="E81" s="692"/>
      <c r="F81" s="692"/>
    </row>
    <row r="82" spans="1:6">
      <c r="A82" s="692"/>
      <c r="E82" s="692"/>
      <c r="F82" s="692"/>
    </row>
    <row r="83" spans="1:6">
      <c r="A83" s="692"/>
      <c r="E83" s="692"/>
      <c r="F83" s="692"/>
    </row>
    <row r="84" spans="1:6">
      <c r="A84" s="692"/>
      <c r="E84" s="692"/>
      <c r="F84" s="692"/>
    </row>
    <row r="85" spans="1:6">
      <c r="A85" s="692"/>
      <c r="E85" s="692"/>
      <c r="F85" s="692"/>
    </row>
    <row r="86" spans="1:6">
      <c r="A86" s="692"/>
      <c r="E86" s="692"/>
      <c r="F86" s="692"/>
    </row>
    <row r="87" spans="1:6">
      <c r="A87" s="692"/>
      <c r="E87" s="692"/>
      <c r="F87" s="692"/>
    </row>
    <row r="88" spans="1:6">
      <c r="A88" s="692"/>
      <c r="E88" s="692"/>
      <c r="F88" s="692"/>
    </row>
    <row r="89" spans="1:6">
      <c r="A89" s="692"/>
      <c r="E89" s="692"/>
      <c r="F89" s="692"/>
    </row>
    <row r="90" spans="1:6">
      <c r="A90" s="692"/>
      <c r="E90" s="692"/>
      <c r="F90" s="692"/>
    </row>
    <row r="91" spans="1:6">
      <c r="A91" s="692"/>
      <c r="E91" s="692"/>
      <c r="F91" s="692"/>
    </row>
    <row r="92" spans="1:6">
      <c r="A92" s="692"/>
      <c r="E92" s="692"/>
      <c r="F92" s="692"/>
    </row>
    <row r="93" spans="1:6">
      <c r="A93" s="692"/>
      <c r="E93" s="692"/>
      <c r="F93" s="692"/>
    </row>
    <row r="94" spans="1:6">
      <c r="A94" s="692"/>
      <c r="E94" s="692"/>
      <c r="F94" s="692"/>
    </row>
    <row r="95" spans="1:6">
      <c r="A95" s="692"/>
      <c r="E95" s="692"/>
      <c r="F95" s="692"/>
    </row>
    <row r="96" spans="1:6">
      <c r="A96" s="692"/>
      <c r="E96" s="692"/>
      <c r="F96" s="692"/>
    </row>
    <row r="97" spans="1:6">
      <c r="A97" s="692"/>
      <c r="E97" s="692"/>
      <c r="F97" s="692"/>
    </row>
    <row r="98" spans="1:6">
      <c r="A98" s="692"/>
      <c r="E98" s="692"/>
      <c r="F98" s="692"/>
    </row>
    <row r="99" spans="1:6">
      <c r="A99" s="692"/>
      <c r="E99" s="692"/>
      <c r="F99" s="692"/>
    </row>
    <row r="100" spans="1:6">
      <c r="A100" s="692"/>
      <c r="E100" s="692"/>
      <c r="F100" s="692"/>
    </row>
    <row r="101" spans="1:6">
      <c r="A101" s="692"/>
      <c r="E101" s="692"/>
      <c r="F101" s="692"/>
    </row>
    <row r="102" spans="1:6">
      <c r="A102" s="692"/>
      <c r="E102" s="692"/>
      <c r="F102" s="692"/>
    </row>
    <row r="103" spans="1:6">
      <c r="A103" s="692"/>
      <c r="E103" s="692"/>
      <c r="F103" s="692"/>
    </row>
    <row r="104" spans="1:6">
      <c r="A104" s="692"/>
      <c r="E104" s="692"/>
      <c r="F104" s="692"/>
    </row>
    <row r="105" spans="1:6">
      <c r="A105" s="692"/>
      <c r="E105" s="692"/>
      <c r="F105" s="692"/>
    </row>
    <row r="106" spans="1:6">
      <c r="A106" s="692"/>
      <c r="E106" s="692"/>
      <c r="F106" s="692"/>
    </row>
    <row r="107" spans="1:6">
      <c r="A107" s="692"/>
      <c r="E107" s="692"/>
      <c r="F107" s="692"/>
    </row>
    <row r="108" spans="1:6">
      <c r="A108" s="692"/>
      <c r="E108" s="692"/>
      <c r="F108" s="692"/>
    </row>
    <row r="109" spans="1:6">
      <c r="A109" s="692"/>
      <c r="E109" s="692"/>
      <c r="F109" s="692"/>
    </row>
    <row r="110" spans="1:6">
      <c r="A110" s="692"/>
      <c r="E110" s="692"/>
      <c r="F110" s="692"/>
    </row>
    <row r="111" spans="1:6">
      <c r="A111" s="692"/>
      <c r="E111" s="692"/>
      <c r="F111" s="692"/>
    </row>
    <row r="112" spans="1:6">
      <c r="A112" s="692"/>
      <c r="E112" s="692"/>
      <c r="F112" s="692"/>
    </row>
  </sheetData>
  <mergeCells count="1">
    <mergeCell ref="B4:C4"/>
  </mergeCells>
  <pageMargins left="0.86614173228346503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110"/>
  <sheetViews>
    <sheetView workbookViewId="0">
      <selection activeCell="D13" sqref="D13"/>
    </sheetView>
  </sheetViews>
  <sheetFormatPr defaultColWidth="15.42578125" defaultRowHeight="15"/>
  <cols>
    <col min="1" max="1" width="46.85546875" style="745" customWidth="1"/>
    <col min="2" max="2" width="11" style="692" customWidth="1"/>
    <col min="3" max="3" width="11.28515625" style="692" customWidth="1"/>
    <col min="4" max="4" width="16.140625" style="692" customWidth="1"/>
    <col min="5" max="5" width="9.28515625" style="745" customWidth="1"/>
    <col min="6" max="6" width="11.5703125" style="745" customWidth="1"/>
    <col min="7" max="249" width="9.28515625" style="745" customWidth="1"/>
    <col min="250" max="250" width="40.42578125" style="745" customWidth="1"/>
    <col min="251" max="251" width="8.28515625" style="745" customWidth="1"/>
    <col min="252" max="16384" width="15.42578125" style="745"/>
  </cols>
  <sheetData>
    <row r="1" spans="1:8" ht="18" customHeight="1">
      <c r="A1" s="677" t="s">
        <v>668</v>
      </c>
      <c r="B1" s="708"/>
      <c r="C1" s="709"/>
      <c r="D1" s="745"/>
      <c r="F1" s="679"/>
      <c r="G1" s="746"/>
      <c r="H1" s="746"/>
    </row>
    <row r="2" spans="1:8" ht="18" customHeight="1">
      <c r="A2" s="710"/>
      <c r="B2" s="710"/>
      <c r="C2" s="711"/>
      <c r="D2" s="745"/>
      <c r="F2" s="679"/>
      <c r="G2" s="746"/>
      <c r="H2" s="746"/>
    </row>
    <row r="3" spans="1:8" ht="18" customHeight="1">
      <c r="A3" s="712"/>
      <c r="B3" s="713"/>
      <c r="C3" s="745"/>
      <c r="D3" s="715" t="s">
        <v>61</v>
      </c>
      <c r="F3" s="679"/>
    </row>
    <row r="4" spans="1:8" ht="18" customHeight="1">
      <c r="A4" s="684"/>
      <c r="B4" s="911" t="s">
        <v>522</v>
      </c>
      <c r="C4" s="911"/>
      <c r="D4" s="685" t="s">
        <v>242</v>
      </c>
      <c r="F4" s="679"/>
    </row>
    <row r="5" spans="1:8" ht="18" customHeight="1">
      <c r="A5" s="686"/>
      <c r="B5" s="687" t="s">
        <v>26</v>
      </c>
      <c r="C5" s="687" t="s">
        <v>25</v>
      </c>
      <c r="D5" s="688" t="s">
        <v>523</v>
      </c>
      <c r="F5" s="689"/>
    </row>
    <row r="6" spans="1:8" ht="18" customHeight="1">
      <c r="A6" s="686"/>
      <c r="B6" s="690" t="s">
        <v>277</v>
      </c>
      <c r="C6" s="690" t="s">
        <v>53</v>
      </c>
      <c r="D6" s="691" t="s">
        <v>68</v>
      </c>
      <c r="F6" s="689"/>
    </row>
    <row r="7" spans="1:8" ht="18" customHeight="1">
      <c r="A7" s="686"/>
      <c r="B7" s="652"/>
      <c r="C7" s="652"/>
      <c r="D7" s="745"/>
      <c r="F7" s="692"/>
    </row>
    <row r="8" spans="1:8" s="749" customFormat="1" ht="18" customHeight="1">
      <c r="A8" s="721" t="s">
        <v>575</v>
      </c>
      <c r="B8" s="747">
        <v>100.16820353170124</v>
      </c>
      <c r="C8" s="747">
        <v>99.069103127769594</v>
      </c>
      <c r="D8" s="748">
        <v>101.02289625981938</v>
      </c>
      <c r="E8" s="720"/>
      <c r="F8" s="720"/>
      <c r="G8" s="720"/>
    </row>
    <row r="9" spans="1:8" s="749" customFormat="1" ht="18" customHeight="1">
      <c r="A9" s="721" t="s">
        <v>557</v>
      </c>
      <c r="B9" s="747">
        <v>105.40413017541543</v>
      </c>
      <c r="C9" s="747">
        <v>98.77710264022123</v>
      </c>
      <c r="D9" s="748">
        <v>106.2952394812246</v>
      </c>
      <c r="E9" s="720"/>
      <c r="F9" s="720"/>
      <c r="G9" s="720"/>
    </row>
    <row r="10" spans="1:8" s="749" customFormat="1" ht="18" customHeight="1">
      <c r="A10" s="703" t="s">
        <v>12</v>
      </c>
      <c r="B10" s="750"/>
      <c r="C10" s="750"/>
      <c r="D10" s="751"/>
      <c r="E10" s="720"/>
      <c r="F10" s="720"/>
      <c r="G10" s="720"/>
    </row>
    <row r="11" spans="1:8" s="749" customFormat="1" ht="18" customHeight="1">
      <c r="A11" s="743" t="s">
        <v>576</v>
      </c>
      <c r="B11" s="750">
        <v>102.08031028280521</v>
      </c>
      <c r="C11" s="750">
        <v>100.92705318387158</v>
      </c>
      <c r="D11" s="751">
        <v>101.50096529996721</v>
      </c>
      <c r="E11" s="720"/>
      <c r="F11" s="720"/>
      <c r="G11" s="720"/>
    </row>
    <row r="12" spans="1:8" s="749" customFormat="1" ht="18" customHeight="1">
      <c r="A12" s="743" t="s">
        <v>577</v>
      </c>
      <c r="B12" s="750">
        <v>111.84579155075987</v>
      </c>
      <c r="C12" s="750">
        <v>92.818332656825874</v>
      </c>
      <c r="D12" s="751">
        <v>117.04718809380775</v>
      </c>
      <c r="E12" s="720"/>
      <c r="F12" s="720"/>
      <c r="G12" s="720"/>
    </row>
    <row r="13" spans="1:8" s="749" customFormat="1" ht="18" customHeight="1">
      <c r="A13" s="743" t="s">
        <v>578</v>
      </c>
      <c r="B13" s="750">
        <v>95.453832944016668</v>
      </c>
      <c r="C13" s="750">
        <v>99.780019909999979</v>
      </c>
      <c r="D13" s="751">
        <v>93.792033780577526</v>
      </c>
      <c r="E13" s="720"/>
      <c r="F13" s="720"/>
      <c r="G13" s="720"/>
    </row>
    <row r="14" spans="1:8" ht="18" customHeight="1">
      <c r="A14" s="743" t="s">
        <v>579</v>
      </c>
      <c r="B14" s="750">
        <v>112.23882492866923</v>
      </c>
      <c r="C14" s="750">
        <v>99.720232354925727</v>
      </c>
      <c r="D14" s="751">
        <v>112.98324935837253</v>
      </c>
      <c r="E14" s="720"/>
      <c r="F14" s="720"/>
      <c r="G14" s="720"/>
    </row>
    <row r="15" spans="1:8" s="749" customFormat="1" ht="18" customHeight="1">
      <c r="A15" s="721" t="s">
        <v>561</v>
      </c>
      <c r="B15" s="747">
        <v>94.295299375433004</v>
      </c>
      <c r="C15" s="747">
        <v>98.693712828724543</v>
      </c>
      <c r="D15" s="748">
        <v>93.420878105501984</v>
      </c>
      <c r="E15" s="720"/>
      <c r="F15" s="720"/>
      <c r="G15" s="720"/>
    </row>
    <row r="16" spans="1:8" s="749" customFormat="1" ht="18" customHeight="1">
      <c r="A16" s="741" t="s">
        <v>562</v>
      </c>
      <c r="B16" s="750">
        <v>100.79148038829004</v>
      </c>
      <c r="C16" s="750">
        <v>100</v>
      </c>
      <c r="D16" s="751">
        <v>100.80903430467086</v>
      </c>
      <c r="E16" s="720"/>
      <c r="F16" s="720"/>
      <c r="G16" s="720"/>
    </row>
    <row r="17" spans="1:7" s="749" customFormat="1" ht="18" customHeight="1">
      <c r="A17" s="741" t="s">
        <v>452</v>
      </c>
      <c r="B17" s="750">
        <v>100.69822337118958</v>
      </c>
      <c r="C17" s="750">
        <v>95.291768354080446</v>
      </c>
      <c r="D17" s="751">
        <v>102.02834681926893</v>
      </c>
      <c r="E17" s="720"/>
      <c r="F17" s="720"/>
      <c r="G17" s="720"/>
    </row>
    <row r="18" spans="1:7" s="749" customFormat="1" ht="18" customHeight="1">
      <c r="A18" s="741" t="s">
        <v>450</v>
      </c>
      <c r="B18" s="750">
        <v>85.258583532582207</v>
      </c>
      <c r="C18" s="750">
        <v>97.974611391313132</v>
      </c>
      <c r="D18" s="751">
        <v>81.627587749931166</v>
      </c>
      <c r="E18" s="720"/>
      <c r="F18" s="720"/>
      <c r="G18" s="720"/>
    </row>
    <row r="19" spans="1:7" s="749" customFormat="1" ht="18" customHeight="1">
      <c r="A19" s="721" t="s">
        <v>563</v>
      </c>
      <c r="B19" s="747">
        <v>100.36372014143342</v>
      </c>
      <c r="C19" s="747">
        <v>99.09947299319586</v>
      </c>
      <c r="D19" s="748">
        <v>101.33843899327798</v>
      </c>
      <c r="E19" s="720"/>
      <c r="F19" s="720"/>
      <c r="G19" s="720"/>
    </row>
    <row r="20" spans="1:7" s="749" customFormat="1" ht="18" customHeight="1">
      <c r="A20" s="703" t="s">
        <v>12</v>
      </c>
      <c r="B20" s="750"/>
      <c r="C20" s="750"/>
      <c r="D20" s="751"/>
      <c r="E20" s="720"/>
      <c r="F20" s="720"/>
      <c r="G20" s="720"/>
    </row>
    <row r="21" spans="1:7" s="749" customFormat="1" ht="18" customHeight="1">
      <c r="A21" s="741" t="s">
        <v>580</v>
      </c>
      <c r="B21" s="750">
        <v>93.743174604062702</v>
      </c>
      <c r="C21" s="750">
        <v>99.853020811667875</v>
      </c>
      <c r="D21" s="751">
        <v>88.679390370338581</v>
      </c>
      <c r="E21" s="720"/>
      <c r="F21" s="720"/>
      <c r="G21" s="720"/>
    </row>
    <row r="22" spans="1:7" s="749" customFormat="1" ht="18" customHeight="1">
      <c r="A22" s="741" t="s">
        <v>418</v>
      </c>
      <c r="B22" s="750">
        <v>106.44510471032163</v>
      </c>
      <c r="C22" s="750">
        <v>98.145522417352353</v>
      </c>
      <c r="D22" s="751">
        <v>107.81055292810065</v>
      </c>
      <c r="E22" s="720"/>
      <c r="F22" s="720"/>
      <c r="G22" s="720"/>
    </row>
    <row r="23" spans="1:7" s="749" customFormat="1" ht="18" customHeight="1">
      <c r="A23" s="741" t="s">
        <v>581</v>
      </c>
      <c r="B23" s="750">
        <v>102.2529687743349</v>
      </c>
      <c r="C23" s="750">
        <v>96.74997781078649</v>
      </c>
      <c r="D23" s="751">
        <v>108.59998593677919</v>
      </c>
      <c r="E23" s="720"/>
      <c r="F23" s="720"/>
      <c r="G23" s="720"/>
    </row>
    <row r="24" spans="1:7" s="749" customFormat="1" ht="18" customHeight="1">
      <c r="A24" s="741" t="s">
        <v>582</v>
      </c>
      <c r="B24" s="750">
        <v>105.37517028162824</v>
      </c>
      <c r="C24" s="750">
        <v>101.61458198061901</v>
      </c>
      <c r="D24" s="751">
        <v>103.0384082436763</v>
      </c>
      <c r="E24" s="720"/>
      <c r="F24" s="720"/>
      <c r="G24" s="720"/>
    </row>
    <row r="25" spans="1:7" s="749" customFormat="1" ht="18" customHeight="1">
      <c r="A25" s="741" t="s">
        <v>583</v>
      </c>
      <c r="B25" s="750">
        <v>95.770932543170474</v>
      </c>
      <c r="C25" s="750">
        <v>100.14933921486022</v>
      </c>
      <c r="D25" s="751">
        <v>98.25173025395901</v>
      </c>
      <c r="E25" s="720"/>
      <c r="F25" s="720"/>
      <c r="G25" s="720"/>
    </row>
    <row r="26" spans="1:7" s="749" customFormat="1" ht="18" customHeight="1">
      <c r="A26" s="741" t="s">
        <v>420</v>
      </c>
      <c r="B26" s="750">
        <v>96.70874687679644</v>
      </c>
      <c r="C26" s="750">
        <v>99.125891131608924</v>
      </c>
      <c r="D26" s="751">
        <v>98.12550917037035</v>
      </c>
      <c r="E26" s="720"/>
      <c r="F26" s="720"/>
      <c r="G26" s="720"/>
    </row>
    <row r="27" spans="1:7" s="749" customFormat="1" ht="18" customHeight="1">
      <c r="A27" s="741" t="s">
        <v>584</v>
      </c>
      <c r="B27" s="750">
        <v>103.75719058740604</v>
      </c>
      <c r="C27" s="750">
        <v>98.092468034167695</v>
      </c>
      <c r="D27" s="751">
        <v>112.06607337146667</v>
      </c>
      <c r="E27" s="720"/>
      <c r="F27" s="720"/>
      <c r="G27" s="720"/>
    </row>
    <row r="28" spans="1:7" s="749" customFormat="1" ht="18" customHeight="1">
      <c r="A28" s="741" t="s">
        <v>567</v>
      </c>
      <c r="B28" s="750">
        <v>99.723743002633086</v>
      </c>
      <c r="C28" s="750">
        <v>99.552863903767303</v>
      </c>
      <c r="D28" s="751">
        <v>99.853173399288764</v>
      </c>
      <c r="E28" s="720"/>
      <c r="F28" s="720"/>
      <c r="G28" s="720"/>
    </row>
    <row r="29" spans="1:7" s="749" customFormat="1" ht="18" customHeight="1">
      <c r="A29" s="741" t="s">
        <v>585</v>
      </c>
      <c r="B29" s="750">
        <v>98.21836233110453</v>
      </c>
      <c r="C29" s="750">
        <v>98.46738696707159</v>
      </c>
      <c r="D29" s="751">
        <v>100.00635162191773</v>
      </c>
      <c r="E29" s="720"/>
      <c r="F29" s="720"/>
      <c r="G29" s="720"/>
    </row>
    <row r="30" spans="1:7" s="749" customFormat="1" ht="18" customHeight="1">
      <c r="A30" s="741" t="s">
        <v>586</v>
      </c>
      <c r="B30" s="750">
        <v>98.921577240685323</v>
      </c>
      <c r="C30" s="750">
        <v>98.696704457670265</v>
      </c>
      <c r="D30" s="751">
        <v>100.48357429373959</v>
      </c>
      <c r="E30" s="720"/>
      <c r="F30" s="720"/>
      <c r="G30" s="720"/>
    </row>
    <row r="31" spans="1:7" s="749" customFormat="1" ht="18" customHeight="1">
      <c r="A31" s="741" t="s">
        <v>587</v>
      </c>
      <c r="B31" s="750">
        <v>98.099046803968392</v>
      </c>
      <c r="C31" s="750">
        <v>99.847792296742767</v>
      </c>
      <c r="D31" s="751">
        <v>99.677736264301913</v>
      </c>
      <c r="E31" s="720"/>
      <c r="F31" s="720"/>
      <c r="G31" s="720"/>
    </row>
    <row r="32" spans="1:7" s="749" customFormat="1" ht="18" customHeight="1">
      <c r="A32" s="741" t="s">
        <v>430</v>
      </c>
      <c r="B32" s="750">
        <v>99.830792940284098</v>
      </c>
      <c r="C32" s="750">
        <v>100.69060567078805</v>
      </c>
      <c r="D32" s="751">
        <v>99.818729010144807</v>
      </c>
      <c r="E32" s="720"/>
      <c r="F32" s="720"/>
      <c r="G32" s="720"/>
    </row>
    <row r="33" spans="1:7" s="749" customFormat="1" ht="18" customHeight="1">
      <c r="A33" s="741" t="s">
        <v>432</v>
      </c>
      <c r="B33" s="750">
        <v>93.93617231661635</v>
      </c>
      <c r="C33" s="750">
        <v>97.147833523528519</v>
      </c>
      <c r="D33" s="751">
        <v>94.198068565942918</v>
      </c>
      <c r="E33" s="720"/>
      <c r="F33" s="720"/>
      <c r="G33" s="720"/>
    </row>
    <row r="34" spans="1:7" s="749" customFormat="1" ht="18" customHeight="1">
      <c r="A34" s="741" t="s">
        <v>571</v>
      </c>
      <c r="B34" s="750">
        <v>95.125607618713644</v>
      </c>
      <c r="C34" s="750">
        <v>98.883477886460597</v>
      </c>
      <c r="D34" s="751">
        <v>97.721597064078608</v>
      </c>
      <c r="E34" s="720"/>
      <c r="F34" s="720"/>
      <c r="G34" s="720"/>
    </row>
    <row r="35" spans="1:7" s="749" customFormat="1" ht="18" customHeight="1">
      <c r="A35" s="741" t="s">
        <v>436</v>
      </c>
      <c r="B35" s="750">
        <v>103.11544790659426</v>
      </c>
      <c r="C35" s="750">
        <v>98.993204507383084</v>
      </c>
      <c r="D35" s="751">
        <v>102.75611904585725</v>
      </c>
      <c r="E35" s="720"/>
      <c r="F35" s="720"/>
      <c r="G35" s="720"/>
    </row>
    <row r="36" spans="1:7" s="749" customFormat="1" ht="18" customHeight="1">
      <c r="A36" s="741" t="s">
        <v>588</v>
      </c>
      <c r="B36" s="750">
        <v>100.89805810114176</v>
      </c>
      <c r="C36" s="750">
        <v>99.594105629918744</v>
      </c>
      <c r="D36" s="751">
        <v>102.08939114156486</v>
      </c>
      <c r="E36" s="720"/>
      <c r="F36" s="720"/>
      <c r="G36" s="720"/>
    </row>
    <row r="37" spans="1:7" s="749" customFormat="1" ht="18" customHeight="1">
      <c r="A37" s="741" t="s">
        <v>589</v>
      </c>
      <c r="B37" s="750">
        <v>102.64572892634129</v>
      </c>
      <c r="C37" s="750">
        <v>100.31873206806409</v>
      </c>
      <c r="D37" s="751">
        <v>100.37958419962099</v>
      </c>
      <c r="E37" s="720"/>
      <c r="F37" s="720"/>
      <c r="G37" s="720"/>
    </row>
    <row r="38" spans="1:7" s="749" customFormat="1" ht="18" customHeight="1">
      <c r="A38" s="741" t="s">
        <v>590</v>
      </c>
      <c r="B38" s="750">
        <v>98.623665580185971</v>
      </c>
      <c r="C38" s="750">
        <v>100.59867745746803</v>
      </c>
      <c r="D38" s="751">
        <v>99.009336011945535</v>
      </c>
      <c r="E38" s="720"/>
      <c r="F38" s="720"/>
      <c r="G38" s="720"/>
    </row>
    <row r="39" spans="1:7" s="749" customFormat="1" ht="18" customHeight="1">
      <c r="A39" s="741" t="s">
        <v>591</v>
      </c>
      <c r="B39" s="750">
        <v>103.27035491095748</v>
      </c>
      <c r="C39" s="750">
        <v>99.131046510923653</v>
      </c>
      <c r="D39" s="751">
        <v>102.0887018785087</v>
      </c>
      <c r="E39" s="720"/>
      <c r="F39" s="720"/>
      <c r="G39" s="720"/>
    </row>
    <row r="40" spans="1:7" s="706" customFormat="1" ht="6" customHeight="1">
      <c r="A40" s="705"/>
      <c r="B40" s="705"/>
      <c r="C40" s="705"/>
      <c r="D40" s="705"/>
    </row>
    <row r="41" spans="1:7" s="706" customFormat="1" ht="21.75" customHeight="1">
      <c r="A41" s="707" t="s">
        <v>531</v>
      </c>
    </row>
    <row r="42" spans="1:7" s="749" customFormat="1" ht="14.1" customHeight="1">
      <c r="A42" s="752"/>
      <c r="B42" s="753"/>
      <c r="C42" s="753"/>
      <c r="D42" s="754"/>
      <c r="F42" s="692"/>
    </row>
    <row r="43" spans="1:7" s="749" customFormat="1" ht="14.1" customHeight="1">
      <c r="A43" s="752"/>
      <c r="B43" s="753"/>
      <c r="C43" s="753"/>
      <c r="D43" s="754"/>
      <c r="F43" s="692"/>
    </row>
    <row r="44" spans="1:7" s="749" customFormat="1" ht="14.1" customHeight="1">
      <c r="A44" s="752"/>
      <c r="B44" s="753"/>
      <c r="C44" s="753"/>
      <c r="D44" s="754"/>
      <c r="F44" s="692"/>
    </row>
    <row r="45" spans="1:7" s="749" customFormat="1" ht="14.1" customHeight="1">
      <c r="A45" s="752"/>
      <c r="B45" s="753"/>
      <c r="C45" s="753"/>
      <c r="D45" s="754"/>
      <c r="F45" s="692"/>
    </row>
    <row r="46" spans="1:7" s="749" customFormat="1" ht="14.1" customHeight="1">
      <c r="A46" s="752"/>
      <c r="B46" s="753"/>
      <c r="C46" s="753"/>
      <c r="D46" s="754"/>
      <c r="F46" s="692"/>
    </row>
    <row r="47" spans="1:7" s="749" customFormat="1" ht="14.1" customHeight="1">
      <c r="A47" s="692"/>
      <c r="B47" s="692"/>
      <c r="C47" s="692"/>
      <c r="D47" s="692"/>
      <c r="E47" s="692"/>
      <c r="F47" s="692"/>
    </row>
    <row r="48" spans="1:7" s="749" customFormat="1" ht="14.1" customHeight="1">
      <c r="A48" s="692"/>
      <c r="B48" s="692"/>
      <c r="C48" s="692"/>
      <c r="D48" s="692"/>
      <c r="E48" s="692"/>
      <c r="F48" s="692"/>
    </row>
    <row r="49" spans="1:6" s="749" customFormat="1" ht="14.1" customHeight="1">
      <c r="A49" s="692"/>
      <c r="B49" s="692"/>
      <c r="C49" s="692"/>
      <c r="D49" s="692"/>
      <c r="E49" s="692"/>
      <c r="F49" s="692"/>
    </row>
    <row r="50" spans="1:6" s="749" customFormat="1" ht="14.1" customHeight="1">
      <c r="A50" s="692"/>
      <c r="B50" s="692"/>
      <c r="C50" s="692"/>
      <c r="D50" s="692"/>
      <c r="E50" s="692"/>
      <c r="F50" s="692"/>
    </row>
    <row r="51" spans="1:6" s="749" customFormat="1" ht="14.1" customHeight="1">
      <c r="A51" s="692"/>
      <c r="B51" s="692"/>
      <c r="C51" s="692"/>
      <c r="D51" s="692"/>
      <c r="E51" s="692"/>
      <c r="F51" s="692"/>
    </row>
    <row r="52" spans="1:6" s="749" customFormat="1" ht="14.1" customHeight="1">
      <c r="A52" s="692"/>
      <c r="B52" s="692"/>
      <c r="C52" s="692"/>
      <c r="D52" s="692"/>
      <c r="E52" s="692"/>
      <c r="F52" s="692"/>
    </row>
    <row r="53" spans="1:6">
      <c r="A53" s="692"/>
      <c r="E53" s="692"/>
      <c r="F53" s="692"/>
    </row>
    <row r="54" spans="1:6">
      <c r="A54" s="692"/>
      <c r="E54" s="692"/>
      <c r="F54" s="692"/>
    </row>
    <row r="55" spans="1:6">
      <c r="A55" s="692"/>
      <c r="E55" s="692"/>
      <c r="F55" s="692"/>
    </row>
    <row r="56" spans="1:6">
      <c r="A56" s="692"/>
      <c r="E56" s="692"/>
      <c r="F56" s="692"/>
    </row>
    <row r="57" spans="1:6">
      <c r="A57" s="692"/>
      <c r="E57" s="692"/>
      <c r="F57" s="692"/>
    </row>
    <row r="58" spans="1:6">
      <c r="A58" s="692"/>
      <c r="E58" s="692"/>
      <c r="F58" s="692"/>
    </row>
    <row r="59" spans="1:6">
      <c r="A59" s="692"/>
      <c r="E59" s="692"/>
      <c r="F59" s="692"/>
    </row>
    <row r="60" spans="1:6">
      <c r="A60" s="692"/>
      <c r="E60" s="692"/>
      <c r="F60" s="692"/>
    </row>
    <row r="61" spans="1:6">
      <c r="A61" s="692"/>
      <c r="E61" s="692"/>
      <c r="F61" s="692"/>
    </row>
    <row r="62" spans="1:6">
      <c r="A62" s="692"/>
      <c r="E62" s="692"/>
      <c r="F62" s="692"/>
    </row>
    <row r="63" spans="1:6">
      <c r="A63" s="692"/>
      <c r="E63" s="692"/>
      <c r="F63" s="692"/>
    </row>
    <row r="64" spans="1:6">
      <c r="A64" s="692"/>
      <c r="E64" s="692"/>
      <c r="F64" s="692"/>
    </row>
    <row r="65" spans="1:6">
      <c r="A65" s="692"/>
      <c r="E65" s="692"/>
      <c r="F65" s="692"/>
    </row>
    <row r="66" spans="1:6">
      <c r="A66" s="692"/>
      <c r="E66" s="692"/>
      <c r="F66" s="692"/>
    </row>
    <row r="67" spans="1:6">
      <c r="A67" s="692"/>
      <c r="E67" s="692"/>
      <c r="F67" s="692"/>
    </row>
    <row r="68" spans="1:6">
      <c r="A68" s="692"/>
      <c r="E68" s="692"/>
      <c r="F68" s="692"/>
    </row>
    <row r="69" spans="1:6">
      <c r="A69" s="692"/>
      <c r="E69" s="692"/>
      <c r="F69" s="692"/>
    </row>
    <row r="70" spans="1:6">
      <c r="A70" s="692"/>
      <c r="E70" s="692"/>
      <c r="F70" s="692"/>
    </row>
    <row r="71" spans="1:6">
      <c r="A71" s="692"/>
      <c r="E71" s="692"/>
      <c r="F71" s="692"/>
    </row>
    <row r="72" spans="1:6">
      <c r="A72" s="692"/>
      <c r="E72" s="692"/>
      <c r="F72" s="692"/>
    </row>
    <row r="73" spans="1:6">
      <c r="A73" s="692"/>
      <c r="E73" s="692"/>
      <c r="F73" s="692"/>
    </row>
    <row r="74" spans="1:6">
      <c r="A74" s="692"/>
      <c r="E74" s="692"/>
      <c r="F74" s="692"/>
    </row>
    <row r="75" spans="1:6">
      <c r="A75" s="692"/>
      <c r="E75" s="692"/>
      <c r="F75" s="692"/>
    </row>
    <row r="76" spans="1:6">
      <c r="A76" s="692"/>
      <c r="E76" s="692"/>
      <c r="F76" s="692"/>
    </row>
    <row r="77" spans="1:6">
      <c r="A77" s="692"/>
      <c r="E77" s="692"/>
      <c r="F77" s="692"/>
    </row>
    <row r="78" spans="1:6">
      <c r="A78" s="692"/>
      <c r="E78" s="692"/>
      <c r="F78" s="692"/>
    </row>
    <row r="79" spans="1:6">
      <c r="A79" s="692"/>
      <c r="E79" s="692"/>
      <c r="F79" s="692"/>
    </row>
    <row r="80" spans="1:6">
      <c r="A80" s="692"/>
      <c r="E80" s="692"/>
      <c r="F80" s="692"/>
    </row>
    <row r="81" spans="1:6">
      <c r="A81" s="692"/>
      <c r="E81" s="692"/>
      <c r="F81" s="692"/>
    </row>
    <row r="82" spans="1:6">
      <c r="A82" s="692"/>
      <c r="E82" s="692"/>
      <c r="F82" s="692"/>
    </row>
    <row r="83" spans="1:6">
      <c r="A83" s="692"/>
      <c r="E83" s="692"/>
      <c r="F83" s="692"/>
    </row>
    <row r="84" spans="1:6">
      <c r="A84" s="692"/>
      <c r="E84" s="692"/>
      <c r="F84" s="692"/>
    </row>
    <row r="85" spans="1:6">
      <c r="A85" s="692"/>
      <c r="E85" s="692"/>
      <c r="F85" s="692"/>
    </row>
    <row r="86" spans="1:6">
      <c r="A86" s="692"/>
      <c r="E86" s="692"/>
      <c r="F86" s="692"/>
    </row>
    <row r="87" spans="1:6">
      <c r="A87" s="692"/>
      <c r="E87" s="692"/>
      <c r="F87" s="692"/>
    </row>
    <row r="88" spans="1:6">
      <c r="A88" s="692"/>
      <c r="E88" s="692"/>
      <c r="F88" s="692"/>
    </row>
    <row r="89" spans="1:6">
      <c r="A89" s="692"/>
      <c r="E89" s="692"/>
      <c r="F89" s="692"/>
    </row>
    <row r="90" spans="1:6">
      <c r="A90" s="692"/>
      <c r="E90" s="692"/>
      <c r="F90" s="692"/>
    </row>
    <row r="91" spans="1:6">
      <c r="A91" s="692"/>
      <c r="E91" s="692"/>
      <c r="F91" s="692"/>
    </row>
    <row r="92" spans="1:6">
      <c r="A92" s="692"/>
      <c r="E92" s="692"/>
      <c r="F92" s="692"/>
    </row>
    <row r="93" spans="1:6">
      <c r="A93" s="692"/>
      <c r="E93" s="692"/>
      <c r="F93" s="692"/>
    </row>
    <row r="94" spans="1:6">
      <c r="A94" s="692"/>
      <c r="E94" s="692"/>
      <c r="F94" s="692"/>
    </row>
    <row r="95" spans="1:6">
      <c r="A95" s="692"/>
      <c r="E95" s="692"/>
      <c r="F95" s="692"/>
    </row>
    <row r="96" spans="1:6">
      <c r="A96" s="692"/>
      <c r="E96" s="692"/>
      <c r="F96" s="692"/>
    </row>
    <row r="97" spans="1:6">
      <c r="A97" s="692"/>
      <c r="E97" s="692"/>
      <c r="F97" s="692"/>
    </row>
    <row r="98" spans="1:6">
      <c r="A98" s="692"/>
      <c r="E98" s="692"/>
      <c r="F98" s="692"/>
    </row>
    <row r="99" spans="1:6">
      <c r="A99" s="692"/>
      <c r="E99" s="692"/>
      <c r="F99" s="692"/>
    </row>
    <row r="100" spans="1:6">
      <c r="A100" s="692"/>
      <c r="E100" s="692"/>
      <c r="F100" s="692"/>
    </row>
    <row r="101" spans="1:6">
      <c r="A101" s="692"/>
      <c r="E101" s="692"/>
      <c r="F101" s="692"/>
    </row>
    <row r="102" spans="1:6">
      <c r="A102" s="692"/>
      <c r="E102" s="692"/>
      <c r="F102" s="692"/>
    </row>
    <row r="103" spans="1:6">
      <c r="A103" s="692"/>
      <c r="E103" s="692"/>
      <c r="F103" s="692"/>
    </row>
    <row r="104" spans="1:6">
      <c r="A104" s="692"/>
      <c r="E104" s="692"/>
      <c r="F104" s="692"/>
    </row>
    <row r="105" spans="1:6">
      <c r="A105" s="692"/>
      <c r="E105" s="692"/>
      <c r="F105" s="692"/>
    </row>
    <row r="106" spans="1:6">
      <c r="A106" s="692"/>
      <c r="E106" s="692"/>
      <c r="F106" s="692"/>
    </row>
    <row r="107" spans="1:6">
      <c r="A107" s="692"/>
      <c r="E107" s="692"/>
      <c r="F107" s="692"/>
    </row>
    <row r="108" spans="1:6">
      <c r="A108" s="692"/>
      <c r="E108" s="692"/>
      <c r="F108" s="692"/>
    </row>
    <row r="109" spans="1:6">
      <c r="A109" s="692"/>
      <c r="E109" s="692"/>
      <c r="F109" s="692"/>
    </row>
    <row r="110" spans="1:6">
      <c r="A110" s="692"/>
      <c r="E110" s="692"/>
      <c r="F110" s="692"/>
    </row>
  </sheetData>
  <mergeCells count="1">
    <mergeCell ref="B4:C4"/>
  </mergeCells>
  <pageMargins left="0.86614173228346503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112"/>
  <sheetViews>
    <sheetView workbookViewId="0">
      <selection activeCell="D13" sqref="D13"/>
    </sheetView>
  </sheetViews>
  <sheetFormatPr defaultColWidth="9.28515625" defaultRowHeight="15"/>
  <cols>
    <col min="1" max="1" width="45.7109375" style="757" customWidth="1"/>
    <col min="2" max="2" width="11" style="692" customWidth="1"/>
    <col min="3" max="3" width="11.28515625" style="692" customWidth="1"/>
    <col min="4" max="4" width="17" style="692" customWidth="1"/>
    <col min="5" max="16384" width="9.28515625" style="757"/>
  </cols>
  <sheetData>
    <row r="1" spans="1:8" ht="20.100000000000001" customHeight="1">
      <c r="A1" s="755" t="s">
        <v>669</v>
      </c>
      <c r="B1" s="755"/>
      <c r="C1" s="755"/>
      <c r="D1" s="756"/>
      <c r="E1" s="756"/>
      <c r="F1" s="679"/>
    </row>
    <row r="2" spans="1:8" ht="20.100000000000001" customHeight="1">
      <c r="A2" s="645"/>
      <c r="B2" s="645"/>
      <c r="C2" s="646"/>
      <c r="D2" s="757"/>
      <c r="F2" s="679"/>
    </row>
    <row r="3" spans="1:8" ht="20.100000000000001" customHeight="1">
      <c r="A3" s="646"/>
      <c r="B3" s="646"/>
      <c r="C3" s="757"/>
      <c r="D3" s="715" t="s">
        <v>61</v>
      </c>
      <c r="F3" s="679"/>
    </row>
    <row r="4" spans="1:8" ht="20.100000000000001" customHeight="1">
      <c r="A4" s="650"/>
      <c r="B4" s="911" t="s">
        <v>522</v>
      </c>
      <c r="C4" s="911"/>
      <c r="D4" s="685" t="s">
        <v>242</v>
      </c>
      <c r="F4" s="679"/>
    </row>
    <row r="5" spans="1:8" ht="20.100000000000001" customHeight="1">
      <c r="A5" s="646"/>
      <c r="B5" s="687" t="s">
        <v>26</v>
      </c>
      <c r="C5" s="687" t="s">
        <v>25</v>
      </c>
      <c r="D5" s="688" t="s">
        <v>523</v>
      </c>
      <c r="F5" s="689"/>
    </row>
    <row r="6" spans="1:8" ht="20.100000000000001" customHeight="1">
      <c r="A6" s="646"/>
      <c r="B6" s="690" t="s">
        <v>277</v>
      </c>
      <c r="C6" s="690" t="s">
        <v>53</v>
      </c>
      <c r="D6" s="691" t="s">
        <v>68</v>
      </c>
      <c r="F6" s="689"/>
    </row>
    <row r="7" spans="1:8" ht="20.100000000000001" customHeight="1">
      <c r="A7" s="646"/>
      <c r="B7" s="652"/>
      <c r="C7" s="652"/>
      <c r="D7" s="757"/>
      <c r="F7" s="692"/>
    </row>
    <row r="8" spans="1:8" ht="20.100000000000001" customHeight="1">
      <c r="A8" s="758" t="s">
        <v>532</v>
      </c>
      <c r="B8" s="747">
        <v>100.14181466293329</v>
      </c>
      <c r="C8" s="747">
        <v>101.04563469649317</v>
      </c>
      <c r="D8" s="759">
        <v>103.39880032425171</v>
      </c>
      <c r="E8" s="720"/>
      <c r="F8" s="720"/>
      <c r="G8" s="720"/>
      <c r="H8" s="760"/>
    </row>
    <row r="9" spans="1:8" ht="20.100000000000001" customHeight="1">
      <c r="A9" s="761" t="s">
        <v>12</v>
      </c>
      <c r="B9" s="750"/>
      <c r="C9" s="750"/>
      <c r="D9" s="762"/>
      <c r="E9" s="720"/>
      <c r="F9" s="720"/>
      <c r="G9" s="720"/>
    </row>
    <row r="10" spans="1:8" s="756" customFormat="1" ht="20.100000000000001" customHeight="1">
      <c r="A10" s="763" t="s">
        <v>558</v>
      </c>
      <c r="B10" s="750">
        <v>102.96921940754797</v>
      </c>
      <c r="C10" s="750">
        <v>98.261003133346918</v>
      </c>
      <c r="D10" s="762">
        <v>103.88413941412705</v>
      </c>
      <c r="E10" s="720"/>
      <c r="F10" s="720"/>
      <c r="G10" s="720"/>
      <c r="H10" s="764"/>
    </row>
    <row r="11" spans="1:8" s="756" customFormat="1" ht="20.100000000000001" customHeight="1">
      <c r="A11" s="763" t="s">
        <v>559</v>
      </c>
      <c r="B11" s="750">
        <v>100.36245094496286</v>
      </c>
      <c r="C11" s="750">
        <v>99.32729189571522</v>
      </c>
      <c r="D11" s="762">
        <v>103.35674879320673</v>
      </c>
      <c r="E11" s="720"/>
      <c r="F11" s="720"/>
      <c r="G11" s="720"/>
      <c r="H11" s="760"/>
    </row>
    <row r="12" spans="1:8" ht="20.100000000000001" customHeight="1">
      <c r="A12" s="763" t="s">
        <v>562</v>
      </c>
      <c r="B12" s="750">
        <v>86.452790391179079</v>
      </c>
      <c r="C12" s="750">
        <v>97.196699729689698</v>
      </c>
      <c r="D12" s="762">
        <v>86.603872574212431</v>
      </c>
      <c r="E12" s="720"/>
      <c r="F12" s="720"/>
      <c r="G12" s="720"/>
      <c r="H12" s="760"/>
    </row>
    <row r="13" spans="1:8" s="756" customFormat="1" ht="20.100000000000001" customHeight="1">
      <c r="A13" s="763" t="s">
        <v>422</v>
      </c>
      <c r="B13" s="750">
        <v>98.915613930428066</v>
      </c>
      <c r="C13" s="750">
        <v>91.961713894657464</v>
      </c>
      <c r="D13" s="762">
        <v>104.9424913539934</v>
      </c>
      <c r="E13" s="720"/>
      <c r="F13" s="720"/>
      <c r="G13" s="720"/>
    </row>
    <row r="14" spans="1:8" ht="20.100000000000001" customHeight="1">
      <c r="A14" s="763" t="s">
        <v>425</v>
      </c>
      <c r="B14" s="750">
        <v>99.067610134971375</v>
      </c>
      <c r="C14" s="750">
        <v>100.1360066008707</v>
      </c>
      <c r="D14" s="762">
        <v>99.811078041739265</v>
      </c>
      <c r="E14" s="720"/>
      <c r="F14" s="720"/>
      <c r="G14" s="720"/>
    </row>
    <row r="15" spans="1:8" ht="20.100000000000001" customHeight="1">
      <c r="A15" s="763" t="s">
        <v>432</v>
      </c>
      <c r="B15" s="750">
        <v>96.443284754086093</v>
      </c>
      <c r="C15" s="750">
        <v>103.69391342739964</v>
      </c>
      <c r="D15" s="762">
        <v>95.542910370724414</v>
      </c>
      <c r="E15" s="720"/>
      <c r="F15" s="720"/>
      <c r="G15" s="720"/>
    </row>
    <row r="16" spans="1:8" s="756" customFormat="1" ht="20.100000000000001" customHeight="1">
      <c r="A16" s="763" t="s">
        <v>571</v>
      </c>
      <c r="B16" s="750">
        <v>101.05158008771851</v>
      </c>
      <c r="C16" s="750">
        <v>102.9534611141931</v>
      </c>
      <c r="D16" s="762">
        <v>102.7578007279229</v>
      </c>
      <c r="E16" s="720"/>
      <c r="F16" s="720"/>
      <c r="G16" s="720"/>
    </row>
    <row r="17" spans="1:6" s="706" customFormat="1" ht="6" customHeight="1">
      <c r="A17" s="705"/>
      <c r="B17" s="705"/>
      <c r="C17" s="705"/>
      <c r="D17" s="705"/>
    </row>
    <row r="18" spans="1:6" s="706" customFormat="1" ht="21.75" customHeight="1">
      <c r="A18" s="707" t="s">
        <v>531</v>
      </c>
    </row>
    <row r="19" spans="1:6" s="756" customFormat="1" ht="20.100000000000001" customHeight="1">
      <c r="A19" s="765"/>
      <c r="B19" s="766"/>
      <c r="C19" s="766"/>
      <c r="D19" s="757"/>
      <c r="E19" s="754"/>
      <c r="F19" s="729"/>
    </row>
    <row r="20" spans="1:6" ht="20.100000000000001" customHeight="1">
      <c r="A20" s="646"/>
      <c r="B20" s="668"/>
      <c r="C20" s="668"/>
      <c r="D20" s="757"/>
      <c r="E20" s="754"/>
      <c r="F20" s="729"/>
    </row>
    <row r="21" spans="1:6" ht="20.100000000000001" customHeight="1">
      <c r="A21" s="646"/>
      <c r="B21" s="668"/>
      <c r="C21" s="668"/>
      <c r="D21" s="757"/>
      <c r="E21" s="754"/>
      <c r="F21" s="729"/>
    </row>
    <row r="22" spans="1:6" ht="20.100000000000001" customHeight="1">
      <c r="A22" s="646"/>
      <c r="B22" s="668"/>
      <c r="C22" s="668"/>
      <c r="D22" s="757"/>
      <c r="E22" s="754"/>
      <c r="F22" s="729"/>
    </row>
    <row r="23" spans="1:6" ht="20.100000000000001" customHeight="1">
      <c r="A23" s="646"/>
      <c r="B23" s="767"/>
      <c r="C23" s="767"/>
      <c r="D23" s="757"/>
      <c r="E23" s="754"/>
      <c r="F23" s="729"/>
    </row>
    <row r="24" spans="1:6" ht="20.100000000000001" customHeight="1">
      <c r="A24" s="646"/>
      <c r="B24" s="767"/>
      <c r="C24" s="767"/>
      <c r="D24" s="757"/>
      <c r="E24" s="754"/>
      <c r="F24" s="692"/>
    </row>
    <row r="25" spans="1:6" ht="20.100000000000001" customHeight="1">
      <c r="A25" s="646"/>
      <c r="B25" s="767"/>
      <c r="C25" s="767"/>
      <c r="D25" s="757"/>
      <c r="E25" s="754"/>
      <c r="F25" s="692"/>
    </row>
    <row r="26" spans="1:6" ht="20.100000000000001" customHeight="1">
      <c r="A26" s="666"/>
      <c r="B26" s="768"/>
      <c r="C26" s="768"/>
      <c r="D26" s="757"/>
      <c r="E26" s="754"/>
      <c r="F26" s="692"/>
    </row>
    <row r="27" spans="1:6" ht="20.100000000000001" customHeight="1">
      <c r="A27" s="666"/>
      <c r="B27" s="768"/>
      <c r="C27" s="768"/>
      <c r="D27" s="757"/>
      <c r="E27" s="754"/>
      <c r="F27" s="692"/>
    </row>
    <row r="28" spans="1:6" ht="20.100000000000001" customHeight="1">
      <c r="A28" s="666"/>
      <c r="B28" s="768"/>
      <c r="C28" s="768"/>
      <c r="D28" s="757"/>
      <c r="E28" s="754"/>
      <c r="F28" s="692"/>
    </row>
    <row r="29" spans="1:6" ht="20.100000000000001" customHeight="1">
      <c r="A29" s="666"/>
      <c r="B29" s="768"/>
      <c r="C29" s="768"/>
      <c r="D29" s="757"/>
      <c r="E29" s="754"/>
      <c r="F29" s="692"/>
    </row>
    <row r="30" spans="1:6" ht="20.100000000000001" customHeight="1">
      <c r="A30" s="666"/>
      <c r="B30" s="768"/>
      <c r="C30" s="768"/>
      <c r="D30" s="757"/>
      <c r="E30" s="769"/>
      <c r="F30" s="692"/>
    </row>
    <row r="31" spans="1:6" ht="20.100000000000001" customHeight="1">
      <c r="A31" s="666"/>
      <c r="B31" s="768"/>
      <c r="C31" s="768"/>
      <c r="D31" s="757"/>
      <c r="F31" s="692"/>
    </row>
    <row r="32" spans="1:6" ht="20.100000000000001" customHeight="1">
      <c r="A32" s="666"/>
      <c r="B32" s="757"/>
      <c r="C32" s="757"/>
      <c r="D32" s="757"/>
      <c r="F32" s="692"/>
    </row>
    <row r="33" spans="1:6" ht="20.100000000000001" customHeight="1">
      <c r="A33" s="661"/>
      <c r="B33" s="670"/>
      <c r="C33" s="670"/>
      <c r="D33" s="757"/>
      <c r="F33" s="692"/>
    </row>
    <row r="34" spans="1:6" ht="20.100000000000001" customHeight="1">
      <c r="A34" s="661"/>
      <c r="B34" s="670"/>
      <c r="C34" s="670"/>
      <c r="D34" s="757"/>
      <c r="F34" s="692"/>
    </row>
    <row r="35" spans="1:6" ht="20.100000000000001" customHeight="1">
      <c r="A35" s="770"/>
      <c r="B35" s="770"/>
      <c r="C35" s="770"/>
      <c r="D35" s="757"/>
      <c r="F35" s="692"/>
    </row>
    <row r="36" spans="1:6" ht="20.100000000000001" customHeight="1">
      <c r="A36" s="770"/>
      <c r="B36" s="770"/>
      <c r="C36" s="770"/>
      <c r="D36" s="757"/>
      <c r="F36" s="692"/>
    </row>
    <row r="37" spans="1:6" ht="20.100000000000001" customHeight="1">
      <c r="A37" s="770"/>
      <c r="B37" s="770"/>
      <c r="C37" s="770"/>
      <c r="D37" s="757"/>
      <c r="F37" s="692"/>
    </row>
    <row r="38" spans="1:6" ht="20.100000000000001" customHeight="1">
      <c r="A38" s="770"/>
      <c r="B38" s="770"/>
      <c r="C38" s="770"/>
      <c r="D38" s="757"/>
      <c r="F38" s="692"/>
    </row>
    <row r="39" spans="1:6" ht="20.100000000000001" customHeight="1">
      <c r="A39" s="770"/>
      <c r="B39" s="770"/>
      <c r="C39" s="770"/>
      <c r="D39" s="757"/>
      <c r="F39" s="692"/>
    </row>
    <row r="40" spans="1:6" ht="20.100000000000001" customHeight="1">
      <c r="A40" s="770"/>
      <c r="B40" s="770"/>
      <c r="C40" s="770"/>
      <c r="D40" s="757"/>
      <c r="F40" s="692"/>
    </row>
    <row r="41" spans="1:6" ht="20.100000000000001" customHeight="1">
      <c r="A41" s="770"/>
      <c r="B41" s="770"/>
      <c r="C41" s="770"/>
      <c r="D41" s="757"/>
      <c r="F41" s="692"/>
    </row>
    <row r="42" spans="1:6">
      <c r="A42" s="770"/>
      <c r="B42" s="770"/>
      <c r="C42" s="770"/>
      <c r="D42" s="757"/>
      <c r="F42" s="692"/>
    </row>
    <row r="43" spans="1:6">
      <c r="A43" s="770"/>
      <c r="F43" s="692"/>
    </row>
    <row r="44" spans="1:6">
      <c r="A44" s="770"/>
      <c r="F44" s="692"/>
    </row>
    <row r="45" spans="1:6">
      <c r="A45" s="770"/>
      <c r="F45" s="692"/>
    </row>
    <row r="46" spans="1:6">
      <c r="A46" s="770"/>
      <c r="F46" s="692"/>
    </row>
    <row r="47" spans="1:6">
      <c r="A47" s="770"/>
      <c r="F47" s="692"/>
    </row>
    <row r="48" spans="1:6">
      <c r="A48" s="770"/>
      <c r="F48" s="692"/>
    </row>
    <row r="49" spans="1:6">
      <c r="A49" s="692"/>
      <c r="E49" s="692"/>
      <c r="F49" s="692"/>
    </row>
    <row r="50" spans="1:6">
      <c r="A50" s="692"/>
      <c r="E50" s="692"/>
      <c r="F50" s="692"/>
    </row>
    <row r="51" spans="1:6">
      <c r="A51" s="692"/>
      <c r="E51" s="692"/>
      <c r="F51" s="692"/>
    </row>
    <row r="52" spans="1:6">
      <c r="A52" s="692"/>
      <c r="E52" s="692"/>
      <c r="F52" s="692"/>
    </row>
    <row r="53" spans="1:6">
      <c r="A53" s="692"/>
      <c r="E53" s="692"/>
      <c r="F53" s="692"/>
    </row>
    <row r="54" spans="1:6">
      <c r="A54" s="692"/>
      <c r="E54" s="692"/>
      <c r="F54" s="692"/>
    </row>
    <row r="55" spans="1:6">
      <c r="A55" s="692"/>
      <c r="E55" s="692"/>
      <c r="F55" s="692"/>
    </row>
    <row r="56" spans="1:6">
      <c r="A56" s="692"/>
      <c r="E56" s="692"/>
      <c r="F56" s="692"/>
    </row>
    <row r="57" spans="1:6">
      <c r="A57" s="692"/>
      <c r="E57" s="692"/>
      <c r="F57" s="692"/>
    </row>
    <row r="58" spans="1:6">
      <c r="A58" s="692"/>
      <c r="E58" s="692"/>
      <c r="F58" s="692"/>
    </row>
    <row r="59" spans="1:6">
      <c r="A59" s="692"/>
      <c r="E59" s="692"/>
      <c r="F59" s="692"/>
    </row>
    <row r="60" spans="1:6">
      <c r="A60" s="692"/>
      <c r="E60" s="692"/>
      <c r="F60" s="692"/>
    </row>
    <row r="61" spans="1:6">
      <c r="A61" s="692"/>
      <c r="E61" s="692"/>
      <c r="F61" s="692"/>
    </row>
    <row r="62" spans="1:6">
      <c r="A62" s="692"/>
      <c r="E62" s="692"/>
      <c r="F62" s="692"/>
    </row>
    <row r="63" spans="1:6">
      <c r="A63" s="692"/>
      <c r="E63" s="692"/>
      <c r="F63" s="692"/>
    </row>
    <row r="64" spans="1:6">
      <c r="A64" s="692"/>
      <c r="E64" s="692"/>
      <c r="F64" s="692"/>
    </row>
    <row r="65" spans="1:6">
      <c r="A65" s="692"/>
      <c r="E65" s="692"/>
      <c r="F65" s="692"/>
    </row>
    <row r="66" spans="1:6">
      <c r="A66" s="692"/>
      <c r="E66" s="692"/>
      <c r="F66" s="692"/>
    </row>
    <row r="67" spans="1:6">
      <c r="A67" s="692"/>
      <c r="E67" s="692"/>
      <c r="F67" s="692"/>
    </row>
    <row r="68" spans="1:6">
      <c r="A68" s="692"/>
      <c r="E68" s="692"/>
      <c r="F68" s="692"/>
    </row>
    <row r="69" spans="1:6">
      <c r="A69" s="692"/>
      <c r="E69" s="692"/>
      <c r="F69" s="692"/>
    </row>
    <row r="70" spans="1:6">
      <c r="A70" s="692"/>
      <c r="E70" s="692"/>
      <c r="F70" s="692"/>
    </row>
    <row r="71" spans="1:6">
      <c r="A71" s="692"/>
      <c r="E71" s="692"/>
      <c r="F71" s="692"/>
    </row>
    <row r="72" spans="1:6">
      <c r="A72" s="692"/>
      <c r="E72" s="692"/>
      <c r="F72" s="692"/>
    </row>
    <row r="73" spans="1:6">
      <c r="A73" s="692"/>
      <c r="E73" s="692"/>
      <c r="F73" s="692"/>
    </row>
    <row r="74" spans="1:6">
      <c r="A74" s="692"/>
      <c r="E74" s="692"/>
      <c r="F74" s="692"/>
    </row>
    <row r="75" spans="1:6">
      <c r="A75" s="692"/>
      <c r="E75" s="692"/>
      <c r="F75" s="692"/>
    </row>
    <row r="76" spans="1:6">
      <c r="A76" s="692"/>
      <c r="E76" s="692"/>
      <c r="F76" s="692"/>
    </row>
    <row r="77" spans="1:6">
      <c r="A77" s="692"/>
      <c r="E77" s="692"/>
      <c r="F77" s="692"/>
    </row>
    <row r="78" spans="1:6">
      <c r="A78" s="692"/>
      <c r="E78" s="692"/>
      <c r="F78" s="692"/>
    </row>
    <row r="79" spans="1:6">
      <c r="A79" s="692"/>
      <c r="E79" s="692"/>
      <c r="F79" s="692"/>
    </row>
    <row r="80" spans="1:6">
      <c r="A80" s="692"/>
      <c r="E80" s="692"/>
      <c r="F80" s="692"/>
    </row>
    <row r="81" spans="1:6">
      <c r="A81" s="692"/>
      <c r="E81" s="692"/>
      <c r="F81" s="692"/>
    </row>
    <row r="82" spans="1:6">
      <c r="A82" s="692"/>
      <c r="E82" s="692"/>
      <c r="F82" s="692"/>
    </row>
    <row r="83" spans="1:6">
      <c r="A83" s="692"/>
      <c r="E83" s="692"/>
      <c r="F83" s="692"/>
    </row>
    <row r="84" spans="1:6">
      <c r="A84" s="692"/>
      <c r="E84" s="692"/>
      <c r="F84" s="692"/>
    </row>
    <row r="85" spans="1:6">
      <c r="A85" s="692"/>
      <c r="E85" s="692"/>
      <c r="F85" s="692"/>
    </row>
    <row r="86" spans="1:6">
      <c r="A86" s="692"/>
      <c r="E86" s="692"/>
      <c r="F86" s="692"/>
    </row>
    <row r="87" spans="1:6">
      <c r="A87" s="692"/>
      <c r="E87" s="692"/>
      <c r="F87" s="692"/>
    </row>
    <row r="88" spans="1:6">
      <c r="A88" s="692"/>
      <c r="E88" s="692"/>
      <c r="F88" s="692"/>
    </row>
    <row r="89" spans="1:6">
      <c r="A89" s="692"/>
      <c r="E89" s="692"/>
      <c r="F89" s="692"/>
    </row>
    <row r="90" spans="1:6">
      <c r="A90" s="692"/>
      <c r="E90" s="692"/>
      <c r="F90" s="692"/>
    </row>
    <row r="91" spans="1:6">
      <c r="A91" s="692"/>
      <c r="E91" s="692"/>
      <c r="F91" s="692"/>
    </row>
    <row r="92" spans="1:6">
      <c r="A92" s="692"/>
      <c r="E92" s="692"/>
      <c r="F92" s="692"/>
    </row>
    <row r="93" spans="1:6">
      <c r="A93" s="692"/>
      <c r="E93" s="692"/>
      <c r="F93" s="692"/>
    </row>
    <row r="94" spans="1:6">
      <c r="A94" s="692"/>
      <c r="E94" s="692"/>
      <c r="F94" s="692"/>
    </row>
    <row r="95" spans="1:6">
      <c r="A95" s="692"/>
      <c r="E95" s="692"/>
      <c r="F95" s="692"/>
    </row>
    <row r="96" spans="1:6">
      <c r="A96" s="692"/>
      <c r="E96" s="692"/>
      <c r="F96" s="692"/>
    </row>
    <row r="97" spans="1:6">
      <c r="A97" s="692"/>
      <c r="E97" s="692"/>
      <c r="F97" s="692"/>
    </row>
    <row r="98" spans="1:6">
      <c r="A98" s="692"/>
      <c r="E98" s="692"/>
      <c r="F98" s="692"/>
    </row>
    <row r="99" spans="1:6">
      <c r="A99" s="692"/>
      <c r="E99" s="692"/>
      <c r="F99" s="692"/>
    </row>
    <row r="100" spans="1:6">
      <c r="A100" s="692"/>
      <c r="E100" s="692"/>
      <c r="F100" s="692"/>
    </row>
    <row r="101" spans="1:6">
      <c r="A101" s="692"/>
      <c r="E101" s="692"/>
      <c r="F101" s="692"/>
    </row>
    <row r="102" spans="1:6">
      <c r="A102" s="692"/>
      <c r="E102" s="692"/>
      <c r="F102" s="692"/>
    </row>
    <row r="103" spans="1:6">
      <c r="A103" s="692"/>
      <c r="E103" s="692"/>
      <c r="F103" s="692"/>
    </row>
    <row r="104" spans="1:6">
      <c r="A104" s="692"/>
      <c r="E104" s="692"/>
      <c r="F104" s="692"/>
    </row>
    <row r="105" spans="1:6">
      <c r="A105" s="692"/>
      <c r="E105" s="692"/>
      <c r="F105" s="692"/>
    </row>
    <row r="106" spans="1:6">
      <c r="A106" s="692"/>
      <c r="E106" s="692"/>
      <c r="F106" s="692"/>
    </row>
    <row r="107" spans="1:6">
      <c r="A107" s="692"/>
      <c r="E107" s="692"/>
      <c r="F107" s="692"/>
    </row>
    <row r="108" spans="1:6">
      <c r="A108" s="692"/>
      <c r="E108" s="692"/>
      <c r="F108" s="692"/>
    </row>
    <row r="109" spans="1:6">
      <c r="A109" s="692"/>
      <c r="E109" s="692"/>
      <c r="F109" s="692"/>
    </row>
    <row r="110" spans="1:6">
      <c r="A110" s="692"/>
      <c r="E110" s="692"/>
      <c r="F110" s="692"/>
    </row>
    <row r="111" spans="1:6">
      <c r="A111" s="692"/>
      <c r="E111" s="692"/>
      <c r="F111" s="692"/>
    </row>
    <row r="112" spans="1:6">
      <c r="A112" s="692"/>
      <c r="E112" s="692"/>
      <c r="F112" s="692"/>
    </row>
  </sheetData>
  <mergeCells count="1">
    <mergeCell ref="B4:C4"/>
  </mergeCells>
  <pageMargins left="0.86614173228346503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G78"/>
  <sheetViews>
    <sheetView zoomScaleNormal="100" workbookViewId="0">
      <selection activeCell="D13" sqref="D13"/>
    </sheetView>
  </sheetViews>
  <sheetFormatPr defaultColWidth="10.7109375" defaultRowHeight="15"/>
  <cols>
    <col min="1" max="1" width="1.7109375" style="397" customWidth="1"/>
    <col min="2" max="2" width="28.28515625" style="397" customWidth="1"/>
    <col min="3" max="3" width="9.140625" style="397" customWidth="1"/>
    <col min="4" max="4" width="10.28515625" style="397" customWidth="1"/>
    <col min="5" max="6" width="12.85546875" style="397" customWidth="1"/>
    <col min="7" max="7" width="13" style="397" customWidth="1"/>
    <col min="8" max="16384" width="10.7109375" style="397"/>
  </cols>
  <sheetData>
    <row r="1" spans="1:7" ht="24" customHeight="1">
      <c r="A1" s="394" t="s">
        <v>670</v>
      </c>
      <c r="B1" s="395"/>
      <c r="C1" s="396"/>
      <c r="D1" s="396"/>
      <c r="E1" s="396"/>
      <c r="F1" s="396"/>
      <c r="G1" s="396"/>
    </row>
    <row r="2" spans="1:7" ht="15" customHeight="1">
      <c r="A2" s="398"/>
      <c r="B2" s="399"/>
      <c r="C2" s="400"/>
      <c r="D2" s="400"/>
      <c r="E2" s="400"/>
      <c r="F2" s="400"/>
      <c r="G2" s="400"/>
    </row>
    <row r="3" spans="1:7" ht="15" customHeight="1">
      <c r="A3" s="401"/>
      <c r="B3" s="402"/>
      <c r="C3" s="402"/>
      <c r="D3" s="402"/>
      <c r="E3" s="402"/>
      <c r="F3" s="402"/>
      <c r="G3" s="403"/>
    </row>
    <row r="4" spans="1:7" ht="21.75" customHeight="1">
      <c r="A4" s="404"/>
      <c r="B4" s="404"/>
      <c r="C4" s="405" t="s">
        <v>19</v>
      </c>
      <c r="D4" s="405" t="s">
        <v>19</v>
      </c>
      <c r="E4" s="405" t="s">
        <v>351</v>
      </c>
      <c r="F4" s="405" t="s">
        <v>351</v>
      </c>
      <c r="G4" s="405" t="s">
        <v>291</v>
      </c>
    </row>
    <row r="5" spans="1:7" ht="21.75" customHeight="1">
      <c r="A5" s="406"/>
      <c r="B5" s="406"/>
      <c r="C5" s="381" t="s">
        <v>118</v>
      </c>
      <c r="D5" s="381" t="s">
        <v>24</v>
      </c>
      <c r="E5" s="381" t="s">
        <v>292</v>
      </c>
      <c r="F5" s="381" t="s">
        <v>292</v>
      </c>
      <c r="G5" s="381" t="s">
        <v>292</v>
      </c>
    </row>
    <row r="6" spans="1:7" ht="21.75" customHeight="1">
      <c r="A6" s="406"/>
      <c r="B6" s="406"/>
      <c r="C6" s="381" t="s">
        <v>28</v>
      </c>
      <c r="D6" s="381" t="s">
        <v>28</v>
      </c>
      <c r="E6" s="407" t="s">
        <v>175</v>
      </c>
      <c r="F6" s="407" t="s">
        <v>232</v>
      </c>
      <c r="G6" s="407" t="s">
        <v>232</v>
      </c>
    </row>
    <row r="7" spans="1:7" ht="21.75" customHeight="1">
      <c r="A7" s="406"/>
      <c r="B7" s="406"/>
      <c r="C7" s="408">
        <v>2025</v>
      </c>
      <c r="D7" s="408">
        <v>2025</v>
      </c>
      <c r="E7" s="409" t="s">
        <v>352</v>
      </c>
      <c r="F7" s="409" t="s">
        <v>346</v>
      </c>
      <c r="G7" s="409" t="s">
        <v>346</v>
      </c>
    </row>
    <row r="8" spans="1:7" ht="11.25" customHeight="1">
      <c r="A8" s="406"/>
      <c r="B8" s="406"/>
      <c r="C8" s="410"/>
      <c r="D8" s="410"/>
      <c r="E8" s="411"/>
      <c r="F8" s="411"/>
      <c r="G8" s="412"/>
    </row>
    <row r="9" spans="1:7" ht="21.75" customHeight="1">
      <c r="A9" s="413" t="s">
        <v>353</v>
      </c>
      <c r="B9" s="414"/>
      <c r="C9" s="415">
        <v>565852.18242724985</v>
      </c>
      <c r="D9" s="415">
        <v>4518815.9108872302</v>
      </c>
      <c r="E9" s="416">
        <v>101.33659037115859</v>
      </c>
      <c r="F9" s="416">
        <v>124.43768939033239</v>
      </c>
      <c r="G9" s="416">
        <v>122.55593170052288</v>
      </c>
    </row>
    <row r="10" spans="1:7" ht="21.75" customHeight="1">
      <c r="A10" s="417" t="s">
        <v>354</v>
      </c>
      <c r="B10" s="418"/>
      <c r="C10" s="415"/>
      <c r="D10" s="415"/>
      <c r="E10" s="416"/>
      <c r="F10" s="416"/>
      <c r="G10" s="416"/>
    </row>
    <row r="11" spans="1:7" ht="21.75" customHeight="1">
      <c r="A11" s="418"/>
      <c r="B11" s="418" t="s">
        <v>355</v>
      </c>
      <c r="C11" s="419">
        <v>564083.40184224991</v>
      </c>
      <c r="D11" s="419">
        <v>4504072.8</v>
      </c>
      <c r="E11" s="420">
        <v>101.32697214800915</v>
      </c>
      <c r="F11" s="420">
        <v>124.41589515550717</v>
      </c>
      <c r="G11" s="420">
        <v>122.59663496149959</v>
      </c>
    </row>
    <row r="12" spans="1:7" ht="21.75" customHeight="1">
      <c r="A12" s="418"/>
      <c r="B12" s="418" t="s">
        <v>356</v>
      </c>
      <c r="C12" s="419">
        <v>1768.780585</v>
      </c>
      <c r="D12" s="419">
        <v>14743.059584999999</v>
      </c>
      <c r="E12" s="420">
        <v>104.5</v>
      </c>
      <c r="F12" s="420">
        <v>131.800653421877</v>
      </c>
      <c r="G12" s="420">
        <v>111.26978504331223</v>
      </c>
    </row>
    <row r="13" spans="1:7" ht="21.75" customHeight="1">
      <c r="A13" s="417" t="s">
        <v>357</v>
      </c>
      <c r="B13" s="418"/>
      <c r="C13" s="415"/>
      <c r="D13" s="415"/>
      <c r="E13" s="416"/>
      <c r="F13" s="416"/>
      <c r="G13" s="416"/>
    </row>
    <row r="14" spans="1:7" ht="21.75" customHeight="1">
      <c r="A14" s="421"/>
      <c r="B14" s="421" t="s">
        <v>358</v>
      </c>
      <c r="C14" s="419">
        <v>3124.8648708907604</v>
      </c>
      <c r="D14" s="419">
        <v>29881.737211814656</v>
      </c>
      <c r="E14" s="420">
        <v>93.711591243975647</v>
      </c>
      <c r="F14" s="420">
        <v>208.91597476658967</v>
      </c>
      <c r="G14" s="420">
        <v>210.09129941306978</v>
      </c>
    </row>
    <row r="15" spans="1:7" ht="21.75" customHeight="1">
      <c r="A15" s="421"/>
      <c r="B15" s="421" t="s">
        <v>359</v>
      </c>
      <c r="C15" s="419">
        <v>788.95757349915289</v>
      </c>
      <c r="D15" s="419">
        <v>8979.3172597637258</v>
      </c>
      <c r="E15" s="420">
        <v>99.480256544186886</v>
      </c>
      <c r="F15" s="420">
        <v>120.46496401995155</v>
      </c>
      <c r="G15" s="422">
        <v>92.024694218932098</v>
      </c>
    </row>
    <row r="16" spans="1:7" ht="21.75" customHeight="1">
      <c r="A16" s="421"/>
      <c r="B16" s="421" t="s">
        <v>360</v>
      </c>
      <c r="C16" s="419">
        <v>31629.057067752961</v>
      </c>
      <c r="D16" s="419">
        <v>308423.59056597238</v>
      </c>
      <c r="E16" s="420">
        <v>101.90240937525017</v>
      </c>
      <c r="F16" s="420">
        <v>115.0733757808438</v>
      </c>
      <c r="G16" s="420">
        <v>115.70415792886888</v>
      </c>
    </row>
    <row r="17" spans="1:7" ht="21.75" customHeight="1">
      <c r="A17" s="421"/>
      <c r="B17" s="421" t="s">
        <v>361</v>
      </c>
      <c r="C17" s="419">
        <v>525124.90977010701</v>
      </c>
      <c r="D17" s="419">
        <v>4127729.85</v>
      </c>
      <c r="E17" s="420">
        <v>101.32007028404388</v>
      </c>
      <c r="F17" s="420">
        <v>124.60965501183465</v>
      </c>
      <c r="G17" s="420">
        <v>122.95721480960422</v>
      </c>
    </row>
    <row r="18" spans="1:7" ht="21.75" customHeight="1">
      <c r="A18" s="421"/>
      <c r="B18" s="421" t="s">
        <v>362</v>
      </c>
      <c r="C18" s="419">
        <v>5184.3931450000009</v>
      </c>
      <c r="D18" s="419">
        <v>43801.432144999999</v>
      </c>
      <c r="E18" s="420">
        <v>104.96012657830629</v>
      </c>
      <c r="F18" s="420">
        <v>141.08144291097742</v>
      </c>
      <c r="G18" s="420">
        <v>110.72933509671439</v>
      </c>
    </row>
    <row r="19" spans="1:7" ht="21.75" customHeight="1">
      <c r="A19" s="421"/>
      <c r="B19" s="421"/>
      <c r="C19" s="423"/>
      <c r="D19" s="423"/>
      <c r="E19" s="424"/>
      <c r="F19" s="424"/>
      <c r="G19" s="424"/>
    </row>
    <row r="20" spans="1:7" ht="21.75" customHeight="1">
      <c r="A20" s="413" t="s">
        <v>363</v>
      </c>
      <c r="B20" s="414"/>
      <c r="C20" s="415">
        <v>28170.9854012344</v>
      </c>
      <c r="D20" s="415">
        <v>235242.00472475684</v>
      </c>
      <c r="E20" s="416">
        <v>101.92918119809372</v>
      </c>
      <c r="F20" s="425">
        <v>124.01060125107671</v>
      </c>
      <c r="G20" s="416">
        <v>115.23489560594878</v>
      </c>
    </row>
    <row r="21" spans="1:7" ht="21.75" customHeight="1">
      <c r="A21" s="417" t="s">
        <v>354</v>
      </c>
      <c r="B21" s="418"/>
      <c r="C21" s="415"/>
      <c r="D21" s="415"/>
      <c r="E21" s="416"/>
      <c r="F21" s="426"/>
      <c r="G21" s="416"/>
    </row>
    <row r="22" spans="1:7" ht="21.75" customHeight="1">
      <c r="A22" s="418"/>
      <c r="B22" s="418" t="s">
        <v>355</v>
      </c>
      <c r="C22" s="419">
        <v>22493.1030389394</v>
      </c>
      <c r="D22" s="419">
        <v>188094.66162646186</v>
      </c>
      <c r="E22" s="420">
        <v>101.30010667455518</v>
      </c>
      <c r="F22" s="420">
        <v>122.52938295661858</v>
      </c>
      <c r="G22" s="420">
        <v>116.40710879615932</v>
      </c>
    </row>
    <row r="23" spans="1:7" ht="21.75" customHeight="1">
      <c r="A23" s="418"/>
      <c r="B23" s="418" t="s">
        <v>356</v>
      </c>
      <c r="C23" s="419">
        <v>5677.8823622950022</v>
      </c>
      <c r="D23" s="419">
        <v>47147.343098295001</v>
      </c>
      <c r="E23" s="420">
        <v>104.5</v>
      </c>
      <c r="F23" s="420">
        <v>130.24814115908009</v>
      </c>
      <c r="G23" s="420">
        <v>110.7842366485788</v>
      </c>
    </row>
    <row r="24" spans="1:7" ht="21.75" customHeight="1">
      <c r="A24" s="417" t="s">
        <v>357</v>
      </c>
      <c r="B24" s="418"/>
      <c r="C24" s="415"/>
      <c r="D24" s="415"/>
      <c r="E24" s="416"/>
      <c r="F24" s="416"/>
      <c r="G24" s="416"/>
    </row>
    <row r="25" spans="1:7" ht="21.75" customHeight="1">
      <c r="A25" s="421"/>
      <c r="B25" s="421" t="s">
        <v>358</v>
      </c>
      <c r="C25" s="419">
        <v>227.16064052190433</v>
      </c>
      <c r="D25" s="419">
        <v>2722.7437431835865</v>
      </c>
      <c r="E25" s="420">
        <v>69.556735811915743</v>
      </c>
      <c r="F25" s="420">
        <v>95.532750668426388</v>
      </c>
      <c r="G25" s="420">
        <v>113.77970306609735</v>
      </c>
    </row>
    <row r="26" spans="1:7" ht="21.75" customHeight="1">
      <c r="A26" s="421"/>
      <c r="B26" s="421" t="s">
        <v>359</v>
      </c>
      <c r="C26" s="419">
        <v>67.051559050084322</v>
      </c>
      <c r="D26" s="419">
        <v>694.85195552997743</v>
      </c>
      <c r="E26" s="420">
        <v>100.13799725944763</v>
      </c>
      <c r="F26" s="420">
        <v>128.06664468348276</v>
      </c>
      <c r="G26" s="420">
        <v>107.30261545352595</v>
      </c>
    </row>
    <row r="27" spans="1:7" ht="21.75" customHeight="1">
      <c r="A27" s="421"/>
      <c r="B27" s="421" t="s">
        <v>360</v>
      </c>
      <c r="C27" s="419">
        <v>920.71369717866537</v>
      </c>
      <c r="D27" s="419">
        <v>7205.6989088348819</v>
      </c>
      <c r="E27" s="420">
        <v>100.18143036402378</v>
      </c>
      <c r="F27" s="420">
        <v>126.24073590560681</v>
      </c>
      <c r="G27" s="420">
        <v>123.64706279216793</v>
      </c>
    </row>
    <row r="28" spans="1:7" ht="21.75" customHeight="1">
      <c r="A28" s="421"/>
      <c r="B28" s="421" t="s">
        <v>361</v>
      </c>
      <c r="C28" s="419">
        <v>18327.828992788742</v>
      </c>
      <c r="D28" s="419">
        <v>152156.29043951299</v>
      </c>
      <c r="E28" s="420">
        <v>101.32971187534974</v>
      </c>
      <c r="F28" s="420">
        <v>120.3702905699447</v>
      </c>
      <c r="G28" s="420">
        <v>117.55095396907933</v>
      </c>
    </row>
    <row r="29" spans="1:7" ht="21.75" customHeight="1">
      <c r="A29" s="421"/>
      <c r="B29" s="421" t="s">
        <v>362</v>
      </c>
      <c r="C29" s="419">
        <v>8628.2305116950029</v>
      </c>
      <c r="D29" s="419">
        <v>72462.419677695012</v>
      </c>
      <c r="E29" s="420">
        <v>104.73830841793472</v>
      </c>
      <c r="F29" s="420">
        <v>133.33861550668155</v>
      </c>
      <c r="G29" s="420">
        <v>110.06752354350171</v>
      </c>
    </row>
    <row r="30" spans="1:7" ht="20.100000000000001" customHeight="1">
      <c r="A30" s="427"/>
      <c r="B30" s="427"/>
      <c r="C30" s="428"/>
      <c r="D30" s="428"/>
      <c r="E30" s="429"/>
      <c r="F30" s="429"/>
      <c r="G30" s="429"/>
    </row>
    <row r="31" spans="1:7" ht="15" customHeight="1">
      <c r="A31" s="430"/>
      <c r="B31" s="430"/>
      <c r="C31" s="430"/>
      <c r="D31" s="431"/>
      <c r="E31" s="431"/>
      <c r="F31" s="431"/>
      <c r="G31" s="430"/>
    </row>
    <row r="32" spans="1:7" ht="15" customHeight="1">
      <c r="A32" s="430"/>
      <c r="B32" s="430"/>
      <c r="C32" s="430"/>
      <c r="D32" s="431"/>
      <c r="E32" s="431"/>
      <c r="F32" s="431"/>
      <c r="G32" s="430"/>
    </row>
    <row r="33" spans="1:7" ht="15" customHeight="1">
      <c r="A33" s="430"/>
      <c r="B33" s="430"/>
      <c r="C33" s="430"/>
      <c r="D33" s="431"/>
      <c r="E33" s="431"/>
      <c r="F33" s="431"/>
      <c r="G33" s="430"/>
    </row>
    <row r="34" spans="1:7" ht="15" customHeight="1">
      <c r="A34" s="430"/>
      <c r="B34" s="430"/>
      <c r="C34" s="430"/>
      <c r="D34" s="431"/>
      <c r="E34" s="431"/>
      <c r="F34" s="431"/>
      <c r="G34" s="430"/>
    </row>
    <row r="35" spans="1:7" ht="15" customHeight="1">
      <c r="A35" s="430"/>
      <c r="B35" s="430"/>
      <c r="C35" s="430"/>
      <c r="D35" s="431"/>
      <c r="E35" s="431"/>
      <c r="F35" s="431"/>
      <c r="G35" s="430"/>
    </row>
    <row r="36" spans="1:7" ht="15" customHeight="1">
      <c r="A36" s="430"/>
      <c r="B36" s="430"/>
      <c r="C36" s="430"/>
      <c r="D36" s="431"/>
      <c r="E36" s="431"/>
      <c r="F36" s="431"/>
      <c r="G36" s="430"/>
    </row>
    <row r="37" spans="1:7" ht="15" customHeight="1">
      <c r="A37" s="430"/>
      <c r="B37" s="430"/>
      <c r="C37" s="430"/>
      <c r="D37" s="431"/>
      <c r="E37" s="431"/>
      <c r="F37" s="431"/>
      <c r="G37" s="430"/>
    </row>
    <row r="38" spans="1:7" ht="15" customHeight="1">
      <c r="A38" s="430"/>
      <c r="B38" s="430"/>
      <c r="C38" s="430"/>
      <c r="D38" s="431"/>
      <c r="E38" s="431"/>
      <c r="F38" s="431"/>
      <c r="G38" s="430"/>
    </row>
    <row r="39" spans="1:7" ht="15" customHeight="1">
      <c r="A39" s="430"/>
      <c r="B39" s="430"/>
      <c r="C39" s="430"/>
      <c r="D39" s="431"/>
      <c r="E39" s="431"/>
      <c r="F39" s="431"/>
      <c r="G39" s="430"/>
    </row>
    <row r="40" spans="1:7" ht="15" customHeight="1">
      <c r="A40" s="430"/>
      <c r="B40" s="430"/>
      <c r="C40" s="430"/>
      <c r="D40" s="431"/>
      <c r="E40" s="431"/>
      <c r="F40" s="431"/>
      <c r="G40" s="430"/>
    </row>
    <row r="41" spans="1:7" ht="15" customHeight="1">
      <c r="A41" s="430"/>
      <c r="B41" s="430"/>
      <c r="C41" s="430"/>
      <c r="D41" s="431"/>
      <c r="E41" s="431"/>
      <c r="F41" s="431"/>
      <c r="G41" s="430"/>
    </row>
    <row r="42" spans="1:7" ht="15" customHeight="1">
      <c r="A42" s="430"/>
      <c r="B42" s="430"/>
      <c r="C42" s="430"/>
      <c r="D42" s="431"/>
      <c r="E42" s="431"/>
      <c r="F42" s="431"/>
      <c r="G42" s="430"/>
    </row>
    <row r="43" spans="1:7" ht="15" customHeight="1">
      <c r="A43" s="430"/>
      <c r="B43" s="430"/>
      <c r="C43" s="430"/>
      <c r="D43" s="431"/>
      <c r="E43" s="431"/>
      <c r="F43" s="431"/>
      <c r="G43" s="430"/>
    </row>
    <row r="44" spans="1:7" ht="15" customHeight="1">
      <c r="A44" s="430"/>
      <c r="B44" s="430"/>
      <c r="C44" s="430"/>
      <c r="D44" s="431"/>
      <c r="E44" s="431"/>
      <c r="F44" s="431"/>
      <c r="G44" s="430"/>
    </row>
    <row r="45" spans="1:7" ht="15" customHeight="1">
      <c r="A45" s="430"/>
      <c r="B45" s="430"/>
      <c r="C45" s="430"/>
      <c r="D45" s="431"/>
      <c r="E45" s="431"/>
      <c r="F45" s="431"/>
      <c r="G45" s="430"/>
    </row>
    <row r="46" spans="1:7" ht="15" customHeight="1">
      <c r="A46" s="430"/>
      <c r="B46" s="430"/>
      <c r="C46" s="430"/>
      <c r="D46" s="431"/>
      <c r="E46" s="431"/>
      <c r="F46" s="431"/>
      <c r="G46" s="430"/>
    </row>
    <row r="47" spans="1:7" ht="15" customHeight="1">
      <c r="A47" s="430"/>
      <c r="B47" s="430"/>
      <c r="C47" s="430"/>
      <c r="D47" s="431"/>
      <c r="E47" s="431"/>
      <c r="F47" s="431"/>
      <c r="G47" s="430"/>
    </row>
    <row r="48" spans="1:7" ht="15" customHeight="1">
      <c r="A48" s="430"/>
      <c r="B48" s="430"/>
      <c r="C48" s="430"/>
      <c r="D48" s="431"/>
      <c r="E48" s="431"/>
      <c r="F48" s="431"/>
      <c r="G48" s="430"/>
    </row>
    <row r="49" spans="1:7" ht="15" customHeight="1">
      <c r="A49" s="430"/>
      <c r="B49" s="430"/>
      <c r="C49" s="430"/>
      <c r="D49" s="431"/>
      <c r="E49" s="431"/>
      <c r="F49" s="431"/>
      <c r="G49" s="430"/>
    </row>
    <row r="50" spans="1:7" ht="15" customHeight="1">
      <c r="A50" s="430"/>
      <c r="B50" s="430"/>
      <c r="C50" s="430"/>
      <c r="D50" s="431"/>
      <c r="E50" s="431"/>
      <c r="F50" s="431"/>
      <c r="G50" s="430"/>
    </row>
    <row r="51" spans="1:7" ht="15" customHeight="1">
      <c r="A51" s="430"/>
      <c r="B51" s="430"/>
      <c r="C51" s="430"/>
      <c r="D51" s="431"/>
      <c r="E51" s="431"/>
      <c r="F51" s="431"/>
      <c r="G51" s="430"/>
    </row>
    <row r="52" spans="1:7" ht="15" customHeight="1">
      <c r="A52" s="430"/>
      <c r="B52" s="430"/>
      <c r="C52" s="430"/>
      <c r="D52" s="431"/>
      <c r="E52" s="431"/>
      <c r="F52" s="431"/>
      <c r="G52" s="430"/>
    </row>
    <row r="53" spans="1:7" ht="15" customHeight="1">
      <c r="A53" s="430"/>
      <c r="B53" s="430"/>
      <c r="C53" s="430"/>
      <c r="D53" s="431"/>
      <c r="E53" s="431"/>
      <c r="F53" s="431"/>
      <c r="G53" s="430"/>
    </row>
    <row r="54" spans="1:7" ht="15" customHeight="1">
      <c r="A54" s="430"/>
      <c r="B54" s="430"/>
      <c r="C54" s="430"/>
      <c r="D54" s="431"/>
      <c r="E54" s="431"/>
      <c r="F54" s="431"/>
      <c r="G54" s="430"/>
    </row>
    <row r="55" spans="1:7" ht="15" customHeight="1">
      <c r="A55" s="430"/>
      <c r="B55" s="430"/>
      <c r="C55" s="430"/>
      <c r="D55" s="431"/>
      <c r="E55" s="431"/>
      <c r="F55" s="431"/>
      <c r="G55" s="430"/>
    </row>
    <row r="56" spans="1:7" ht="15" customHeight="1">
      <c r="A56" s="430"/>
      <c r="B56" s="430"/>
      <c r="C56" s="430"/>
      <c r="D56" s="431"/>
      <c r="E56" s="431"/>
      <c r="F56" s="431"/>
      <c r="G56" s="430"/>
    </row>
    <row r="57" spans="1:7" ht="15" customHeight="1">
      <c r="A57" s="430"/>
      <c r="B57" s="430"/>
      <c r="C57" s="430"/>
      <c r="D57" s="431"/>
      <c r="E57" s="431"/>
      <c r="F57" s="431"/>
      <c r="G57" s="430"/>
    </row>
    <row r="58" spans="1:7" ht="15" customHeight="1">
      <c r="A58" s="430"/>
      <c r="B58" s="430"/>
      <c r="C58" s="430"/>
      <c r="D58" s="431"/>
      <c r="E58" s="431"/>
      <c r="F58" s="431"/>
      <c r="G58" s="430"/>
    </row>
    <row r="59" spans="1:7" ht="15.75">
      <c r="A59" s="430"/>
      <c r="B59" s="430"/>
      <c r="C59" s="430"/>
      <c r="D59" s="431"/>
      <c r="E59" s="431"/>
      <c r="F59" s="431"/>
      <c r="G59" s="430"/>
    </row>
    <row r="60" spans="1:7" ht="15.75">
      <c r="A60" s="430"/>
      <c r="B60" s="430"/>
      <c r="C60" s="430"/>
      <c r="D60" s="431"/>
      <c r="E60" s="431"/>
      <c r="F60" s="431"/>
      <c r="G60" s="430"/>
    </row>
    <row r="61" spans="1:7" ht="15.75">
      <c r="A61" s="430"/>
      <c r="B61" s="430"/>
      <c r="C61" s="430"/>
      <c r="D61" s="431"/>
      <c r="E61" s="431"/>
      <c r="F61" s="431"/>
      <c r="G61" s="430"/>
    </row>
    <row r="62" spans="1:7" ht="15.75">
      <c r="A62" s="430"/>
      <c r="B62" s="430"/>
      <c r="C62" s="430"/>
      <c r="D62" s="431"/>
      <c r="E62" s="431"/>
      <c r="F62" s="431"/>
      <c r="G62" s="430"/>
    </row>
    <row r="63" spans="1:7" ht="15.75">
      <c r="A63" s="430"/>
      <c r="B63" s="430"/>
      <c r="C63" s="430"/>
      <c r="D63" s="431"/>
      <c r="E63" s="431"/>
      <c r="F63" s="431"/>
      <c r="G63" s="430"/>
    </row>
    <row r="64" spans="1:7" ht="15.75">
      <c r="A64" s="430"/>
      <c r="B64" s="430"/>
      <c r="C64" s="430"/>
      <c r="D64" s="431"/>
      <c r="E64" s="431"/>
      <c r="F64" s="431"/>
      <c r="G64" s="430"/>
    </row>
    <row r="65" spans="1:7" ht="15.75">
      <c r="A65" s="430"/>
      <c r="B65" s="430"/>
      <c r="C65" s="430"/>
      <c r="D65" s="431"/>
      <c r="E65" s="431"/>
      <c r="F65" s="431"/>
      <c r="G65" s="430"/>
    </row>
    <row r="66" spans="1:7" ht="15.75">
      <c r="A66" s="430"/>
      <c r="B66" s="430"/>
      <c r="C66" s="430"/>
      <c r="D66" s="431"/>
      <c r="E66" s="431"/>
      <c r="F66" s="431"/>
      <c r="G66" s="430"/>
    </row>
    <row r="67" spans="1:7" ht="15.75">
      <c r="A67" s="430"/>
      <c r="B67" s="430"/>
      <c r="C67" s="430"/>
      <c r="D67" s="431"/>
      <c r="E67" s="431"/>
      <c r="F67" s="431"/>
      <c r="G67" s="430"/>
    </row>
    <row r="68" spans="1:7" ht="15.75">
      <c r="A68" s="430"/>
      <c r="B68" s="430"/>
      <c r="C68" s="430"/>
      <c r="D68" s="431"/>
      <c r="E68" s="431"/>
      <c r="F68" s="431"/>
      <c r="G68" s="430"/>
    </row>
    <row r="69" spans="1:7" ht="15.75">
      <c r="A69" s="430"/>
      <c r="B69" s="430"/>
      <c r="C69" s="430"/>
      <c r="D69" s="431"/>
      <c r="E69" s="431"/>
      <c r="F69" s="431"/>
      <c r="G69" s="430"/>
    </row>
    <row r="70" spans="1:7" ht="15.75">
      <c r="A70" s="430"/>
      <c r="B70" s="430"/>
      <c r="C70" s="430"/>
      <c r="D70" s="431"/>
      <c r="E70" s="431"/>
      <c r="F70" s="431"/>
      <c r="G70" s="430"/>
    </row>
    <row r="71" spans="1:7" ht="15.75">
      <c r="A71" s="430"/>
      <c r="B71" s="430"/>
      <c r="C71" s="430"/>
      <c r="D71" s="431"/>
      <c r="E71" s="431"/>
      <c r="F71" s="431"/>
      <c r="G71" s="430"/>
    </row>
    <row r="72" spans="1:7" ht="15.75">
      <c r="A72" s="430"/>
      <c r="B72" s="430"/>
      <c r="C72" s="430"/>
      <c r="D72" s="431"/>
      <c r="E72" s="431"/>
      <c r="F72" s="431"/>
      <c r="G72" s="430"/>
    </row>
    <row r="73" spans="1:7" ht="15.75">
      <c r="A73" s="430"/>
      <c r="B73" s="430"/>
      <c r="C73" s="430"/>
      <c r="D73" s="431"/>
      <c r="E73" s="431"/>
      <c r="F73" s="431"/>
      <c r="G73" s="430"/>
    </row>
    <row r="74" spans="1:7" ht="15.75">
      <c r="A74" s="430"/>
      <c r="B74" s="430"/>
      <c r="C74" s="430"/>
      <c r="D74" s="431"/>
      <c r="E74" s="431"/>
      <c r="F74" s="431"/>
      <c r="G74" s="430"/>
    </row>
    <row r="75" spans="1:7" ht="15.75">
      <c r="A75" s="430"/>
      <c r="B75" s="430"/>
      <c r="C75" s="430"/>
      <c r="D75" s="431"/>
      <c r="E75" s="431"/>
      <c r="F75" s="431"/>
      <c r="G75" s="430"/>
    </row>
    <row r="76" spans="1:7" ht="15.75">
      <c r="A76" s="430"/>
      <c r="B76" s="430"/>
      <c r="C76" s="430"/>
      <c r="D76" s="431"/>
      <c r="E76" s="431"/>
      <c r="F76" s="431"/>
      <c r="G76" s="430"/>
    </row>
    <row r="77" spans="1:7" ht="15.75">
      <c r="A77" s="430"/>
      <c r="B77" s="430"/>
      <c r="C77" s="430"/>
      <c r="D77" s="431"/>
      <c r="E77" s="431"/>
      <c r="F77" s="431"/>
      <c r="G77" s="430"/>
    </row>
    <row r="78" spans="1:7" ht="15.75">
      <c r="A78" s="430"/>
      <c r="B78" s="430"/>
      <c r="C78" s="430"/>
      <c r="D78" s="431"/>
      <c r="E78" s="431"/>
      <c r="F78" s="431"/>
      <c r="G78" s="430"/>
    </row>
  </sheetData>
  <pageMargins left="0.86614173228346503" right="0.17" top="0.74803149606299202" bottom="0.511811023622047" header="0.43307086614173201" footer="0.31496062992126"/>
  <pageSetup paperSize="9" firstPageNumber="38" orientation="portrait" r:id="rId1"/>
  <headerFooter alignWithMargins="0">
    <oddHeader>&amp;C&amp;"Times New Roman,Regular"&amp;13&amp;P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F77"/>
  <sheetViews>
    <sheetView zoomScaleNormal="100" workbookViewId="0">
      <selection activeCell="D13" sqref="D13"/>
    </sheetView>
  </sheetViews>
  <sheetFormatPr defaultColWidth="10.7109375" defaultRowHeight="15"/>
  <cols>
    <col min="1" max="1" width="1.7109375" style="435" customWidth="1"/>
    <col min="2" max="2" width="34.85546875" style="435" customWidth="1"/>
    <col min="3" max="4" width="10.7109375" style="435" customWidth="1"/>
    <col min="5" max="5" width="13.140625" style="435" customWidth="1"/>
    <col min="6" max="6" width="13.28515625" style="435" customWidth="1"/>
    <col min="7" max="16384" width="10.7109375" style="435"/>
  </cols>
  <sheetData>
    <row r="1" spans="1:6" ht="20.100000000000001" customHeight="1">
      <c r="A1" s="432" t="s">
        <v>671</v>
      </c>
      <c r="B1" s="433"/>
      <c r="C1" s="434"/>
      <c r="D1" s="434"/>
      <c r="E1" s="434"/>
      <c r="F1" s="434"/>
    </row>
    <row r="2" spans="1:6" ht="20.100000000000001" customHeight="1">
      <c r="A2" s="436"/>
      <c r="B2" s="437"/>
      <c r="C2" s="438"/>
      <c r="D2" s="438"/>
      <c r="E2" s="438"/>
      <c r="F2" s="438"/>
    </row>
    <row r="3" spans="1:6" ht="20.100000000000001" customHeight="1">
      <c r="A3" s="439"/>
      <c r="B3" s="440"/>
      <c r="C3" s="441"/>
      <c r="D3" s="441"/>
      <c r="E3" s="440"/>
      <c r="F3" s="440"/>
    </row>
    <row r="4" spans="1:6" ht="20.100000000000001" customHeight="1">
      <c r="A4" s="442"/>
      <c r="B4" s="442"/>
      <c r="C4" s="443" t="s">
        <v>340</v>
      </c>
      <c r="D4" s="443" t="s">
        <v>19</v>
      </c>
      <c r="E4" s="901" t="s">
        <v>21</v>
      </c>
      <c r="F4" s="901"/>
    </row>
    <row r="5" spans="1:6" ht="20.100000000000001" customHeight="1">
      <c r="A5" s="444"/>
      <c r="B5" s="444"/>
      <c r="C5" s="443" t="s">
        <v>22</v>
      </c>
      <c r="D5" s="443" t="s">
        <v>42</v>
      </c>
      <c r="E5" s="443" t="s">
        <v>25</v>
      </c>
      <c r="F5" s="381" t="s">
        <v>26</v>
      </c>
    </row>
    <row r="6" spans="1:6" ht="20.100000000000001" customHeight="1">
      <c r="A6" s="444"/>
      <c r="B6" s="444"/>
      <c r="C6" s="445" t="s">
        <v>53</v>
      </c>
      <c r="D6" s="445" t="s">
        <v>53</v>
      </c>
      <c r="E6" s="445" t="s">
        <v>53</v>
      </c>
      <c r="F6" s="445" t="s">
        <v>53</v>
      </c>
    </row>
    <row r="7" spans="1:6" ht="20.100000000000001" customHeight="1">
      <c r="A7" s="444"/>
      <c r="B7" s="444"/>
      <c r="C7" s="446"/>
      <c r="D7" s="446"/>
      <c r="E7" s="447"/>
      <c r="F7" s="447"/>
    </row>
    <row r="8" spans="1:6" ht="20.100000000000001" customHeight="1">
      <c r="A8" s="448" t="s">
        <v>353</v>
      </c>
      <c r="B8" s="449"/>
      <c r="C8" s="450">
        <v>1469410.9200713499</v>
      </c>
      <c r="D8" s="450">
        <v>1655090.2663554782</v>
      </c>
      <c r="E8" s="451">
        <v>126.48033285753426</v>
      </c>
      <c r="F8" s="451">
        <v>125.09956914921668</v>
      </c>
    </row>
    <row r="9" spans="1:6" ht="20.100000000000001" customHeight="1">
      <c r="A9" s="452" t="s">
        <v>354</v>
      </c>
      <c r="B9" s="453"/>
      <c r="C9" s="450"/>
      <c r="D9" s="450"/>
      <c r="E9" s="451"/>
      <c r="F9" s="451"/>
    </row>
    <row r="10" spans="1:6" ht="20.100000000000001" customHeight="1">
      <c r="A10" s="453"/>
      <c r="B10" s="453" t="s">
        <v>355</v>
      </c>
      <c r="C10" s="454">
        <v>1464671.8280713498</v>
      </c>
      <c r="D10" s="454">
        <v>1649931.5207704785</v>
      </c>
      <c r="E10" s="455">
        <v>126.54260702831417</v>
      </c>
      <c r="F10" s="455">
        <v>125.12325892217567</v>
      </c>
    </row>
    <row r="11" spans="1:6" ht="20.100000000000001" customHeight="1">
      <c r="A11" s="453"/>
      <c r="B11" s="453" t="s">
        <v>356</v>
      </c>
      <c r="C11" s="454">
        <v>4739.0919999999996</v>
      </c>
      <c r="D11" s="454">
        <v>5158.75</v>
      </c>
      <c r="E11" s="455">
        <v>109.78285470188823</v>
      </c>
      <c r="F11" s="455">
        <v>117.95678405001122</v>
      </c>
    </row>
    <row r="12" spans="1:6" ht="20.100000000000001" customHeight="1">
      <c r="A12" s="452" t="s">
        <v>357</v>
      </c>
      <c r="B12" s="453"/>
      <c r="C12" s="456"/>
      <c r="D12" s="456"/>
      <c r="E12" s="451"/>
      <c r="F12" s="451"/>
    </row>
    <row r="13" spans="1:6" ht="20.100000000000001" customHeight="1">
      <c r="A13" s="457"/>
      <c r="B13" s="457" t="s">
        <v>358</v>
      </c>
      <c r="C13" s="454">
        <v>8700.5020000000004</v>
      </c>
      <c r="D13" s="454">
        <v>9502.4682118146557</v>
      </c>
      <c r="E13" s="455">
        <v>183.62474164750856</v>
      </c>
      <c r="F13" s="455">
        <v>191.97975911009695</v>
      </c>
    </row>
    <row r="14" spans="1:6" ht="20.100000000000001" customHeight="1">
      <c r="A14" s="457"/>
      <c r="B14" s="457" t="s">
        <v>359</v>
      </c>
      <c r="C14" s="454">
        <v>2544.883688557863</v>
      </c>
      <c r="D14" s="454">
        <v>2652.9787234058444</v>
      </c>
      <c r="E14" s="455">
        <v>118.29722631853967</v>
      </c>
      <c r="F14" s="455">
        <v>99.199914015578301</v>
      </c>
    </row>
    <row r="15" spans="1:6" ht="20.100000000000001" customHeight="1">
      <c r="A15" s="457"/>
      <c r="B15" s="457" t="s">
        <v>360</v>
      </c>
      <c r="C15" s="454">
        <v>93887.27834119412</v>
      </c>
      <c r="D15" s="454">
        <v>94531.269220086164</v>
      </c>
      <c r="E15" s="455">
        <v>110.56740656720636</v>
      </c>
      <c r="F15" s="455">
        <v>116.28980293232969</v>
      </c>
    </row>
    <row r="16" spans="1:6" ht="20.100000000000001" customHeight="1">
      <c r="A16" s="457"/>
      <c r="B16" s="457" t="s">
        <v>361</v>
      </c>
      <c r="C16" s="454">
        <v>1349911.5250415979</v>
      </c>
      <c r="D16" s="454">
        <v>1532876.9</v>
      </c>
      <c r="E16" s="455">
        <v>127.7068491048672</v>
      </c>
      <c r="F16" s="455">
        <v>125.58054999609396</v>
      </c>
    </row>
    <row r="17" spans="1:6" ht="20.100000000000001" customHeight="1">
      <c r="A17" s="457"/>
      <c r="B17" s="457" t="s">
        <v>362</v>
      </c>
      <c r="C17" s="454">
        <v>14366.731</v>
      </c>
      <c r="D17" s="454">
        <v>15526.586645000003</v>
      </c>
      <c r="E17" s="455">
        <v>111.13305312974158</v>
      </c>
      <c r="F17" s="455">
        <v>115.24732699915123</v>
      </c>
    </row>
    <row r="18" spans="1:6" ht="20.100000000000001" customHeight="1">
      <c r="A18" s="457"/>
      <c r="B18" s="457"/>
      <c r="C18" s="458"/>
      <c r="D18" s="458"/>
      <c r="E18" s="459"/>
      <c r="F18" s="459"/>
    </row>
    <row r="19" spans="1:6" ht="20.100000000000001" customHeight="1">
      <c r="A19" s="448" t="s">
        <v>363</v>
      </c>
      <c r="B19" s="449"/>
      <c r="C19" s="450">
        <v>76335.997284374345</v>
      </c>
      <c r="D19" s="450">
        <v>83021.35952482649</v>
      </c>
      <c r="E19" s="451">
        <v>115.63713409203946</v>
      </c>
      <c r="F19" s="451">
        <v>117.98518986338745</v>
      </c>
    </row>
    <row r="20" spans="1:6" ht="20.100000000000001" customHeight="1">
      <c r="A20" s="452" t="s">
        <v>354</v>
      </c>
      <c r="B20" s="453"/>
      <c r="C20" s="450"/>
      <c r="D20" s="450"/>
      <c r="E20" s="451"/>
      <c r="F20" s="451"/>
    </row>
    <row r="21" spans="1:6" ht="20.100000000000001" customHeight="1">
      <c r="A21" s="453"/>
      <c r="B21" s="453" t="s">
        <v>355</v>
      </c>
      <c r="C21" s="454">
        <v>61463.250259374341</v>
      </c>
      <c r="D21" s="454">
        <v>66460.649999999994</v>
      </c>
      <c r="E21" s="455">
        <v>117.6070130920599</v>
      </c>
      <c r="F21" s="455">
        <v>117.99612636417037</v>
      </c>
    </row>
    <row r="22" spans="1:6" ht="20.100000000000001" customHeight="1">
      <c r="A22" s="453"/>
      <c r="B22" s="453" t="s">
        <v>356</v>
      </c>
      <c r="C22" s="454">
        <v>14872.747025000006</v>
      </c>
      <c r="D22" s="454">
        <v>16560.710469295005</v>
      </c>
      <c r="E22" s="455">
        <v>108.15094197281236</v>
      </c>
      <c r="F22" s="455">
        <v>117.94132040854977</v>
      </c>
    </row>
    <row r="23" spans="1:6" ht="20.100000000000001" customHeight="1">
      <c r="A23" s="452" t="s">
        <v>357</v>
      </c>
      <c r="B23" s="453"/>
      <c r="C23" s="456"/>
      <c r="D23" s="456"/>
      <c r="E23" s="451"/>
      <c r="F23" s="451"/>
    </row>
    <row r="24" spans="1:6" ht="20.100000000000001" customHeight="1">
      <c r="A24" s="457"/>
      <c r="B24" s="457" t="s">
        <v>358</v>
      </c>
      <c r="C24" s="454">
        <v>919.55188299999998</v>
      </c>
      <c r="D24" s="454">
        <v>985.55</v>
      </c>
      <c r="E24" s="455">
        <v>115.09346301008433</v>
      </c>
      <c r="F24" s="455">
        <v>111.19538903979111</v>
      </c>
    </row>
    <row r="25" spans="1:6" ht="20.100000000000001" customHeight="1">
      <c r="A25" s="457"/>
      <c r="B25" s="457" t="s">
        <v>359</v>
      </c>
      <c r="C25" s="454">
        <v>250.81704886817874</v>
      </c>
      <c r="D25" s="454">
        <v>241.84321742117612</v>
      </c>
      <c r="E25" s="455">
        <v>133.30231084780655</v>
      </c>
      <c r="F25" s="455">
        <v>106.31657896418906</v>
      </c>
    </row>
    <row r="26" spans="1:6" ht="20.100000000000001" customHeight="1">
      <c r="A26" s="457"/>
      <c r="B26" s="457" t="s">
        <v>360</v>
      </c>
      <c r="C26" s="454">
        <v>2523.4079482195802</v>
      </c>
      <c r="D26" s="454">
        <v>2732.2144054983</v>
      </c>
      <c r="E26" s="455">
        <v>133.01602954695474</v>
      </c>
      <c r="F26" s="455">
        <v>121.49810447369494</v>
      </c>
    </row>
    <row r="27" spans="1:6" ht="20.100000000000001" customHeight="1">
      <c r="A27" s="457"/>
      <c r="B27" s="457" t="s">
        <v>361</v>
      </c>
      <c r="C27" s="454">
        <v>49408.98315628658</v>
      </c>
      <c r="D27" s="454">
        <v>53557.809791028412</v>
      </c>
      <c r="E27" s="455">
        <v>118.49871326459656</v>
      </c>
      <c r="F27" s="455">
        <v>119.14456108573812</v>
      </c>
    </row>
    <row r="28" spans="1:6" ht="20.100000000000001" customHeight="1">
      <c r="A28" s="457"/>
      <c r="B28" s="457" t="s">
        <v>362</v>
      </c>
      <c r="C28" s="454">
        <v>23233.237248000009</v>
      </c>
      <c r="D28" s="454">
        <v>25503.95</v>
      </c>
      <c r="E28" s="455">
        <v>108.39730289801</v>
      </c>
      <c r="F28" s="455">
        <v>115.6568337455889</v>
      </c>
    </row>
    <row r="29" spans="1:6" ht="20.100000000000001" customHeight="1">
      <c r="A29" s="460"/>
      <c r="B29" s="460"/>
      <c r="C29" s="461"/>
      <c r="D29" s="461"/>
      <c r="E29" s="462"/>
      <c r="F29" s="462"/>
    </row>
    <row r="30" spans="1:6" ht="15" customHeight="1">
      <c r="A30" s="463"/>
      <c r="B30" s="463"/>
      <c r="C30" s="463"/>
      <c r="D30" s="464"/>
      <c r="E30" s="465"/>
      <c r="F30" s="465"/>
    </row>
    <row r="31" spans="1:6" ht="15" customHeight="1">
      <c r="A31" s="463"/>
      <c r="B31" s="463"/>
      <c r="C31" s="463"/>
      <c r="D31" s="465"/>
      <c r="E31" s="465"/>
      <c r="F31" s="465"/>
    </row>
    <row r="32" spans="1:6" ht="15" customHeight="1">
      <c r="A32" s="463"/>
      <c r="B32" s="463"/>
      <c r="C32" s="463"/>
      <c r="D32" s="465"/>
      <c r="E32" s="465"/>
      <c r="F32" s="465"/>
    </row>
    <row r="33" spans="1:6" ht="15" customHeight="1">
      <c r="A33" s="463"/>
      <c r="B33" s="463"/>
      <c r="C33" s="463"/>
      <c r="D33" s="465"/>
      <c r="E33" s="465"/>
      <c r="F33" s="465"/>
    </row>
    <row r="34" spans="1:6" ht="15" customHeight="1">
      <c r="A34" s="463"/>
      <c r="B34" s="463"/>
      <c r="C34" s="463"/>
      <c r="D34" s="465"/>
      <c r="E34" s="465"/>
      <c r="F34" s="465"/>
    </row>
    <row r="35" spans="1:6" ht="15" customHeight="1">
      <c r="A35" s="463"/>
      <c r="B35" s="463"/>
      <c r="C35" s="463"/>
      <c r="D35" s="465"/>
      <c r="E35" s="465"/>
      <c r="F35" s="465"/>
    </row>
    <row r="36" spans="1:6" ht="15" customHeight="1">
      <c r="A36" s="463"/>
      <c r="B36" s="463"/>
      <c r="C36" s="463"/>
      <c r="D36" s="465"/>
      <c r="E36" s="465"/>
      <c r="F36" s="465"/>
    </row>
    <row r="37" spans="1:6" ht="15" customHeight="1">
      <c r="A37" s="463"/>
      <c r="B37" s="463"/>
      <c r="C37" s="463"/>
      <c r="D37" s="465"/>
      <c r="E37" s="465"/>
      <c r="F37" s="465"/>
    </row>
    <row r="38" spans="1:6" ht="15" customHeight="1">
      <c r="A38" s="463"/>
      <c r="B38" s="463"/>
      <c r="C38" s="463"/>
      <c r="D38" s="465"/>
      <c r="E38" s="465"/>
      <c r="F38" s="465"/>
    </row>
    <row r="39" spans="1:6" ht="15" customHeight="1">
      <c r="A39" s="463"/>
      <c r="B39" s="463"/>
      <c r="C39" s="463"/>
      <c r="D39" s="465"/>
      <c r="E39" s="465"/>
      <c r="F39" s="465"/>
    </row>
    <row r="40" spans="1:6" ht="15" customHeight="1">
      <c r="A40" s="463"/>
      <c r="B40" s="463"/>
      <c r="C40" s="463"/>
      <c r="D40" s="465"/>
      <c r="E40" s="465"/>
      <c r="F40" s="465"/>
    </row>
    <row r="41" spans="1:6" ht="15" customHeight="1">
      <c r="A41" s="463"/>
      <c r="B41" s="463"/>
      <c r="C41" s="463"/>
      <c r="D41" s="465"/>
      <c r="E41" s="465"/>
      <c r="F41" s="465"/>
    </row>
    <row r="42" spans="1:6" ht="15" customHeight="1">
      <c r="A42" s="463"/>
      <c r="B42" s="463"/>
      <c r="C42" s="463"/>
      <c r="D42" s="465"/>
      <c r="E42" s="465"/>
      <c r="F42" s="465"/>
    </row>
    <row r="43" spans="1:6" ht="15" customHeight="1">
      <c r="A43" s="463"/>
      <c r="B43" s="463"/>
      <c r="C43" s="463"/>
      <c r="D43" s="465"/>
      <c r="E43" s="465"/>
      <c r="F43" s="465"/>
    </row>
    <row r="44" spans="1:6" ht="15" customHeight="1">
      <c r="A44" s="463"/>
      <c r="B44" s="463"/>
      <c r="C44" s="463"/>
      <c r="D44" s="465"/>
      <c r="E44" s="465"/>
      <c r="F44" s="465"/>
    </row>
    <row r="45" spans="1:6" ht="15" customHeight="1">
      <c r="A45" s="463"/>
      <c r="B45" s="463"/>
      <c r="C45" s="463"/>
      <c r="D45" s="465"/>
      <c r="E45" s="465"/>
      <c r="F45" s="465"/>
    </row>
    <row r="46" spans="1:6" ht="15" customHeight="1">
      <c r="A46" s="463"/>
      <c r="B46" s="463"/>
      <c r="C46" s="463"/>
      <c r="D46" s="465"/>
      <c r="E46" s="465"/>
      <c r="F46" s="465"/>
    </row>
    <row r="47" spans="1:6" ht="15" customHeight="1">
      <c r="A47" s="463"/>
      <c r="B47" s="463"/>
      <c r="C47" s="463"/>
      <c r="D47" s="465"/>
      <c r="E47" s="465"/>
      <c r="F47" s="465"/>
    </row>
    <row r="48" spans="1:6" ht="15" customHeight="1">
      <c r="A48" s="463"/>
      <c r="B48" s="463"/>
      <c r="C48" s="463"/>
      <c r="D48" s="465"/>
      <c r="E48" s="465"/>
      <c r="F48" s="465"/>
    </row>
    <row r="49" spans="1:6" ht="15" customHeight="1">
      <c r="A49" s="463"/>
      <c r="B49" s="463"/>
      <c r="C49" s="463"/>
      <c r="D49" s="465"/>
      <c r="E49" s="465"/>
      <c r="F49" s="465"/>
    </row>
    <row r="50" spans="1:6" ht="15" customHeight="1">
      <c r="A50" s="463"/>
      <c r="B50" s="463"/>
      <c r="C50" s="463"/>
      <c r="D50" s="465"/>
      <c r="E50" s="465"/>
      <c r="F50" s="465"/>
    </row>
    <row r="51" spans="1:6" ht="15" customHeight="1">
      <c r="A51" s="463"/>
      <c r="B51" s="463"/>
      <c r="C51" s="463"/>
      <c r="D51" s="465"/>
      <c r="E51" s="465"/>
      <c r="F51" s="465"/>
    </row>
    <row r="52" spans="1:6" ht="15" customHeight="1">
      <c r="A52" s="463"/>
      <c r="B52" s="463"/>
      <c r="C52" s="463"/>
      <c r="D52" s="465"/>
      <c r="E52" s="465"/>
      <c r="F52" s="465"/>
    </row>
    <row r="53" spans="1:6" ht="15" customHeight="1">
      <c r="A53" s="463"/>
      <c r="B53" s="463"/>
      <c r="C53" s="463"/>
      <c r="D53" s="465"/>
      <c r="E53" s="465"/>
      <c r="F53" s="465"/>
    </row>
    <row r="54" spans="1:6" ht="15" customHeight="1">
      <c r="A54" s="463"/>
      <c r="B54" s="463"/>
      <c r="C54" s="463"/>
      <c r="D54" s="465"/>
      <c r="E54" s="465"/>
      <c r="F54" s="465"/>
    </row>
    <row r="55" spans="1:6" ht="15" customHeight="1">
      <c r="A55" s="463"/>
      <c r="B55" s="463"/>
      <c r="C55" s="463"/>
      <c r="D55" s="465"/>
      <c r="E55" s="465"/>
      <c r="F55" s="465"/>
    </row>
    <row r="56" spans="1:6" ht="15" customHeight="1">
      <c r="A56" s="463"/>
      <c r="B56" s="463"/>
      <c r="C56" s="463"/>
      <c r="D56" s="465"/>
      <c r="E56" s="465"/>
      <c r="F56" s="465"/>
    </row>
    <row r="57" spans="1:6" ht="15" customHeight="1">
      <c r="A57" s="463"/>
      <c r="B57" s="463"/>
      <c r="C57" s="463"/>
      <c r="D57" s="465"/>
      <c r="E57" s="465"/>
      <c r="F57" s="465"/>
    </row>
    <row r="58" spans="1:6" ht="15.75">
      <c r="A58" s="463"/>
      <c r="B58" s="463"/>
      <c r="C58" s="463"/>
      <c r="D58" s="465"/>
      <c r="E58" s="465"/>
      <c r="F58" s="465"/>
    </row>
    <row r="59" spans="1:6" ht="15.75">
      <c r="A59" s="463"/>
      <c r="B59" s="463"/>
      <c r="C59" s="463"/>
      <c r="D59" s="465"/>
      <c r="E59" s="465"/>
      <c r="F59" s="465"/>
    </row>
    <row r="60" spans="1:6" ht="15.75">
      <c r="A60" s="463"/>
      <c r="B60" s="463"/>
      <c r="C60" s="463"/>
      <c r="D60" s="465"/>
      <c r="E60" s="465"/>
      <c r="F60" s="465"/>
    </row>
    <row r="61" spans="1:6" ht="15.75">
      <c r="A61" s="463"/>
      <c r="B61" s="463"/>
      <c r="C61" s="463"/>
      <c r="D61" s="465"/>
      <c r="E61" s="465"/>
      <c r="F61" s="465"/>
    </row>
    <row r="62" spans="1:6" ht="15.75">
      <c r="A62" s="463"/>
      <c r="B62" s="463"/>
      <c r="C62" s="463"/>
      <c r="D62" s="465"/>
      <c r="E62" s="465"/>
      <c r="F62" s="465"/>
    </row>
    <row r="63" spans="1:6" ht="15.75">
      <c r="A63" s="463"/>
      <c r="B63" s="463"/>
      <c r="C63" s="463"/>
      <c r="D63" s="465"/>
      <c r="E63" s="465"/>
      <c r="F63" s="465"/>
    </row>
    <row r="64" spans="1:6" ht="15.75">
      <c r="A64" s="463"/>
      <c r="B64" s="463"/>
      <c r="C64" s="463"/>
      <c r="D64" s="465"/>
      <c r="E64" s="465"/>
      <c r="F64" s="465"/>
    </row>
    <row r="65" spans="1:6" ht="15.75">
      <c r="A65" s="463"/>
      <c r="B65" s="463"/>
      <c r="C65" s="463"/>
      <c r="D65" s="465"/>
      <c r="E65" s="465"/>
      <c r="F65" s="465"/>
    </row>
    <row r="66" spans="1:6" ht="15.75">
      <c r="A66" s="463"/>
      <c r="B66" s="463"/>
      <c r="C66" s="463"/>
      <c r="D66" s="465"/>
      <c r="E66" s="465"/>
      <c r="F66" s="465"/>
    </row>
    <row r="67" spans="1:6" ht="15.75">
      <c r="A67" s="463"/>
      <c r="B67" s="463"/>
      <c r="C67" s="463"/>
      <c r="D67" s="465"/>
      <c r="E67" s="465"/>
      <c r="F67" s="465"/>
    </row>
    <row r="68" spans="1:6" ht="15.75">
      <c r="A68" s="463"/>
      <c r="B68" s="463"/>
      <c r="C68" s="463"/>
      <c r="D68" s="465"/>
      <c r="E68" s="465"/>
      <c r="F68" s="465"/>
    </row>
    <row r="69" spans="1:6" ht="15.75">
      <c r="A69" s="463"/>
      <c r="B69" s="463"/>
      <c r="C69" s="463"/>
      <c r="D69" s="465"/>
      <c r="E69" s="465"/>
      <c r="F69" s="465"/>
    </row>
    <row r="70" spans="1:6" ht="15.75">
      <c r="A70" s="463"/>
      <c r="B70" s="463"/>
      <c r="C70" s="463"/>
      <c r="D70" s="465"/>
      <c r="E70" s="465"/>
      <c r="F70" s="465"/>
    </row>
    <row r="71" spans="1:6" ht="15.75">
      <c r="A71" s="463"/>
      <c r="B71" s="463"/>
      <c r="C71" s="463"/>
      <c r="D71" s="465"/>
      <c r="E71" s="465"/>
      <c r="F71" s="465"/>
    </row>
    <row r="72" spans="1:6" ht="15.75">
      <c r="A72" s="463"/>
      <c r="B72" s="463"/>
      <c r="C72" s="463"/>
      <c r="D72" s="465"/>
      <c r="E72" s="465"/>
      <c r="F72" s="465"/>
    </row>
    <row r="73" spans="1:6" ht="15.75">
      <c r="A73" s="463"/>
      <c r="B73" s="463"/>
      <c r="C73" s="463"/>
      <c r="D73" s="465"/>
      <c r="E73" s="465"/>
      <c r="F73" s="465"/>
    </row>
    <row r="74" spans="1:6" ht="15.75">
      <c r="A74" s="463"/>
      <c r="B74" s="463"/>
      <c r="C74" s="463"/>
      <c r="D74" s="465"/>
      <c r="E74" s="465"/>
      <c r="F74" s="465"/>
    </row>
    <row r="75" spans="1:6" ht="15.75">
      <c r="A75" s="463"/>
      <c r="B75" s="463"/>
      <c r="C75" s="463"/>
      <c r="D75" s="465"/>
      <c r="E75" s="465"/>
      <c r="F75" s="465"/>
    </row>
    <row r="76" spans="1:6" ht="15.75">
      <c r="A76" s="463"/>
      <c r="B76" s="463"/>
      <c r="C76" s="463"/>
      <c r="D76" s="465"/>
      <c r="E76" s="465"/>
      <c r="F76" s="465"/>
    </row>
    <row r="77" spans="1:6" ht="15.75">
      <c r="A77" s="463"/>
      <c r="B77" s="463"/>
      <c r="C77" s="463"/>
      <c r="D77" s="465"/>
      <c r="E77" s="465"/>
      <c r="F77" s="465"/>
    </row>
  </sheetData>
  <mergeCells count="1">
    <mergeCell ref="E4:F4"/>
  </mergeCells>
  <pageMargins left="0.86614173228346503" right="0.17" top="0.74803149606299202" bottom="0.511811023622047" header="0.43307086614173201" footer="0.31496062992126"/>
  <pageSetup paperSize="9" firstPageNumber="38" orientation="portrait" r:id="rId1"/>
  <headerFooter alignWithMargins="0">
    <oddHeader>&amp;C&amp;"Times New Roman,Regular"&amp;13&amp;P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H76"/>
  <sheetViews>
    <sheetView zoomScaleNormal="100" workbookViewId="0">
      <selection activeCell="D13" sqref="D13"/>
    </sheetView>
  </sheetViews>
  <sheetFormatPr defaultColWidth="10.7109375" defaultRowHeight="12.75"/>
  <cols>
    <col min="1" max="1" width="1.7109375" style="25" customWidth="1"/>
    <col min="2" max="2" width="28.28515625" style="25" customWidth="1"/>
    <col min="3" max="3" width="9.140625" style="25" customWidth="1"/>
    <col min="4" max="4" width="10.28515625" style="25" customWidth="1"/>
    <col min="5" max="5" width="13.28515625" style="25" customWidth="1"/>
    <col min="6" max="6" width="14.140625" style="25" customWidth="1"/>
    <col min="7" max="7" width="13" style="25" customWidth="1"/>
    <col min="8" max="16384" width="10.7109375" style="25"/>
  </cols>
  <sheetData>
    <row r="1" spans="1:8" ht="20.100000000000001" customHeight="1">
      <c r="A1" s="394" t="s">
        <v>672</v>
      </c>
      <c r="B1" s="395"/>
      <c r="C1" s="396"/>
      <c r="D1" s="396"/>
      <c r="E1" s="396"/>
      <c r="F1" s="396"/>
      <c r="G1" s="396"/>
    </row>
    <row r="2" spans="1:8" ht="20.100000000000001" customHeight="1">
      <c r="A2" s="398"/>
      <c r="B2" s="399"/>
      <c r="C2" s="400"/>
      <c r="D2" s="400"/>
      <c r="E2" s="400"/>
      <c r="F2" s="400"/>
      <c r="G2" s="400"/>
    </row>
    <row r="3" spans="1:8" ht="20.100000000000001" customHeight="1">
      <c r="A3" s="401"/>
      <c r="B3" s="402"/>
      <c r="C3" s="402"/>
      <c r="D3" s="402"/>
      <c r="E3" s="402"/>
      <c r="F3" s="402"/>
      <c r="G3" s="403"/>
    </row>
    <row r="4" spans="1:8" ht="20.100000000000001" customHeight="1">
      <c r="A4" s="404"/>
      <c r="B4" s="404"/>
      <c r="C4" s="405" t="s">
        <v>19</v>
      </c>
      <c r="D4" s="405" t="s">
        <v>19</v>
      </c>
      <c r="E4" s="405" t="s">
        <v>351</v>
      </c>
      <c r="F4" s="405" t="s">
        <v>351</v>
      </c>
      <c r="G4" s="405" t="s">
        <v>291</v>
      </c>
    </row>
    <row r="5" spans="1:8" ht="20.100000000000001" customHeight="1">
      <c r="A5" s="406"/>
      <c r="B5" s="406"/>
      <c r="C5" s="381" t="s">
        <v>118</v>
      </c>
      <c r="D5" s="381" t="s">
        <v>24</v>
      </c>
      <c r="E5" s="381" t="s">
        <v>292</v>
      </c>
      <c r="F5" s="381" t="s">
        <v>292</v>
      </c>
      <c r="G5" s="381" t="s">
        <v>292</v>
      </c>
    </row>
    <row r="6" spans="1:8" ht="20.100000000000001" customHeight="1">
      <c r="A6" s="406"/>
      <c r="B6" s="406"/>
      <c r="C6" s="381" t="s">
        <v>28</v>
      </c>
      <c r="D6" s="381" t="s">
        <v>28</v>
      </c>
      <c r="E6" s="407" t="s">
        <v>175</v>
      </c>
      <c r="F6" s="407" t="s">
        <v>232</v>
      </c>
      <c r="G6" s="407" t="s">
        <v>232</v>
      </c>
    </row>
    <row r="7" spans="1:8" ht="20.100000000000001" customHeight="1">
      <c r="A7" s="406"/>
      <c r="B7" s="406"/>
      <c r="C7" s="408">
        <v>2025</v>
      </c>
      <c r="D7" s="408">
        <v>2025</v>
      </c>
      <c r="E7" s="409" t="s">
        <v>352</v>
      </c>
      <c r="F7" s="409" t="s">
        <v>346</v>
      </c>
      <c r="G7" s="409" t="s">
        <v>346</v>
      </c>
    </row>
    <row r="8" spans="1:8" ht="20.100000000000001" customHeight="1">
      <c r="A8" s="406"/>
      <c r="B8" s="406"/>
      <c r="C8" s="466"/>
      <c r="D8" s="466"/>
      <c r="E8" s="467"/>
      <c r="F8" s="467"/>
      <c r="G8" s="468"/>
    </row>
    <row r="9" spans="1:8" ht="20.100000000000001" customHeight="1">
      <c r="A9" s="413" t="s">
        <v>364</v>
      </c>
      <c r="B9" s="414"/>
      <c r="C9" s="415">
        <v>277710.39828934328</v>
      </c>
      <c r="D9" s="415">
        <v>2236006.7462783745</v>
      </c>
      <c r="E9" s="416">
        <v>100.77976163804097</v>
      </c>
      <c r="F9" s="416">
        <v>116.08777092716505</v>
      </c>
      <c r="G9" s="416">
        <v>115.81832879610698</v>
      </c>
    </row>
    <row r="10" spans="1:8" ht="20.100000000000001" customHeight="1">
      <c r="A10" s="469" t="s">
        <v>354</v>
      </c>
      <c r="B10" s="418"/>
      <c r="C10" s="415"/>
      <c r="D10" s="415"/>
      <c r="E10" s="416"/>
      <c r="F10" s="416"/>
      <c r="G10" s="416"/>
    </row>
    <row r="11" spans="1:8" ht="20.100000000000001" customHeight="1">
      <c r="A11" s="418"/>
      <c r="B11" s="418" t="s">
        <v>355</v>
      </c>
      <c r="C11" s="419">
        <v>273142.96213670919</v>
      </c>
      <c r="D11" s="419">
        <v>2197661.9440394975</v>
      </c>
      <c r="E11" s="420">
        <v>100.81496449458402</v>
      </c>
      <c r="F11" s="420">
        <v>116.09139332595709</v>
      </c>
      <c r="G11" s="422">
        <v>115.91668743493157</v>
      </c>
    </row>
    <row r="12" spans="1:8" ht="20.100000000000001" customHeight="1">
      <c r="A12" s="418"/>
      <c r="B12" s="418" t="s">
        <v>356</v>
      </c>
      <c r="C12" s="419">
        <v>4567.4361526341008</v>
      </c>
      <c r="D12" s="419">
        <v>38344.802238876466</v>
      </c>
      <c r="E12" s="420">
        <v>98.718333269689239</v>
      </c>
      <c r="F12" s="420">
        <v>115.87155354927903</v>
      </c>
      <c r="G12" s="422">
        <v>110.44708114617012</v>
      </c>
      <c r="H12" s="470"/>
    </row>
    <row r="13" spans="1:8" ht="20.100000000000001" customHeight="1">
      <c r="A13" s="469" t="s">
        <v>357</v>
      </c>
      <c r="B13" s="418"/>
      <c r="C13" s="415"/>
      <c r="D13" s="415"/>
      <c r="E13" s="416"/>
      <c r="F13" s="416"/>
      <c r="G13" s="416"/>
      <c r="H13" s="471"/>
    </row>
    <row r="14" spans="1:8" ht="20.100000000000001" customHeight="1">
      <c r="A14" s="421"/>
      <c r="B14" s="421" t="s">
        <v>358</v>
      </c>
      <c r="C14" s="419">
        <v>485.3</v>
      </c>
      <c r="D14" s="419">
        <v>4121.34</v>
      </c>
      <c r="E14" s="420">
        <v>100.10726515120261</v>
      </c>
      <c r="F14" s="420">
        <v>138.69677050585884</v>
      </c>
      <c r="G14" s="422">
        <v>110.11558377017907</v>
      </c>
      <c r="H14" s="470"/>
    </row>
    <row r="15" spans="1:8" ht="20.100000000000001" customHeight="1">
      <c r="A15" s="421"/>
      <c r="B15" s="421" t="s">
        <v>359</v>
      </c>
      <c r="C15" s="470">
        <v>12871.062781822595</v>
      </c>
      <c r="D15" s="470">
        <v>114007.74834464303</v>
      </c>
      <c r="E15" s="422">
        <v>102.80420067463095</v>
      </c>
      <c r="F15" s="422">
        <v>118.31293350142661</v>
      </c>
      <c r="G15" s="422">
        <v>114.29687284119471</v>
      </c>
      <c r="H15" s="470"/>
    </row>
    <row r="16" spans="1:8" ht="20.100000000000001" customHeight="1">
      <c r="A16" s="421"/>
      <c r="B16" s="421" t="s">
        <v>360</v>
      </c>
      <c r="C16" s="419">
        <v>47243.510923929753</v>
      </c>
      <c r="D16" s="419">
        <v>442620.96249870851</v>
      </c>
      <c r="E16" s="420">
        <v>101.46610113079892</v>
      </c>
      <c r="F16" s="420">
        <v>116.08611099934949</v>
      </c>
      <c r="G16" s="420">
        <v>111.21443772245063</v>
      </c>
      <c r="H16" s="470"/>
    </row>
    <row r="17" spans="1:7" ht="20.100000000000001" customHeight="1">
      <c r="A17" s="421"/>
      <c r="B17" s="421" t="s">
        <v>361</v>
      </c>
      <c r="C17" s="419">
        <v>217071.41843394391</v>
      </c>
      <c r="D17" s="419">
        <v>1674913.3797990966</v>
      </c>
      <c r="E17" s="420">
        <v>100.51582253067019</v>
      </c>
      <c r="F17" s="420">
        <v>115.91863885646293</v>
      </c>
      <c r="G17" s="420">
        <v>117.22405627568367</v>
      </c>
    </row>
    <row r="18" spans="1:7" ht="20.100000000000001" customHeight="1">
      <c r="A18" s="421"/>
      <c r="B18" s="421" t="s">
        <v>362</v>
      </c>
      <c r="C18" s="419">
        <v>39.106149647064008</v>
      </c>
      <c r="D18" s="419">
        <v>343.31563592606403</v>
      </c>
      <c r="E18" s="420">
        <v>101.37937570033424</v>
      </c>
      <c r="F18" s="420">
        <v>105.84313998164252</v>
      </c>
      <c r="G18" s="420">
        <v>106.16648773267974</v>
      </c>
    </row>
    <row r="19" spans="1:7" ht="11.25" customHeight="1">
      <c r="A19" s="421"/>
      <c r="B19" s="421"/>
      <c r="C19" s="472"/>
      <c r="D19" s="472"/>
      <c r="E19" s="473"/>
      <c r="F19" s="473"/>
      <c r="G19" s="473"/>
    </row>
    <row r="20" spans="1:7" ht="20.100000000000001" customHeight="1">
      <c r="A20" s="413" t="s">
        <v>365</v>
      </c>
      <c r="B20" s="414"/>
      <c r="C20" s="415">
        <v>54402.733060410079</v>
      </c>
      <c r="D20" s="415">
        <v>453378.9796836247</v>
      </c>
      <c r="E20" s="416">
        <v>101.27545760512007</v>
      </c>
      <c r="F20" s="416">
        <v>119.02153222607532</v>
      </c>
      <c r="G20" s="416">
        <v>114.61838182982827</v>
      </c>
    </row>
    <row r="21" spans="1:7" ht="20.100000000000001" customHeight="1">
      <c r="A21" s="469" t="s">
        <v>354</v>
      </c>
      <c r="B21" s="418"/>
      <c r="C21" s="415"/>
      <c r="D21" s="415"/>
      <c r="E21" s="416"/>
      <c r="F21" s="416"/>
      <c r="G21" s="416"/>
    </row>
    <row r="22" spans="1:7" ht="20.100000000000001" customHeight="1">
      <c r="A22" s="418"/>
      <c r="B22" s="418" t="s">
        <v>355</v>
      </c>
      <c r="C22" s="419">
        <v>30415.184646379264</v>
      </c>
      <c r="D22" s="419">
        <v>260144.3142267974</v>
      </c>
      <c r="E22" s="420">
        <v>102.49490122351213</v>
      </c>
      <c r="F22" s="420">
        <v>108.01220275710743</v>
      </c>
      <c r="G22" s="422">
        <v>108.33472835127668</v>
      </c>
    </row>
    <row r="23" spans="1:7" ht="20.100000000000001" customHeight="1">
      <c r="A23" s="418"/>
      <c r="B23" s="418" t="s">
        <v>356</v>
      </c>
      <c r="C23" s="419">
        <v>23987.548414030814</v>
      </c>
      <c r="D23" s="419">
        <v>193234.66545682726</v>
      </c>
      <c r="E23" s="420">
        <v>99.770356819123194</v>
      </c>
      <c r="F23" s="420">
        <v>136.68675282789144</v>
      </c>
      <c r="G23" s="422">
        <v>124.32656015427324</v>
      </c>
    </row>
    <row r="24" spans="1:7" ht="20.100000000000001" customHeight="1">
      <c r="A24" s="469" t="s">
        <v>357</v>
      </c>
      <c r="B24" s="418"/>
      <c r="C24" s="415"/>
      <c r="D24" s="415"/>
      <c r="E24" s="416"/>
      <c r="F24" s="416"/>
      <c r="G24" s="416"/>
    </row>
    <row r="25" spans="1:7" ht="20.100000000000001" customHeight="1">
      <c r="A25" s="421"/>
      <c r="B25" s="421" t="s">
        <v>358</v>
      </c>
      <c r="C25" s="419">
        <v>371.62599999999998</v>
      </c>
      <c r="D25" s="419">
        <v>3049.6289999999999</v>
      </c>
      <c r="E25" s="420">
        <v>99.395005991098941</v>
      </c>
      <c r="F25" s="420">
        <v>130.27943614966364</v>
      </c>
      <c r="G25" s="422">
        <v>109.1652709113617</v>
      </c>
    </row>
    <row r="26" spans="1:7" ht="20.100000000000001" customHeight="1">
      <c r="A26" s="421"/>
      <c r="B26" s="421" t="s">
        <v>359</v>
      </c>
      <c r="C26" s="470">
        <v>25941.235859767246</v>
      </c>
      <c r="D26" s="470">
        <v>235859.48261223821</v>
      </c>
      <c r="E26" s="422">
        <v>101.7282873593911</v>
      </c>
      <c r="F26" s="422">
        <v>121.75981028279392</v>
      </c>
      <c r="G26" s="422">
        <v>116.54674407732601</v>
      </c>
    </row>
    <row r="27" spans="1:7" ht="20.100000000000001" customHeight="1">
      <c r="A27" s="421"/>
      <c r="B27" s="421" t="s">
        <v>360</v>
      </c>
      <c r="C27" s="419">
        <v>11728.421541388381</v>
      </c>
      <c r="D27" s="419">
        <v>99027.331893550203</v>
      </c>
      <c r="E27" s="420">
        <v>100.65173262335082</v>
      </c>
      <c r="F27" s="420">
        <v>118.00824483778575</v>
      </c>
      <c r="G27" s="420">
        <v>112.05224633694691</v>
      </c>
    </row>
    <row r="28" spans="1:7" ht="20.100000000000001" customHeight="1">
      <c r="A28" s="421"/>
      <c r="B28" s="421" t="s">
        <v>361</v>
      </c>
      <c r="C28" s="419">
        <v>15500.55</v>
      </c>
      <c r="D28" s="419">
        <v>107997.88120534047</v>
      </c>
      <c r="E28" s="420">
        <v>101.03941295978818</v>
      </c>
      <c r="F28" s="420">
        <v>114.86811845431365</v>
      </c>
      <c r="G28" s="420">
        <v>114.00185934098248</v>
      </c>
    </row>
    <row r="29" spans="1:7" ht="20.100000000000001" customHeight="1">
      <c r="A29" s="421"/>
      <c r="B29" s="421" t="s">
        <v>362</v>
      </c>
      <c r="C29" s="419">
        <v>860.91649686319977</v>
      </c>
      <c r="D29" s="419">
        <v>7444.6549724958277</v>
      </c>
      <c r="E29" s="420">
        <v>101.32819545690919</v>
      </c>
      <c r="F29" s="420">
        <v>125.68854870020523</v>
      </c>
      <c r="G29" s="420">
        <v>102.27782957020015</v>
      </c>
    </row>
    <row r="30" spans="1:7" ht="20.100000000000001" customHeight="1">
      <c r="A30" s="474"/>
      <c r="B30" s="474"/>
      <c r="C30" s="475"/>
      <c r="D30" s="475"/>
      <c r="E30" s="475"/>
      <c r="F30" s="475"/>
      <c r="G30" s="475"/>
    </row>
    <row r="31" spans="1:7" ht="20.100000000000001" customHeight="1">
      <c r="A31" s="474"/>
      <c r="B31" s="474"/>
      <c r="C31" s="474"/>
      <c r="D31" s="474"/>
      <c r="E31" s="474"/>
      <c r="F31" s="474"/>
      <c r="G31" s="474"/>
    </row>
    <row r="32" spans="1:7" ht="20.100000000000001" customHeight="1">
      <c r="A32" s="474"/>
      <c r="B32" s="474"/>
      <c r="C32" s="474"/>
      <c r="D32" s="474"/>
      <c r="E32" s="474"/>
      <c r="F32" s="474"/>
      <c r="G32" s="474"/>
    </row>
    <row r="33" spans="1:7" ht="20.100000000000001" customHeight="1">
      <c r="A33" s="474"/>
      <c r="B33" s="474"/>
      <c r="C33" s="474"/>
      <c r="D33" s="474"/>
      <c r="E33" s="474"/>
      <c r="F33" s="474"/>
      <c r="G33" s="474"/>
    </row>
    <row r="34" spans="1:7" ht="20.100000000000001" customHeight="1">
      <c r="A34" s="474"/>
      <c r="B34" s="474"/>
      <c r="C34" s="474"/>
      <c r="D34" s="474"/>
      <c r="E34" s="474"/>
      <c r="F34" s="474"/>
      <c r="G34" s="474"/>
    </row>
    <row r="35" spans="1:7">
      <c r="A35" s="474"/>
      <c r="B35" s="474"/>
      <c r="C35" s="474"/>
      <c r="D35" s="474"/>
      <c r="E35" s="474"/>
      <c r="F35" s="474"/>
      <c r="G35" s="474"/>
    </row>
    <row r="36" spans="1:7">
      <c r="A36" s="474"/>
      <c r="B36" s="474"/>
      <c r="C36" s="474"/>
      <c r="D36" s="474"/>
      <c r="E36" s="474"/>
      <c r="F36" s="474"/>
      <c r="G36" s="474"/>
    </row>
    <row r="37" spans="1:7">
      <c r="A37" s="474"/>
      <c r="B37" s="474"/>
      <c r="C37" s="474"/>
      <c r="D37" s="474"/>
      <c r="E37" s="474"/>
      <c r="F37" s="474"/>
      <c r="G37" s="474"/>
    </row>
    <row r="38" spans="1:7">
      <c r="A38" s="474"/>
      <c r="B38" s="474"/>
      <c r="C38" s="474"/>
      <c r="D38" s="474"/>
      <c r="E38" s="474"/>
      <c r="F38" s="474"/>
      <c r="G38" s="474"/>
    </row>
    <row r="39" spans="1:7">
      <c r="A39" s="474"/>
      <c r="B39" s="474"/>
      <c r="C39" s="474"/>
      <c r="D39" s="474"/>
      <c r="E39" s="474"/>
      <c r="F39" s="474"/>
      <c r="G39" s="474"/>
    </row>
    <row r="40" spans="1:7">
      <c r="A40" s="474"/>
      <c r="B40" s="474"/>
      <c r="C40" s="474"/>
      <c r="D40" s="474"/>
      <c r="E40" s="474"/>
      <c r="F40" s="474"/>
      <c r="G40" s="474"/>
    </row>
    <row r="41" spans="1:7">
      <c r="A41" s="474"/>
      <c r="B41" s="474"/>
      <c r="C41" s="474"/>
      <c r="D41" s="474"/>
      <c r="E41" s="474"/>
      <c r="F41" s="474"/>
      <c r="G41" s="474"/>
    </row>
    <row r="42" spans="1:7">
      <c r="A42" s="474"/>
      <c r="B42" s="474"/>
      <c r="C42" s="474"/>
      <c r="D42" s="474"/>
      <c r="E42" s="474"/>
      <c r="F42" s="474"/>
      <c r="G42" s="474"/>
    </row>
    <row r="43" spans="1:7">
      <c r="A43" s="474"/>
      <c r="B43" s="474"/>
      <c r="C43" s="474"/>
      <c r="D43" s="474"/>
      <c r="E43" s="474"/>
      <c r="F43" s="474"/>
      <c r="G43" s="474"/>
    </row>
    <row r="44" spans="1:7">
      <c r="A44" s="474"/>
      <c r="B44" s="474"/>
      <c r="C44" s="474"/>
      <c r="D44" s="474"/>
      <c r="E44" s="474"/>
      <c r="F44" s="474"/>
      <c r="G44" s="474"/>
    </row>
    <row r="45" spans="1:7">
      <c r="A45" s="474"/>
      <c r="B45" s="474"/>
      <c r="C45" s="474"/>
      <c r="D45" s="474"/>
      <c r="E45" s="474"/>
      <c r="F45" s="474"/>
      <c r="G45" s="474"/>
    </row>
    <row r="46" spans="1:7">
      <c r="A46" s="474"/>
      <c r="B46" s="474"/>
      <c r="C46" s="474"/>
      <c r="D46" s="474"/>
      <c r="E46" s="474"/>
      <c r="F46" s="474"/>
      <c r="G46" s="474"/>
    </row>
    <row r="47" spans="1:7">
      <c r="A47" s="474"/>
      <c r="B47" s="474"/>
      <c r="C47" s="474"/>
      <c r="D47" s="474"/>
      <c r="E47" s="474"/>
      <c r="F47" s="474"/>
      <c r="G47" s="474"/>
    </row>
    <row r="48" spans="1:7" ht="15">
      <c r="A48" s="430"/>
      <c r="B48" s="430"/>
      <c r="C48" s="430"/>
      <c r="D48" s="431"/>
      <c r="E48" s="431"/>
      <c r="F48" s="431"/>
      <c r="G48" s="430"/>
    </row>
    <row r="49" spans="1:7" ht="15">
      <c r="A49" s="430"/>
      <c r="B49" s="430"/>
      <c r="C49" s="430"/>
      <c r="D49" s="431"/>
      <c r="E49" s="431"/>
      <c r="F49" s="431"/>
      <c r="G49" s="430"/>
    </row>
    <row r="50" spans="1:7" ht="15">
      <c r="A50" s="430"/>
      <c r="B50" s="430"/>
      <c r="C50" s="430"/>
      <c r="D50" s="431"/>
      <c r="E50" s="431"/>
      <c r="F50" s="431"/>
      <c r="G50" s="430"/>
    </row>
    <row r="51" spans="1:7" ht="15">
      <c r="A51" s="430"/>
      <c r="B51" s="430"/>
      <c r="C51" s="430"/>
      <c r="D51" s="431"/>
      <c r="E51" s="431"/>
      <c r="F51" s="431"/>
      <c r="G51" s="430"/>
    </row>
    <row r="52" spans="1:7" ht="15">
      <c r="A52" s="430"/>
      <c r="B52" s="430"/>
      <c r="C52" s="430"/>
      <c r="D52" s="431"/>
      <c r="E52" s="431"/>
      <c r="F52" s="431"/>
      <c r="G52" s="430"/>
    </row>
    <row r="53" spans="1:7" ht="15">
      <c r="A53" s="430"/>
      <c r="B53" s="430"/>
      <c r="C53" s="430"/>
      <c r="D53" s="431"/>
      <c r="E53" s="431"/>
      <c r="F53" s="431"/>
      <c r="G53" s="430"/>
    </row>
    <row r="54" spans="1:7" ht="15">
      <c r="A54" s="430"/>
      <c r="B54" s="430"/>
      <c r="C54" s="430"/>
      <c r="D54" s="431"/>
      <c r="E54" s="431"/>
      <c r="F54" s="431"/>
      <c r="G54" s="430"/>
    </row>
    <row r="55" spans="1:7" ht="15">
      <c r="A55" s="430"/>
      <c r="B55" s="430"/>
      <c r="C55" s="430"/>
      <c r="D55" s="431"/>
      <c r="E55" s="431"/>
      <c r="F55" s="431"/>
      <c r="G55" s="430"/>
    </row>
    <row r="56" spans="1:7" ht="15">
      <c r="A56" s="430"/>
      <c r="B56" s="430"/>
      <c r="C56" s="430"/>
      <c r="D56" s="431"/>
      <c r="E56" s="431"/>
      <c r="F56" s="431"/>
      <c r="G56" s="430"/>
    </row>
    <row r="57" spans="1:7" ht="15">
      <c r="A57" s="430"/>
      <c r="B57" s="430"/>
      <c r="C57" s="430"/>
      <c r="D57" s="431"/>
      <c r="E57" s="431"/>
      <c r="F57" s="431"/>
      <c r="G57" s="430"/>
    </row>
    <row r="58" spans="1:7" ht="15">
      <c r="A58" s="430"/>
      <c r="B58" s="430"/>
      <c r="C58" s="430"/>
      <c r="D58" s="431"/>
      <c r="E58" s="431"/>
      <c r="F58" s="431"/>
      <c r="G58" s="430"/>
    </row>
    <row r="59" spans="1:7" ht="15">
      <c r="A59" s="430"/>
      <c r="B59" s="430"/>
      <c r="C59" s="430"/>
      <c r="D59" s="431"/>
      <c r="E59" s="431"/>
      <c r="F59" s="431"/>
      <c r="G59" s="430"/>
    </row>
    <row r="60" spans="1:7" ht="15">
      <c r="A60" s="430"/>
      <c r="B60" s="430"/>
      <c r="C60" s="430"/>
      <c r="D60" s="431"/>
      <c r="E60" s="431"/>
      <c r="F60" s="431"/>
      <c r="G60" s="430"/>
    </row>
    <row r="61" spans="1:7" ht="15">
      <c r="A61" s="430"/>
      <c r="B61" s="430"/>
      <c r="C61" s="430"/>
      <c r="D61" s="431"/>
      <c r="E61" s="431"/>
      <c r="F61" s="431"/>
      <c r="G61" s="430"/>
    </row>
    <row r="62" spans="1:7" ht="15">
      <c r="A62" s="430"/>
      <c r="B62" s="430"/>
      <c r="C62" s="430"/>
      <c r="D62" s="431"/>
      <c r="E62" s="431"/>
      <c r="F62" s="431"/>
      <c r="G62" s="430"/>
    </row>
    <row r="63" spans="1:7" ht="15">
      <c r="A63" s="430"/>
      <c r="B63" s="430"/>
      <c r="C63" s="430"/>
      <c r="D63" s="431"/>
      <c r="E63" s="431"/>
      <c r="F63" s="431"/>
      <c r="G63" s="430"/>
    </row>
    <row r="64" spans="1:7" ht="15">
      <c r="A64" s="430"/>
      <c r="B64" s="430"/>
      <c r="C64" s="430"/>
      <c r="D64" s="431"/>
      <c r="E64" s="431"/>
      <c r="F64" s="431"/>
      <c r="G64" s="430"/>
    </row>
    <row r="65" spans="1:7" ht="15">
      <c r="A65" s="430"/>
      <c r="B65" s="430"/>
      <c r="C65" s="430"/>
      <c r="D65" s="431"/>
      <c r="E65" s="431"/>
      <c r="F65" s="431"/>
      <c r="G65" s="430"/>
    </row>
    <row r="66" spans="1:7" ht="15">
      <c r="A66" s="430"/>
      <c r="B66" s="430"/>
      <c r="C66" s="430"/>
      <c r="D66" s="431"/>
      <c r="E66" s="431"/>
      <c r="F66" s="431"/>
      <c r="G66" s="430"/>
    </row>
    <row r="67" spans="1:7" ht="15">
      <c r="A67" s="430"/>
      <c r="B67" s="430"/>
      <c r="C67" s="430"/>
      <c r="D67" s="431"/>
      <c r="E67" s="431"/>
      <c r="F67" s="431"/>
      <c r="G67" s="430"/>
    </row>
    <row r="68" spans="1:7" ht="15">
      <c r="A68" s="430"/>
      <c r="B68" s="430"/>
      <c r="C68" s="430"/>
      <c r="D68" s="431"/>
      <c r="E68" s="431"/>
      <c r="F68" s="431"/>
      <c r="G68" s="430"/>
    </row>
    <row r="69" spans="1:7" ht="15">
      <c r="A69" s="430"/>
      <c r="B69" s="430"/>
      <c r="C69" s="430"/>
      <c r="D69" s="431"/>
      <c r="E69" s="431"/>
      <c r="F69" s="431"/>
      <c r="G69" s="430"/>
    </row>
    <row r="70" spans="1:7" ht="15">
      <c r="A70" s="430"/>
      <c r="B70" s="430"/>
      <c r="C70" s="430"/>
      <c r="D70" s="431"/>
      <c r="E70" s="431"/>
      <c r="F70" s="431"/>
      <c r="G70" s="430"/>
    </row>
    <row r="71" spans="1:7" ht="15">
      <c r="A71" s="430"/>
      <c r="B71" s="430"/>
      <c r="C71" s="430"/>
      <c r="D71" s="431"/>
      <c r="E71" s="431"/>
      <c r="F71" s="431"/>
      <c r="G71" s="430"/>
    </row>
    <row r="72" spans="1:7" ht="15">
      <c r="A72" s="430"/>
      <c r="B72" s="430"/>
      <c r="C72" s="430"/>
      <c r="D72" s="431"/>
      <c r="E72" s="431"/>
      <c r="F72" s="431"/>
      <c r="G72" s="430"/>
    </row>
    <row r="73" spans="1:7" ht="15">
      <c r="A73" s="430"/>
      <c r="B73" s="430"/>
      <c r="C73" s="430"/>
      <c r="D73" s="431"/>
      <c r="E73" s="431"/>
      <c r="F73" s="431"/>
      <c r="G73" s="430"/>
    </row>
    <row r="74" spans="1:7" ht="15">
      <c r="A74" s="430"/>
      <c r="B74" s="430"/>
      <c r="C74" s="430"/>
      <c r="D74" s="431"/>
      <c r="E74" s="431"/>
      <c r="F74" s="431"/>
      <c r="G74" s="430"/>
    </row>
    <row r="75" spans="1:7" ht="15">
      <c r="A75" s="430"/>
      <c r="B75" s="430"/>
      <c r="C75" s="430"/>
      <c r="D75" s="431"/>
      <c r="E75" s="431"/>
      <c r="F75" s="431"/>
      <c r="G75" s="430"/>
    </row>
    <row r="76" spans="1:7" ht="15">
      <c r="A76" s="430"/>
      <c r="B76" s="430"/>
      <c r="C76" s="430"/>
      <c r="D76" s="431"/>
      <c r="E76" s="431"/>
      <c r="F76" s="431"/>
      <c r="G76" s="430"/>
    </row>
  </sheetData>
  <pageMargins left="0.86614173228346503" right="0.17" top="0.74803149606299202" bottom="0.511811023622047" header="0.43307086614173201" footer="0.31496062992126"/>
  <pageSetup paperSize="9" firstPageNumber="38" orientation="portrait" r:id="rId1"/>
  <headerFooter alignWithMargins="0">
    <oddHeader>&amp;C&amp;"Times New Roman,Regular"&amp;13&amp;P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H75"/>
  <sheetViews>
    <sheetView topLeftCell="A16" zoomScaleNormal="100" workbookViewId="0">
      <selection activeCell="D13" sqref="D13"/>
    </sheetView>
  </sheetViews>
  <sheetFormatPr defaultColWidth="10.7109375" defaultRowHeight="12.75"/>
  <cols>
    <col min="1" max="1" width="1.7109375" style="25" customWidth="1"/>
    <col min="2" max="2" width="34.85546875" style="25" customWidth="1"/>
    <col min="3" max="4" width="10.7109375" style="25" customWidth="1"/>
    <col min="5" max="5" width="13.85546875" style="25" customWidth="1"/>
    <col min="6" max="6" width="14.7109375" style="25" customWidth="1"/>
    <col min="7" max="16384" width="10.7109375" style="25"/>
  </cols>
  <sheetData>
    <row r="1" spans="1:8" ht="20.100000000000001" customHeight="1">
      <c r="A1" s="394" t="s">
        <v>673</v>
      </c>
      <c r="B1" s="395"/>
      <c r="C1" s="396"/>
      <c r="D1" s="396"/>
      <c r="E1" s="396"/>
      <c r="F1" s="396"/>
    </row>
    <row r="2" spans="1:8" ht="20.100000000000001" customHeight="1">
      <c r="A2" s="398"/>
      <c r="B2" s="399"/>
      <c r="C2" s="400"/>
      <c r="D2" s="400"/>
      <c r="E2" s="400"/>
      <c r="F2" s="400"/>
    </row>
    <row r="3" spans="1:8" ht="20.100000000000001" customHeight="1">
      <c r="A3" s="401"/>
      <c r="B3" s="402"/>
      <c r="C3" s="476"/>
      <c r="D3" s="476"/>
      <c r="E3" s="402"/>
      <c r="F3" s="402"/>
    </row>
    <row r="4" spans="1:8" ht="20.100000000000001" customHeight="1">
      <c r="A4" s="404"/>
      <c r="B4" s="404"/>
      <c r="C4" s="443" t="s">
        <v>340</v>
      </c>
      <c r="D4" s="443" t="s">
        <v>19</v>
      </c>
      <c r="E4" s="901" t="s">
        <v>21</v>
      </c>
      <c r="F4" s="901"/>
    </row>
    <row r="5" spans="1:8" ht="20.100000000000001" customHeight="1">
      <c r="A5" s="406"/>
      <c r="B5" s="406"/>
      <c r="C5" s="443" t="s">
        <v>22</v>
      </c>
      <c r="D5" s="443" t="s">
        <v>42</v>
      </c>
      <c r="E5" s="443" t="s">
        <v>25</v>
      </c>
      <c r="F5" s="381" t="s">
        <v>26</v>
      </c>
    </row>
    <row r="6" spans="1:8" ht="20.100000000000001" customHeight="1">
      <c r="A6" s="406"/>
      <c r="B6" s="406"/>
      <c r="C6" s="445" t="s">
        <v>53</v>
      </c>
      <c r="D6" s="445" t="s">
        <v>53</v>
      </c>
      <c r="E6" s="445" t="s">
        <v>53</v>
      </c>
      <c r="F6" s="445" t="s">
        <v>53</v>
      </c>
    </row>
    <row r="7" spans="1:8" ht="20.100000000000001" customHeight="1">
      <c r="A7" s="406"/>
      <c r="B7" s="406"/>
      <c r="C7" s="466"/>
      <c r="D7" s="466"/>
      <c r="E7" s="467"/>
      <c r="F7" s="467"/>
    </row>
    <row r="8" spans="1:8" ht="20.100000000000001" customHeight="1">
      <c r="A8" s="413" t="s">
        <v>364</v>
      </c>
      <c r="B8" s="414"/>
      <c r="C8" s="450">
        <v>723196.63080995705</v>
      </c>
      <c r="D8" s="450">
        <v>804897.83498097141</v>
      </c>
      <c r="E8" s="451">
        <v>113.22994315064247</v>
      </c>
      <c r="F8" s="451">
        <v>119.81739208624187</v>
      </c>
      <c r="G8" s="477"/>
      <c r="H8" s="41"/>
    </row>
    <row r="9" spans="1:8" ht="20.100000000000001" customHeight="1">
      <c r="A9" s="469" t="s">
        <v>354</v>
      </c>
      <c r="B9" s="418"/>
      <c r="C9" s="450"/>
      <c r="D9" s="450"/>
      <c r="E9" s="451"/>
      <c r="F9" s="451"/>
      <c r="G9" s="477"/>
      <c r="H9" s="41"/>
    </row>
    <row r="10" spans="1:8" ht="20.100000000000001" customHeight="1">
      <c r="A10" s="418"/>
      <c r="B10" s="418" t="s">
        <v>355</v>
      </c>
      <c r="C10" s="454">
        <v>710762.8</v>
      </c>
      <c r="D10" s="454">
        <v>791615.69418687816</v>
      </c>
      <c r="E10" s="455">
        <v>113.34892415572727</v>
      </c>
      <c r="F10" s="455">
        <v>119.90389193884016</v>
      </c>
      <c r="G10" s="478"/>
      <c r="H10" s="41"/>
    </row>
    <row r="11" spans="1:8" ht="20.100000000000001" customHeight="1">
      <c r="A11" s="418"/>
      <c r="B11" s="418" t="s">
        <v>356</v>
      </c>
      <c r="C11" s="454">
        <v>12433.772344464318</v>
      </c>
      <c r="D11" s="454">
        <v>13282.140794093357</v>
      </c>
      <c r="E11" s="455">
        <v>106.82027233812579</v>
      </c>
      <c r="F11" s="455">
        <v>114.87808976557723</v>
      </c>
      <c r="G11" s="478"/>
      <c r="H11" s="41"/>
    </row>
    <row r="12" spans="1:8" ht="20.100000000000001" customHeight="1">
      <c r="A12" s="469" t="s">
        <v>357</v>
      </c>
      <c r="B12" s="418"/>
      <c r="C12" s="456"/>
      <c r="D12" s="456"/>
      <c r="E12" s="451"/>
      <c r="F12" s="451"/>
      <c r="G12" s="477"/>
      <c r="H12" s="41"/>
    </row>
    <row r="13" spans="1:8" ht="20.100000000000001" customHeight="1">
      <c r="A13" s="421"/>
      <c r="B13" s="421" t="s">
        <v>358</v>
      </c>
      <c r="C13" s="454">
        <v>1424.78</v>
      </c>
      <c r="D13" s="454">
        <v>1442.78</v>
      </c>
      <c r="E13" s="455">
        <v>107.33614584902817</v>
      </c>
      <c r="F13" s="455">
        <v>117.73567045306174</v>
      </c>
      <c r="G13" s="478"/>
      <c r="H13" s="41"/>
    </row>
    <row r="14" spans="1:8" ht="20.100000000000001" customHeight="1">
      <c r="A14" s="421"/>
      <c r="B14" s="421" t="s">
        <v>359</v>
      </c>
      <c r="C14" s="454">
        <v>37572.872846404935</v>
      </c>
      <c r="D14" s="454">
        <v>39450.1</v>
      </c>
      <c r="E14" s="455">
        <v>117.68494481025336</v>
      </c>
      <c r="F14" s="455">
        <v>113.86984141895206</v>
      </c>
      <c r="G14" s="479"/>
      <c r="H14" s="41"/>
    </row>
    <row r="15" spans="1:8" ht="20.100000000000001" customHeight="1">
      <c r="A15" s="421"/>
      <c r="B15" s="421" t="s">
        <v>360</v>
      </c>
      <c r="C15" s="454">
        <v>154548.71234336443</v>
      </c>
      <c r="D15" s="454">
        <v>140523.96749098034</v>
      </c>
      <c r="E15" s="455">
        <v>114.06560898380442</v>
      </c>
      <c r="F15" s="455">
        <v>108.60078097041858</v>
      </c>
      <c r="G15" s="478"/>
      <c r="H15" s="41"/>
    </row>
    <row r="16" spans="1:8" ht="20.100000000000001" customHeight="1">
      <c r="A16" s="421"/>
      <c r="B16" s="421" t="s">
        <v>361</v>
      </c>
      <c r="C16" s="454">
        <v>529537.8179479246</v>
      </c>
      <c r="D16" s="454">
        <v>623363.28138306201</v>
      </c>
      <c r="E16" s="455">
        <v>112.70447313691135</v>
      </c>
      <c r="F16" s="455">
        <v>123.09892222760564</v>
      </c>
      <c r="G16" s="478"/>
      <c r="H16" s="41"/>
    </row>
    <row r="17" spans="1:8" ht="20.100000000000001" customHeight="1">
      <c r="A17" s="421"/>
      <c r="B17" s="421" t="s">
        <v>362</v>
      </c>
      <c r="C17" s="454">
        <v>112.44767226299999</v>
      </c>
      <c r="D17" s="454">
        <v>117.63890980706401</v>
      </c>
      <c r="E17" s="455">
        <v>106.19421322526577</v>
      </c>
      <c r="F17" s="455">
        <v>104.19247359530334</v>
      </c>
      <c r="G17" s="478"/>
      <c r="H17" s="41"/>
    </row>
    <row r="18" spans="1:8" ht="20.100000000000001" customHeight="1">
      <c r="A18" s="421"/>
      <c r="B18" s="421"/>
      <c r="C18" s="480"/>
      <c r="D18" s="480"/>
      <c r="E18" s="473"/>
      <c r="F18" s="473"/>
      <c r="G18" s="472"/>
      <c r="H18" s="41"/>
    </row>
    <row r="19" spans="1:8" ht="20.100000000000001" customHeight="1">
      <c r="A19" s="413" t="s">
        <v>365</v>
      </c>
      <c r="B19" s="414"/>
      <c r="C19" s="450">
        <v>151300.13165761417</v>
      </c>
      <c r="D19" s="450">
        <v>161322.09098352728</v>
      </c>
      <c r="E19" s="451">
        <v>116.75715633362154</v>
      </c>
      <c r="F19" s="451">
        <v>116.30916375280978</v>
      </c>
      <c r="G19" s="477"/>
      <c r="H19" s="41"/>
    </row>
    <row r="20" spans="1:8" ht="20.100000000000001" customHeight="1">
      <c r="A20" s="469" t="s">
        <v>354</v>
      </c>
      <c r="B20" s="418"/>
      <c r="C20" s="450"/>
      <c r="D20" s="450"/>
      <c r="E20" s="451"/>
      <c r="F20" s="451"/>
      <c r="G20" s="477"/>
      <c r="H20" s="41"/>
    </row>
    <row r="21" spans="1:8" ht="20.100000000000001" customHeight="1">
      <c r="A21" s="418"/>
      <c r="B21" s="418" t="s">
        <v>355</v>
      </c>
      <c r="C21" s="454">
        <v>87379.832007747624</v>
      </c>
      <c r="D21" s="454">
        <v>89429.75</v>
      </c>
      <c r="E21" s="455">
        <v>112.52617195187958</v>
      </c>
      <c r="F21" s="455">
        <v>106.46302304851298</v>
      </c>
      <c r="G21" s="478"/>
      <c r="H21" s="41"/>
    </row>
    <row r="22" spans="1:8" ht="20.100000000000001" customHeight="1">
      <c r="A22" s="418"/>
      <c r="B22" s="418" t="s">
        <v>356</v>
      </c>
      <c r="C22" s="454">
        <v>63920.299649866545</v>
      </c>
      <c r="D22" s="454">
        <v>71892.344548471097</v>
      </c>
      <c r="E22" s="455">
        <v>123.08361267755895</v>
      </c>
      <c r="F22" s="455">
        <v>131.42942142086403</v>
      </c>
      <c r="G22" s="478"/>
      <c r="H22" s="41"/>
    </row>
    <row r="23" spans="1:8" ht="20.100000000000001" customHeight="1">
      <c r="A23" s="469" t="s">
        <v>357</v>
      </c>
      <c r="B23" s="418"/>
      <c r="C23" s="456"/>
      <c r="D23" s="456"/>
      <c r="E23" s="451"/>
      <c r="F23" s="451"/>
      <c r="G23" s="477"/>
      <c r="H23" s="41"/>
    </row>
    <row r="24" spans="1:8" ht="20.100000000000001" customHeight="1">
      <c r="A24" s="421"/>
      <c r="B24" s="421" t="s">
        <v>358</v>
      </c>
      <c r="C24" s="454">
        <v>1008.3050000000001</v>
      </c>
      <c r="D24" s="454">
        <v>1111.8319999999999</v>
      </c>
      <c r="E24" s="455">
        <v>113.29778866465909</v>
      </c>
      <c r="F24" s="455">
        <v>115.31541249121003</v>
      </c>
      <c r="G24" s="478"/>
      <c r="H24" s="41"/>
    </row>
    <row r="25" spans="1:8" ht="20.100000000000001" customHeight="1">
      <c r="A25" s="421"/>
      <c r="B25" s="421" t="s">
        <v>359</v>
      </c>
      <c r="C25" s="454">
        <v>79509.716340812549</v>
      </c>
      <c r="D25" s="454">
        <v>79412.015533436614</v>
      </c>
      <c r="E25" s="455">
        <v>116.0730437444728</v>
      </c>
      <c r="F25" s="455">
        <v>115.93287890001392</v>
      </c>
      <c r="G25" s="479"/>
      <c r="H25" s="41"/>
    </row>
    <row r="26" spans="1:8" ht="20.100000000000001" customHeight="1">
      <c r="A26" s="421"/>
      <c r="B26" s="421" t="s">
        <v>360</v>
      </c>
      <c r="C26" s="454">
        <v>35486.513001820844</v>
      </c>
      <c r="D26" s="454">
        <v>34374.87521965574</v>
      </c>
      <c r="E26" s="455">
        <v>124.03386152389682</v>
      </c>
      <c r="F26" s="455">
        <v>109.03847460989118</v>
      </c>
      <c r="G26" s="478"/>
      <c r="H26" s="41"/>
    </row>
    <row r="27" spans="1:8" ht="20.100000000000001" customHeight="1">
      <c r="A27" s="421"/>
      <c r="B27" s="421" t="s">
        <v>361</v>
      </c>
      <c r="C27" s="454">
        <v>32900.350384685022</v>
      </c>
      <c r="D27" s="454">
        <v>43819.194553616835</v>
      </c>
      <c r="E27" s="455">
        <v>112.88347092926566</v>
      </c>
      <c r="F27" s="455">
        <v>123.60107605593062</v>
      </c>
      <c r="G27" s="478"/>
      <c r="H27" s="41"/>
    </row>
    <row r="28" spans="1:8" ht="20.100000000000001" customHeight="1">
      <c r="A28" s="421"/>
      <c r="B28" s="421" t="s">
        <v>362</v>
      </c>
      <c r="C28" s="454">
        <v>2395.2469302957561</v>
      </c>
      <c r="D28" s="454">
        <v>2604.1736768180731</v>
      </c>
      <c r="E28" s="455">
        <v>98.170720337548616</v>
      </c>
      <c r="F28" s="455">
        <v>115.17302418000992</v>
      </c>
      <c r="G28" s="478"/>
      <c r="H28" s="41"/>
    </row>
    <row r="29" spans="1:8" ht="20.100000000000001" customHeight="1">
      <c r="A29" s="474"/>
      <c r="B29" s="474"/>
      <c r="C29" s="475"/>
      <c r="D29" s="475"/>
      <c r="E29" s="475"/>
      <c r="F29" s="475"/>
    </row>
    <row r="30" spans="1:8" ht="20.100000000000001" customHeight="1">
      <c r="A30" s="474"/>
      <c r="B30" s="474"/>
      <c r="C30" s="474"/>
      <c r="D30" s="474"/>
      <c r="E30" s="474"/>
      <c r="F30" s="474"/>
    </row>
    <row r="31" spans="1:8" ht="20.100000000000001" customHeight="1">
      <c r="A31" s="474"/>
      <c r="B31" s="474"/>
      <c r="C31" s="474"/>
      <c r="D31" s="474"/>
      <c r="E31" s="474"/>
      <c r="F31" s="474"/>
    </row>
    <row r="32" spans="1:8" ht="20.100000000000001" customHeight="1">
      <c r="A32" s="474"/>
      <c r="B32" s="474"/>
      <c r="C32" s="474"/>
      <c r="D32" s="474"/>
      <c r="E32" s="474"/>
      <c r="F32" s="474"/>
    </row>
    <row r="33" spans="1:6" ht="20.100000000000001" customHeight="1">
      <c r="A33" s="474"/>
      <c r="B33" s="474"/>
      <c r="C33" s="474"/>
      <c r="D33" s="474"/>
      <c r="E33" s="474"/>
      <c r="F33" s="474"/>
    </row>
    <row r="34" spans="1:6">
      <c r="A34" s="474"/>
      <c r="B34" s="474"/>
      <c r="C34" s="474"/>
      <c r="D34" s="474"/>
      <c r="E34" s="474"/>
      <c r="F34" s="474"/>
    </row>
    <row r="35" spans="1:6">
      <c r="A35" s="474"/>
      <c r="B35" s="474"/>
      <c r="C35" s="474"/>
      <c r="D35" s="474"/>
      <c r="E35" s="474"/>
      <c r="F35" s="474"/>
    </row>
    <row r="36" spans="1:6">
      <c r="A36" s="474"/>
      <c r="B36" s="474"/>
      <c r="C36" s="474"/>
      <c r="D36" s="474"/>
      <c r="E36" s="474"/>
      <c r="F36" s="474"/>
    </row>
    <row r="37" spans="1:6">
      <c r="A37" s="474"/>
      <c r="B37" s="474"/>
      <c r="C37" s="474"/>
      <c r="D37" s="474"/>
      <c r="E37" s="474"/>
      <c r="F37" s="474"/>
    </row>
    <row r="38" spans="1:6">
      <c r="A38" s="474"/>
      <c r="B38" s="474"/>
      <c r="C38" s="474"/>
      <c r="D38" s="474"/>
      <c r="E38" s="474"/>
      <c r="F38" s="474"/>
    </row>
    <row r="39" spans="1:6">
      <c r="A39" s="474"/>
      <c r="B39" s="474"/>
      <c r="C39" s="474"/>
      <c r="D39" s="474"/>
      <c r="E39" s="474"/>
      <c r="F39" s="474"/>
    </row>
    <row r="40" spans="1:6">
      <c r="A40" s="474"/>
      <c r="B40" s="474"/>
      <c r="C40" s="474"/>
      <c r="D40" s="474"/>
      <c r="E40" s="474"/>
      <c r="F40" s="474"/>
    </row>
    <row r="41" spans="1:6">
      <c r="A41" s="474"/>
      <c r="B41" s="474"/>
      <c r="C41" s="474"/>
      <c r="D41" s="474"/>
      <c r="E41" s="474"/>
      <c r="F41" s="474"/>
    </row>
    <row r="42" spans="1:6">
      <c r="A42" s="474"/>
      <c r="B42" s="474"/>
      <c r="C42" s="474"/>
      <c r="D42" s="474"/>
      <c r="E42" s="474"/>
      <c r="F42" s="474"/>
    </row>
    <row r="43" spans="1:6">
      <c r="A43" s="474"/>
      <c r="B43" s="474"/>
      <c r="C43" s="474"/>
      <c r="D43" s="474"/>
      <c r="E43" s="474"/>
      <c r="F43" s="474"/>
    </row>
    <row r="44" spans="1:6">
      <c r="A44" s="474"/>
      <c r="B44" s="474"/>
      <c r="C44" s="474"/>
      <c r="D44" s="474"/>
      <c r="E44" s="474"/>
      <c r="F44" s="474"/>
    </row>
    <row r="45" spans="1:6">
      <c r="A45" s="474"/>
      <c r="B45" s="474"/>
      <c r="C45" s="474"/>
      <c r="D45" s="474"/>
      <c r="E45" s="474"/>
      <c r="F45" s="474"/>
    </row>
    <row r="46" spans="1:6">
      <c r="A46" s="474"/>
      <c r="B46" s="474"/>
      <c r="C46" s="474"/>
      <c r="D46" s="474"/>
      <c r="E46" s="474"/>
      <c r="F46" s="474"/>
    </row>
    <row r="47" spans="1:6" ht="15">
      <c r="A47" s="430"/>
      <c r="B47" s="430"/>
      <c r="C47" s="430"/>
      <c r="D47" s="431"/>
      <c r="E47" s="431"/>
      <c r="F47" s="431"/>
    </row>
    <row r="48" spans="1:6" ht="15">
      <c r="A48" s="430"/>
      <c r="B48" s="430"/>
      <c r="C48" s="430"/>
      <c r="D48" s="431"/>
      <c r="E48" s="431"/>
      <c r="F48" s="431"/>
    </row>
    <row r="49" spans="1:6" ht="15">
      <c r="A49" s="430"/>
      <c r="B49" s="430"/>
      <c r="C49" s="430"/>
      <c r="D49" s="431"/>
      <c r="E49" s="431"/>
      <c r="F49" s="431"/>
    </row>
    <row r="50" spans="1:6" ht="15">
      <c r="A50" s="430"/>
      <c r="B50" s="430"/>
      <c r="C50" s="430"/>
      <c r="D50" s="431"/>
      <c r="E50" s="431"/>
      <c r="F50" s="431"/>
    </row>
    <row r="51" spans="1:6" ht="15">
      <c r="A51" s="430"/>
      <c r="B51" s="430"/>
      <c r="C51" s="430"/>
      <c r="D51" s="431"/>
      <c r="E51" s="431"/>
      <c r="F51" s="431"/>
    </row>
    <row r="52" spans="1:6" ht="15">
      <c r="A52" s="430"/>
      <c r="B52" s="430"/>
      <c r="C52" s="430"/>
      <c r="D52" s="431"/>
      <c r="E52" s="431"/>
      <c r="F52" s="431"/>
    </row>
    <row r="53" spans="1:6" ht="15">
      <c r="A53" s="430"/>
      <c r="B53" s="430"/>
      <c r="C53" s="430"/>
      <c r="D53" s="431"/>
      <c r="E53" s="431"/>
      <c r="F53" s="431"/>
    </row>
    <row r="54" spans="1:6" ht="15">
      <c r="A54" s="430"/>
      <c r="B54" s="430"/>
      <c r="C54" s="430"/>
      <c r="D54" s="431"/>
      <c r="E54" s="431"/>
      <c r="F54" s="431"/>
    </row>
    <row r="55" spans="1:6" ht="15">
      <c r="A55" s="430"/>
      <c r="B55" s="430"/>
      <c r="C55" s="430"/>
      <c r="D55" s="431"/>
      <c r="E55" s="431"/>
      <c r="F55" s="431"/>
    </row>
    <row r="56" spans="1:6" ht="15">
      <c r="A56" s="430"/>
      <c r="B56" s="430"/>
      <c r="C56" s="430"/>
      <c r="D56" s="431"/>
      <c r="E56" s="431"/>
      <c r="F56" s="431"/>
    </row>
    <row r="57" spans="1:6" ht="15">
      <c r="A57" s="430"/>
      <c r="B57" s="430"/>
      <c r="C57" s="430"/>
      <c r="D57" s="431"/>
      <c r="E57" s="431"/>
      <c r="F57" s="431"/>
    </row>
    <row r="58" spans="1:6" ht="15">
      <c r="A58" s="430"/>
      <c r="B58" s="430"/>
      <c r="C58" s="430"/>
      <c r="D58" s="431"/>
      <c r="E58" s="431"/>
      <c r="F58" s="431"/>
    </row>
    <row r="59" spans="1:6" ht="15">
      <c r="A59" s="430"/>
      <c r="B59" s="430"/>
      <c r="C59" s="430"/>
      <c r="D59" s="431"/>
      <c r="E59" s="431"/>
      <c r="F59" s="431"/>
    </row>
    <row r="60" spans="1:6" ht="15">
      <c r="A60" s="430"/>
      <c r="B60" s="430"/>
      <c r="C60" s="430"/>
      <c r="D60" s="431"/>
      <c r="E60" s="431"/>
      <c r="F60" s="431"/>
    </row>
    <row r="61" spans="1:6" ht="15">
      <c r="A61" s="430"/>
      <c r="B61" s="430"/>
      <c r="C61" s="430"/>
      <c r="D61" s="431"/>
      <c r="E61" s="431"/>
      <c r="F61" s="431"/>
    </row>
    <row r="62" spans="1:6" ht="15">
      <c r="A62" s="430"/>
      <c r="B62" s="430"/>
      <c r="C62" s="430"/>
      <c r="D62" s="431"/>
      <c r="E62" s="431"/>
      <c r="F62" s="431"/>
    </row>
    <row r="63" spans="1:6" ht="15">
      <c r="A63" s="430"/>
      <c r="B63" s="430"/>
      <c r="C63" s="430"/>
      <c r="D63" s="431"/>
      <c r="E63" s="431"/>
      <c r="F63" s="431"/>
    </row>
    <row r="64" spans="1:6" ht="15">
      <c r="A64" s="430"/>
      <c r="B64" s="430"/>
      <c r="C64" s="430"/>
      <c r="D64" s="431"/>
      <c r="E64" s="431"/>
      <c r="F64" s="431"/>
    </row>
    <row r="65" spans="1:6" ht="15">
      <c r="A65" s="430"/>
      <c r="B65" s="430"/>
      <c r="C65" s="430"/>
      <c r="D65" s="431"/>
      <c r="E65" s="431"/>
      <c r="F65" s="431"/>
    </row>
    <row r="66" spans="1:6" ht="15">
      <c r="A66" s="430"/>
      <c r="B66" s="430"/>
      <c r="C66" s="430"/>
      <c r="D66" s="431"/>
      <c r="E66" s="431"/>
      <c r="F66" s="431"/>
    </row>
    <row r="67" spans="1:6" ht="15">
      <c r="A67" s="430"/>
      <c r="B67" s="430"/>
      <c r="C67" s="430"/>
      <c r="D67" s="431"/>
      <c r="E67" s="431"/>
      <c r="F67" s="431"/>
    </row>
    <row r="68" spans="1:6" ht="15">
      <c r="A68" s="430"/>
      <c r="B68" s="430"/>
      <c r="C68" s="430"/>
      <c r="D68" s="431"/>
      <c r="E68" s="431"/>
      <c r="F68" s="431"/>
    </row>
    <row r="69" spans="1:6" ht="15">
      <c r="A69" s="430"/>
      <c r="B69" s="430"/>
      <c r="C69" s="430"/>
      <c r="D69" s="431"/>
      <c r="E69" s="431"/>
      <c r="F69" s="431"/>
    </row>
    <row r="70" spans="1:6" ht="15">
      <c r="A70" s="430"/>
      <c r="B70" s="430"/>
      <c r="C70" s="430"/>
      <c r="D70" s="431"/>
      <c r="E70" s="431"/>
      <c r="F70" s="431"/>
    </row>
    <row r="71" spans="1:6" ht="15">
      <c r="A71" s="430"/>
      <c r="B71" s="430"/>
      <c r="C71" s="430"/>
      <c r="D71" s="431"/>
      <c r="E71" s="431"/>
      <c r="F71" s="431"/>
    </row>
    <row r="72" spans="1:6" ht="15">
      <c r="A72" s="430"/>
      <c r="B72" s="430"/>
      <c r="C72" s="430"/>
      <c r="D72" s="431"/>
      <c r="E72" s="431"/>
      <c r="F72" s="431"/>
    </row>
    <row r="73" spans="1:6" ht="15">
      <c r="A73" s="430"/>
      <c r="B73" s="430"/>
      <c r="C73" s="430"/>
      <c r="D73" s="431"/>
      <c r="E73" s="431"/>
      <c r="F73" s="431"/>
    </row>
    <row r="74" spans="1:6" ht="15">
      <c r="A74" s="430"/>
      <c r="B74" s="430"/>
      <c r="C74" s="430"/>
      <c r="D74" s="431"/>
      <c r="E74" s="431"/>
      <c r="F74" s="431"/>
    </row>
    <row r="75" spans="1:6" ht="15">
      <c r="A75" s="430"/>
      <c r="B75" s="430"/>
      <c r="C75" s="430"/>
      <c r="D75" s="431"/>
      <c r="E75" s="431"/>
      <c r="F75" s="431"/>
    </row>
  </sheetData>
  <mergeCells count="1">
    <mergeCell ref="E4:F4"/>
  </mergeCells>
  <pageMargins left="0.86614173228346503" right="0.17" top="0.74803149606299202" bottom="0.511811023622047" header="0.43307086614173201" footer="0.31496062992126"/>
  <pageSetup paperSize="9" scale="94" firstPageNumber="38" orientation="portrait" r:id="rId1"/>
  <headerFooter alignWithMargins="0">
    <oddHeader>&amp;C&amp;"Times New Roman,Regular"&amp;13&amp;P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J198"/>
  <sheetViews>
    <sheetView zoomScaleNormal="100" workbookViewId="0">
      <selection activeCell="D13" sqref="D13"/>
    </sheetView>
  </sheetViews>
  <sheetFormatPr defaultColWidth="8.5703125" defaultRowHeight="15"/>
  <cols>
    <col min="1" max="1" width="1.42578125" style="482" customWidth="1"/>
    <col min="2" max="2" width="27.140625" style="482" customWidth="1"/>
    <col min="3" max="3" width="9.28515625" style="482" customWidth="1"/>
    <col min="4" max="4" width="10.140625" style="482" customWidth="1"/>
    <col min="5" max="5" width="10" style="482" customWidth="1"/>
    <col min="6" max="6" width="11.85546875" style="482" customWidth="1"/>
    <col min="7" max="7" width="12.140625" style="482" customWidth="1"/>
    <col min="8" max="16384" width="8.5703125" style="482"/>
  </cols>
  <sheetData>
    <row r="1" spans="1:7" ht="20.25" customHeight="1">
      <c r="A1" s="481" t="s">
        <v>674</v>
      </c>
      <c r="B1" s="434"/>
      <c r="C1" s="434"/>
      <c r="D1" s="434"/>
      <c r="E1" s="434"/>
      <c r="F1" s="434"/>
      <c r="G1" s="434"/>
    </row>
    <row r="2" spans="1:7" ht="15" customHeight="1">
      <c r="A2" s="439"/>
      <c r="B2" s="440"/>
      <c r="C2" s="441"/>
      <c r="D2" s="441"/>
      <c r="E2" s="441"/>
      <c r="F2" s="440"/>
      <c r="G2" s="483" t="s">
        <v>366</v>
      </c>
    </row>
    <row r="3" spans="1:7" ht="14.45" customHeight="1">
      <c r="A3" s="442"/>
      <c r="B3" s="442"/>
      <c r="C3" s="484" t="s">
        <v>62</v>
      </c>
      <c r="D3" s="484" t="s">
        <v>63</v>
      </c>
      <c r="E3" s="484" t="s">
        <v>24</v>
      </c>
      <c r="F3" s="485" t="s">
        <v>351</v>
      </c>
      <c r="G3" s="485" t="s">
        <v>291</v>
      </c>
    </row>
    <row r="4" spans="1:7" ht="14.45" customHeight="1">
      <c r="A4" s="444"/>
      <c r="B4" s="444"/>
      <c r="C4" s="486" t="s">
        <v>28</v>
      </c>
      <c r="D4" s="486" t="s">
        <v>28</v>
      </c>
      <c r="E4" s="486" t="s">
        <v>28</v>
      </c>
      <c r="F4" s="484" t="s">
        <v>292</v>
      </c>
      <c r="G4" s="484" t="s">
        <v>292</v>
      </c>
    </row>
    <row r="5" spans="1:7" ht="14.45" customHeight="1">
      <c r="A5" s="444"/>
      <c r="B5" s="444"/>
      <c r="C5" s="486">
        <v>2025</v>
      </c>
      <c r="D5" s="486">
        <v>2025</v>
      </c>
      <c r="E5" s="486">
        <v>2025</v>
      </c>
      <c r="F5" s="486" t="s">
        <v>232</v>
      </c>
      <c r="G5" s="486" t="s">
        <v>232</v>
      </c>
    </row>
    <row r="6" spans="1:7" ht="14.45" customHeight="1">
      <c r="A6" s="444"/>
      <c r="B6" s="444"/>
      <c r="C6" s="487"/>
      <c r="D6" s="487"/>
      <c r="E6" s="487"/>
      <c r="F6" s="487" t="s">
        <v>346</v>
      </c>
      <c r="G6" s="487" t="s">
        <v>346</v>
      </c>
    </row>
    <row r="7" spans="1:7" ht="8.1" customHeight="1">
      <c r="A7" s="444"/>
      <c r="B7" s="444"/>
      <c r="C7" s="488"/>
      <c r="D7" s="488"/>
      <c r="E7" s="488"/>
      <c r="F7" s="489"/>
      <c r="G7" s="490"/>
    </row>
    <row r="8" spans="1:7" ht="15" customHeight="1">
      <c r="A8" s="491" t="s">
        <v>257</v>
      </c>
      <c r="B8" s="439"/>
      <c r="C8" s="492">
        <v>1684972</v>
      </c>
      <c r="D8" s="492">
        <v>1523388</v>
      </c>
      <c r="E8" s="492">
        <v>15435556</v>
      </c>
      <c r="F8" s="493">
        <v>119.49978192726098</v>
      </c>
      <c r="G8" s="493">
        <v>121.48895706332688</v>
      </c>
    </row>
    <row r="9" spans="1:7" ht="15" customHeight="1">
      <c r="A9" s="494" t="s">
        <v>367</v>
      </c>
      <c r="B9" s="494"/>
      <c r="C9" s="495"/>
      <c r="D9" s="495"/>
      <c r="E9" s="495"/>
      <c r="F9" s="496"/>
      <c r="G9" s="496"/>
    </row>
    <row r="10" spans="1:7" ht="15" customHeight="1">
      <c r="A10" s="439"/>
      <c r="B10" s="497" t="s">
        <v>368</v>
      </c>
      <c r="C10" s="498">
        <v>1446223</v>
      </c>
      <c r="D10" s="498">
        <v>1287752</v>
      </c>
      <c r="E10" s="498">
        <v>13144595</v>
      </c>
      <c r="F10" s="499">
        <v>116.41927327003172</v>
      </c>
      <c r="G10" s="499">
        <v>121.92300721394609</v>
      </c>
    </row>
    <row r="11" spans="1:7" ht="15" customHeight="1">
      <c r="A11" s="439"/>
      <c r="B11" s="497" t="s">
        <v>359</v>
      </c>
      <c r="C11" s="498">
        <v>3909</v>
      </c>
      <c r="D11" s="498">
        <v>2848</v>
      </c>
      <c r="E11" s="498">
        <v>190630</v>
      </c>
      <c r="F11" s="499">
        <v>4827.1186440677966</v>
      </c>
      <c r="G11" s="499">
        <v>115.07998792635075</v>
      </c>
    </row>
    <row r="12" spans="1:7" ht="15" customHeight="1">
      <c r="A12" s="439"/>
      <c r="B12" s="497" t="s">
        <v>361</v>
      </c>
      <c r="C12" s="498">
        <v>234840</v>
      </c>
      <c r="D12" s="498">
        <v>232788</v>
      </c>
      <c r="E12" s="498">
        <v>2100331</v>
      </c>
      <c r="F12" s="499">
        <v>138.06134794676535</v>
      </c>
      <c r="G12" s="499">
        <v>119.4317197049478</v>
      </c>
    </row>
    <row r="13" spans="1:7" ht="15" customHeight="1">
      <c r="A13" s="500" t="s">
        <v>319</v>
      </c>
      <c r="B13" s="500"/>
      <c r="C13" s="501"/>
      <c r="D13" s="501"/>
      <c r="E13" s="501"/>
      <c r="F13" s="502"/>
      <c r="G13" s="502"/>
    </row>
    <row r="14" spans="1:7" ht="15" customHeight="1">
      <c r="A14" s="439"/>
      <c r="B14" s="503" t="s">
        <v>369</v>
      </c>
      <c r="C14" s="492">
        <v>1360039</v>
      </c>
      <c r="D14" s="492">
        <v>1244379</v>
      </c>
      <c r="E14" s="492">
        <v>12241841</v>
      </c>
      <c r="F14" s="493">
        <v>117.37198889644512</v>
      </c>
      <c r="G14" s="493">
        <v>120.92019568346232</v>
      </c>
    </row>
    <row r="15" spans="1:7" ht="15" customHeight="1">
      <c r="A15" s="439"/>
      <c r="B15" s="504" t="s">
        <v>370</v>
      </c>
      <c r="C15" s="498">
        <v>414247</v>
      </c>
      <c r="D15" s="498">
        <v>361627</v>
      </c>
      <c r="E15" s="498">
        <v>3893965</v>
      </c>
      <c r="F15" s="499">
        <v>140.18343431524187</v>
      </c>
      <c r="G15" s="499">
        <v>143.93294231319413</v>
      </c>
    </row>
    <row r="16" spans="1:7" ht="15" customHeight="1">
      <c r="A16" s="439"/>
      <c r="B16" s="504" t="s">
        <v>326</v>
      </c>
      <c r="C16" s="505">
        <v>384167</v>
      </c>
      <c r="D16" s="505">
        <v>328530</v>
      </c>
      <c r="E16" s="505">
        <v>3237740</v>
      </c>
      <c r="F16" s="506">
        <v>92.358424793091046</v>
      </c>
      <c r="G16" s="506">
        <v>96.140986429907656</v>
      </c>
    </row>
    <row r="17" spans="1:10" ht="15" customHeight="1">
      <c r="A17" s="439"/>
      <c r="B17" s="504" t="s">
        <v>324</v>
      </c>
      <c r="C17" s="505">
        <v>90421</v>
      </c>
      <c r="D17" s="505">
        <v>78086</v>
      </c>
      <c r="E17" s="505">
        <v>617772</v>
      </c>
      <c r="F17" s="506">
        <v>114.7176353058706</v>
      </c>
      <c r="G17" s="506">
        <v>116.77977187404302</v>
      </c>
    </row>
    <row r="18" spans="1:10" ht="15" customHeight="1">
      <c r="A18" s="439"/>
      <c r="B18" s="504" t="s">
        <v>325</v>
      </c>
      <c r="C18" s="505">
        <v>102543</v>
      </c>
      <c r="D18" s="505">
        <v>87218</v>
      </c>
      <c r="E18" s="505">
        <v>926400</v>
      </c>
      <c r="F18" s="506">
        <v>83.811884993849944</v>
      </c>
      <c r="G18" s="506">
        <v>97.126771195370125</v>
      </c>
    </row>
    <row r="19" spans="1:10" ht="15" customHeight="1">
      <c r="A19" s="439"/>
      <c r="B19" s="504" t="s">
        <v>330</v>
      </c>
      <c r="C19" s="505">
        <v>40246</v>
      </c>
      <c r="D19" s="505">
        <v>61214</v>
      </c>
      <c r="E19" s="505">
        <v>405262</v>
      </c>
      <c r="F19" s="506">
        <v>141.63678011985471</v>
      </c>
      <c r="G19" s="506">
        <v>113.67255979378264</v>
      </c>
    </row>
    <row r="20" spans="1:10" ht="15" customHeight="1">
      <c r="A20" s="439"/>
      <c r="B20" s="504" t="s">
        <v>331</v>
      </c>
      <c r="C20" s="505">
        <v>31279</v>
      </c>
      <c r="D20" s="505">
        <v>30142</v>
      </c>
      <c r="E20" s="505">
        <v>326517</v>
      </c>
      <c r="F20" s="506">
        <v>112.16045248195282</v>
      </c>
      <c r="G20" s="506">
        <v>108.48894234603014</v>
      </c>
    </row>
    <row r="21" spans="1:10" ht="15" customHeight="1">
      <c r="A21" s="439"/>
      <c r="B21" s="504" t="s">
        <v>320</v>
      </c>
      <c r="C21" s="505">
        <v>29169</v>
      </c>
      <c r="D21" s="505">
        <v>33012</v>
      </c>
      <c r="E21" s="505">
        <v>268187</v>
      </c>
      <c r="F21" s="506">
        <v>125.00757346258709</v>
      </c>
      <c r="G21" s="506">
        <v>111.14256112722751</v>
      </c>
    </row>
    <row r="22" spans="1:10" ht="15" customHeight="1">
      <c r="A22" s="439"/>
      <c r="B22" s="504" t="s">
        <v>371</v>
      </c>
      <c r="C22" s="505">
        <v>43211</v>
      </c>
      <c r="D22" s="505">
        <v>45237</v>
      </c>
      <c r="E22" s="505">
        <v>489870</v>
      </c>
      <c r="F22" s="506">
        <v>147.01657458563534</v>
      </c>
      <c r="G22" s="506">
        <v>150.39287501496653</v>
      </c>
    </row>
    <row r="23" spans="1:10" ht="15" customHeight="1">
      <c r="A23" s="439"/>
      <c r="B23" s="504" t="s">
        <v>372</v>
      </c>
      <c r="C23" s="505">
        <v>40712</v>
      </c>
      <c r="D23" s="505">
        <v>41372</v>
      </c>
      <c r="E23" s="505">
        <v>336751</v>
      </c>
      <c r="F23" s="506">
        <v>184.08008898776419</v>
      </c>
      <c r="G23" s="506">
        <v>192.18205164788128</v>
      </c>
    </row>
    <row r="24" spans="1:10" ht="15" customHeight="1">
      <c r="A24" s="439"/>
      <c r="B24" s="504" t="s">
        <v>373</v>
      </c>
      <c r="C24" s="505">
        <v>19918</v>
      </c>
      <c r="D24" s="505">
        <v>13076</v>
      </c>
      <c r="E24" s="505">
        <v>147583</v>
      </c>
      <c r="F24" s="506">
        <v>130.49900199600799</v>
      </c>
      <c r="G24" s="506">
        <v>132.84874562295778</v>
      </c>
    </row>
    <row r="25" spans="1:10" ht="15" customHeight="1">
      <c r="A25" s="439"/>
      <c r="B25" s="504" t="s">
        <v>374</v>
      </c>
      <c r="C25" s="505">
        <v>14553</v>
      </c>
      <c r="D25" s="505">
        <v>16655</v>
      </c>
      <c r="E25" s="505">
        <v>154856</v>
      </c>
      <c r="F25" s="506">
        <v>124.37457994175192</v>
      </c>
      <c r="G25" s="506">
        <v>114.19216871912101</v>
      </c>
    </row>
    <row r="26" spans="1:10" ht="15" customHeight="1">
      <c r="A26" s="439"/>
      <c r="B26" s="504" t="s">
        <v>375</v>
      </c>
      <c r="C26" s="507">
        <v>56131</v>
      </c>
      <c r="D26" s="507">
        <v>61395</v>
      </c>
      <c r="E26" s="507">
        <v>504643</v>
      </c>
      <c r="F26" s="508">
        <v>148.30068359139111</v>
      </c>
      <c r="G26" s="508">
        <v>142.91058513018311</v>
      </c>
    </row>
    <row r="27" spans="1:10" ht="15" customHeight="1">
      <c r="A27" s="439"/>
      <c r="B27" s="504" t="s">
        <v>376</v>
      </c>
      <c r="C27" s="498">
        <v>93442</v>
      </c>
      <c r="D27" s="498">
        <v>86815</v>
      </c>
      <c r="E27" s="498">
        <v>932295</v>
      </c>
      <c r="F27" s="499">
        <v>145.09309088478122</v>
      </c>
      <c r="G27" s="499">
        <v>164.01170236721367</v>
      </c>
    </row>
    <row r="28" spans="1:10" ht="16.350000000000001" customHeight="1">
      <c r="A28" s="439"/>
      <c r="B28" s="503" t="s">
        <v>377</v>
      </c>
      <c r="C28" s="509">
        <v>65452</v>
      </c>
      <c r="D28" s="509">
        <v>63962</v>
      </c>
      <c r="E28" s="509">
        <v>799442</v>
      </c>
      <c r="F28" s="510">
        <v>102.61502919848553</v>
      </c>
      <c r="G28" s="510">
        <v>108.52767690480232</v>
      </c>
      <c r="H28" s="511"/>
      <c r="I28" s="511"/>
      <c r="J28" s="511"/>
    </row>
    <row r="29" spans="1:10" ht="15" customHeight="1">
      <c r="A29" s="439"/>
      <c r="B29" s="504" t="s">
        <v>327</v>
      </c>
      <c r="C29" s="505">
        <v>51166</v>
      </c>
      <c r="D29" s="505">
        <v>49769</v>
      </c>
      <c r="E29" s="505">
        <v>622576</v>
      </c>
      <c r="F29" s="506">
        <v>100.77348290035839</v>
      </c>
      <c r="G29" s="506">
        <v>107.5976253640158</v>
      </c>
    </row>
    <row r="30" spans="1:10" ht="15" customHeight="1">
      <c r="A30" s="439"/>
      <c r="B30" s="504" t="s">
        <v>378</v>
      </c>
      <c r="C30" s="505">
        <v>9540</v>
      </c>
      <c r="D30" s="505">
        <v>8963</v>
      </c>
      <c r="E30" s="505">
        <v>121506</v>
      </c>
      <c r="F30" s="506">
        <v>106.96980546604607</v>
      </c>
      <c r="G30" s="506">
        <v>111.81190761019602</v>
      </c>
    </row>
    <row r="31" spans="1:10" ht="15" customHeight="1">
      <c r="A31" s="439"/>
      <c r="B31" s="504" t="s">
        <v>379</v>
      </c>
      <c r="C31" s="498">
        <v>4746</v>
      </c>
      <c r="D31" s="498">
        <v>5230</v>
      </c>
      <c r="E31" s="498">
        <v>55360</v>
      </c>
      <c r="F31" s="499">
        <v>114.54226894437144</v>
      </c>
      <c r="G31" s="499">
        <v>112.20105391163355</v>
      </c>
    </row>
    <row r="32" spans="1:10" ht="16.350000000000001" customHeight="1">
      <c r="A32" s="439"/>
      <c r="B32" s="503" t="s">
        <v>380</v>
      </c>
      <c r="C32" s="509">
        <v>214925</v>
      </c>
      <c r="D32" s="509">
        <v>161503</v>
      </c>
      <c r="E32" s="509">
        <v>1908592</v>
      </c>
      <c r="F32" s="510">
        <v>156.96818901923433</v>
      </c>
      <c r="G32" s="510">
        <v>134.9121929013524</v>
      </c>
      <c r="H32" s="511"/>
      <c r="I32" s="511"/>
      <c r="J32" s="511"/>
    </row>
    <row r="33" spans="1:10" ht="15" customHeight="1">
      <c r="A33" s="439"/>
      <c r="B33" s="504" t="s">
        <v>381</v>
      </c>
      <c r="C33" s="505">
        <v>61534</v>
      </c>
      <c r="D33" s="505">
        <v>58489</v>
      </c>
      <c r="E33" s="505">
        <v>435161</v>
      </c>
      <c r="F33" s="506">
        <v>340.50765558595793</v>
      </c>
      <c r="G33" s="506">
        <v>273.03020416358186</v>
      </c>
    </row>
    <row r="34" spans="1:10" ht="15" customHeight="1">
      <c r="A34" s="439"/>
      <c r="B34" s="504" t="s">
        <v>338</v>
      </c>
      <c r="C34" s="505">
        <v>27901</v>
      </c>
      <c r="D34" s="505">
        <v>19751</v>
      </c>
      <c r="E34" s="505">
        <v>273266</v>
      </c>
      <c r="F34" s="506">
        <v>120.26426353285026</v>
      </c>
      <c r="G34" s="506">
        <v>121.71662732172285</v>
      </c>
    </row>
    <row r="35" spans="1:10" ht="15" customHeight="1">
      <c r="A35" s="439"/>
      <c r="B35" s="504" t="s">
        <v>382</v>
      </c>
      <c r="C35" s="505">
        <v>28333</v>
      </c>
      <c r="D35" s="505">
        <v>17026</v>
      </c>
      <c r="E35" s="505">
        <v>243647</v>
      </c>
      <c r="F35" s="506">
        <v>122.16402382148239</v>
      </c>
      <c r="G35" s="506">
        <v>122.61066044002496</v>
      </c>
    </row>
    <row r="36" spans="1:10" ht="15" customHeight="1">
      <c r="A36" s="439"/>
      <c r="B36" s="504" t="s">
        <v>336</v>
      </c>
      <c r="C36" s="505">
        <v>22419</v>
      </c>
      <c r="D36" s="505">
        <v>16900</v>
      </c>
      <c r="E36" s="505">
        <v>206250</v>
      </c>
      <c r="F36" s="506">
        <v>112.8773710927064</v>
      </c>
      <c r="G36" s="506">
        <v>117.46447589486573</v>
      </c>
    </row>
    <row r="37" spans="1:10" ht="15" customHeight="1">
      <c r="A37" s="439"/>
      <c r="B37" s="504" t="s">
        <v>383</v>
      </c>
      <c r="C37" s="505">
        <v>15922</v>
      </c>
      <c r="D37" s="505">
        <v>8240</v>
      </c>
      <c r="E37" s="505">
        <v>68538</v>
      </c>
      <c r="F37" s="506">
        <v>91.21098073942882</v>
      </c>
      <c r="G37" s="506">
        <v>105.85836744150127</v>
      </c>
    </row>
    <row r="38" spans="1:10" ht="15" customHeight="1">
      <c r="A38" s="439"/>
      <c r="B38" s="504" t="s">
        <v>335</v>
      </c>
      <c r="C38" s="505">
        <v>8690</v>
      </c>
      <c r="D38" s="505">
        <v>5109</v>
      </c>
      <c r="E38" s="505">
        <v>68209</v>
      </c>
      <c r="F38" s="506">
        <v>108.01268498942918</v>
      </c>
      <c r="G38" s="506">
        <v>118.2603117360473</v>
      </c>
    </row>
    <row r="39" spans="1:10" ht="15" customHeight="1">
      <c r="A39" s="439"/>
      <c r="B39" s="504" t="s">
        <v>384</v>
      </c>
      <c r="C39" s="505">
        <v>16210</v>
      </c>
      <c r="D39" s="505">
        <v>5576</v>
      </c>
      <c r="E39" s="505">
        <v>78585</v>
      </c>
      <c r="F39" s="506">
        <v>118.11056979453505</v>
      </c>
      <c r="G39" s="506">
        <v>122.31128404669261</v>
      </c>
    </row>
    <row r="40" spans="1:10" ht="15" customHeight="1">
      <c r="A40" s="439"/>
      <c r="B40" s="504" t="s">
        <v>323</v>
      </c>
      <c r="C40" s="505">
        <v>1384</v>
      </c>
      <c r="D40" s="505">
        <v>1475</v>
      </c>
      <c r="E40" s="505">
        <v>26889</v>
      </c>
      <c r="F40" s="506">
        <v>111.48904006046862</v>
      </c>
      <c r="G40" s="506">
        <v>117.00535224750881</v>
      </c>
    </row>
    <row r="41" spans="1:10" ht="15" customHeight="1">
      <c r="A41" s="439"/>
      <c r="B41" s="504" t="s">
        <v>334</v>
      </c>
      <c r="C41" s="505">
        <v>1603</v>
      </c>
      <c r="D41" s="505">
        <v>1778</v>
      </c>
      <c r="E41" s="505">
        <v>31101</v>
      </c>
      <c r="F41" s="506">
        <v>100.50876201243642</v>
      </c>
      <c r="G41" s="506">
        <v>113.01235465116279</v>
      </c>
    </row>
    <row r="42" spans="1:10" ht="15" customHeight="1">
      <c r="A42" s="439"/>
      <c r="B42" s="504" t="s">
        <v>385</v>
      </c>
      <c r="C42" s="505">
        <v>2023</v>
      </c>
      <c r="D42" s="505">
        <v>1987</v>
      </c>
      <c r="E42" s="505">
        <v>27165</v>
      </c>
      <c r="F42" s="506">
        <v>125.99873176918199</v>
      </c>
      <c r="G42" s="506">
        <v>115.77309921581997</v>
      </c>
    </row>
    <row r="43" spans="1:10" ht="15" customHeight="1">
      <c r="A43" s="439"/>
      <c r="B43" s="504" t="s">
        <v>386</v>
      </c>
      <c r="C43" s="505">
        <v>2899</v>
      </c>
      <c r="D43" s="505">
        <v>2556</v>
      </c>
      <c r="E43" s="505">
        <v>26630</v>
      </c>
      <c r="F43" s="506">
        <v>118.93904141461145</v>
      </c>
      <c r="G43" s="506">
        <v>117.88401947764497</v>
      </c>
    </row>
    <row r="44" spans="1:10" ht="15" customHeight="1">
      <c r="A44" s="439"/>
      <c r="B44" s="504" t="s">
        <v>387</v>
      </c>
      <c r="C44" s="505">
        <v>1235</v>
      </c>
      <c r="D44" s="505">
        <v>1384</v>
      </c>
      <c r="E44" s="505">
        <v>24663</v>
      </c>
      <c r="F44" s="506">
        <v>115.42952460383653</v>
      </c>
      <c r="G44" s="506">
        <v>119.7639974748701</v>
      </c>
    </row>
    <row r="45" spans="1:10" ht="15" customHeight="1">
      <c r="A45" s="439"/>
      <c r="B45" s="512" t="s">
        <v>388</v>
      </c>
      <c r="C45" s="501">
        <v>1176</v>
      </c>
      <c r="D45" s="501">
        <v>1268</v>
      </c>
      <c r="E45" s="501">
        <v>18966</v>
      </c>
      <c r="F45" s="502">
        <v>138.88280394304491</v>
      </c>
      <c r="G45" s="502">
        <v>96.898789148316553</v>
      </c>
    </row>
    <row r="46" spans="1:10" ht="15" customHeight="1">
      <c r="A46" s="439"/>
      <c r="B46" s="504" t="s">
        <v>389</v>
      </c>
      <c r="C46" s="505">
        <v>2478</v>
      </c>
      <c r="D46" s="505">
        <v>3044</v>
      </c>
      <c r="E46" s="505">
        <v>45963</v>
      </c>
      <c r="F46" s="506">
        <v>168.45600442722747</v>
      </c>
      <c r="G46" s="506">
        <v>146.00698856416773</v>
      </c>
    </row>
    <row r="47" spans="1:10" ht="16.350000000000001" customHeight="1">
      <c r="A47" s="439"/>
      <c r="B47" s="504" t="s">
        <v>390</v>
      </c>
      <c r="C47" s="513">
        <v>21118</v>
      </c>
      <c r="D47" s="513">
        <v>16920</v>
      </c>
      <c r="E47" s="513">
        <v>333559</v>
      </c>
      <c r="F47" s="514">
        <v>151.64007886718051</v>
      </c>
      <c r="G47" s="514">
        <v>110.58695205320497</v>
      </c>
    </row>
    <row r="48" spans="1:10" ht="15" customHeight="1">
      <c r="A48" s="439"/>
      <c r="B48" s="503" t="s">
        <v>391</v>
      </c>
      <c r="C48" s="509">
        <v>38823</v>
      </c>
      <c r="D48" s="509">
        <v>48682</v>
      </c>
      <c r="E48" s="509">
        <v>445022</v>
      </c>
      <c r="F48" s="510">
        <v>108.86200496433283</v>
      </c>
      <c r="G48" s="510">
        <v>113.74306073834765</v>
      </c>
      <c r="H48" s="511"/>
      <c r="I48" s="511"/>
      <c r="J48" s="511"/>
    </row>
    <row r="49" spans="1:7" ht="15" customHeight="1">
      <c r="A49" s="439"/>
      <c r="B49" s="504" t="s">
        <v>392</v>
      </c>
      <c r="C49" s="505">
        <v>34313</v>
      </c>
      <c r="D49" s="505">
        <v>43255</v>
      </c>
      <c r="E49" s="505">
        <v>401234</v>
      </c>
      <c r="F49" s="506">
        <v>106.53940886699506</v>
      </c>
      <c r="G49" s="506">
        <v>112.92727615584445</v>
      </c>
    </row>
    <row r="50" spans="1:7" ht="15" customHeight="1">
      <c r="A50" s="439"/>
      <c r="B50" s="504" t="s">
        <v>393</v>
      </c>
      <c r="C50" s="505">
        <v>4387</v>
      </c>
      <c r="D50" s="505">
        <v>5284</v>
      </c>
      <c r="E50" s="505">
        <v>42570</v>
      </c>
      <c r="F50" s="506">
        <v>132.69713711702661</v>
      </c>
      <c r="G50" s="506">
        <v>121.67028695552762</v>
      </c>
    </row>
    <row r="51" spans="1:7" ht="16.350000000000001" customHeight="1">
      <c r="A51" s="439"/>
      <c r="B51" s="504" t="s">
        <v>394</v>
      </c>
      <c r="C51" s="498">
        <v>123</v>
      </c>
      <c r="D51" s="498">
        <v>143</v>
      </c>
      <c r="E51" s="498">
        <v>1218</v>
      </c>
      <c r="F51" s="499">
        <v>104.37956204379562</v>
      </c>
      <c r="G51" s="499">
        <v>126.74297606659731</v>
      </c>
    </row>
    <row r="52" spans="1:7">
      <c r="A52" s="439"/>
      <c r="B52" s="503" t="s">
        <v>395</v>
      </c>
      <c r="C52" s="509">
        <v>5733</v>
      </c>
      <c r="D52" s="509">
        <v>4862</v>
      </c>
      <c r="E52" s="509">
        <v>40659</v>
      </c>
      <c r="F52" s="510">
        <v>104.26763885910357</v>
      </c>
      <c r="G52" s="510">
        <v>104.66714719662255</v>
      </c>
    </row>
    <row r="53" spans="1:7">
      <c r="A53" s="515"/>
      <c r="B53" s="515"/>
      <c r="C53" s="515"/>
      <c r="D53" s="515"/>
      <c r="E53" s="515"/>
      <c r="F53" s="515"/>
      <c r="G53" s="515"/>
    </row>
    <row r="54" spans="1:7">
      <c r="A54" s="515"/>
      <c r="B54" s="516"/>
      <c r="C54" s="516"/>
      <c r="D54" s="516"/>
      <c r="E54" s="516"/>
      <c r="F54" s="516"/>
      <c r="G54" s="516"/>
    </row>
    <row r="55" spans="1:7">
      <c r="A55" s="515"/>
      <c r="B55" s="515"/>
      <c r="C55" s="517"/>
      <c r="D55" s="517"/>
      <c r="E55" s="517"/>
      <c r="F55" s="515"/>
      <c r="G55" s="515"/>
    </row>
    <row r="56" spans="1:7">
      <c r="A56" s="515"/>
      <c r="B56" s="515"/>
      <c r="C56" s="515"/>
      <c r="D56" s="515"/>
      <c r="E56" s="515"/>
      <c r="F56" s="515"/>
      <c r="G56" s="515"/>
    </row>
    <row r="57" spans="1:7">
      <c r="A57" s="515"/>
      <c r="B57" s="515"/>
      <c r="C57" s="515"/>
      <c r="D57" s="515"/>
      <c r="E57" s="515"/>
      <c r="F57" s="515"/>
      <c r="G57" s="518"/>
    </row>
    <row r="58" spans="1:7">
      <c r="A58" s="515"/>
      <c r="B58" s="515"/>
      <c r="C58" s="515"/>
      <c r="D58" s="515"/>
      <c r="E58" s="515"/>
      <c r="F58" s="515"/>
      <c r="G58" s="518"/>
    </row>
    <row r="59" spans="1:7">
      <c r="A59" s="515"/>
      <c r="B59" s="515"/>
      <c r="C59" s="515"/>
      <c r="D59" s="515"/>
      <c r="E59" s="515"/>
      <c r="F59" s="515"/>
      <c r="G59" s="518"/>
    </row>
    <row r="60" spans="1:7">
      <c r="A60" s="515"/>
      <c r="B60" s="515"/>
      <c r="C60" s="515"/>
      <c r="D60" s="515"/>
      <c r="E60" s="515"/>
      <c r="F60" s="515"/>
      <c r="G60" s="518"/>
    </row>
    <row r="61" spans="1:7">
      <c r="A61" s="515"/>
      <c r="B61" s="515"/>
      <c r="C61" s="515"/>
      <c r="D61" s="515"/>
      <c r="E61" s="515"/>
      <c r="F61" s="515"/>
      <c r="G61" s="518"/>
    </row>
    <row r="62" spans="1:7">
      <c r="A62" s="515"/>
      <c r="B62" s="515"/>
      <c r="C62" s="515"/>
      <c r="D62" s="515"/>
      <c r="E62" s="515"/>
      <c r="F62" s="515"/>
      <c r="G62" s="518"/>
    </row>
    <row r="63" spans="1:7">
      <c r="A63" s="515"/>
      <c r="B63" s="515"/>
      <c r="C63" s="515"/>
      <c r="D63" s="515"/>
      <c r="E63" s="515"/>
      <c r="F63" s="515"/>
      <c r="G63" s="518"/>
    </row>
    <row r="64" spans="1:7">
      <c r="A64" s="515"/>
      <c r="B64" s="515"/>
      <c r="C64" s="515"/>
      <c r="D64" s="515"/>
      <c r="E64" s="515"/>
      <c r="F64" s="515"/>
      <c r="G64" s="518"/>
    </row>
    <row r="65" spans="1:7">
      <c r="A65" s="515"/>
      <c r="B65" s="515"/>
      <c r="C65" s="515"/>
      <c r="D65" s="515"/>
      <c r="E65" s="515"/>
      <c r="F65" s="515"/>
      <c r="G65" s="518"/>
    </row>
    <row r="66" spans="1:7">
      <c r="A66" s="515"/>
      <c r="B66" s="515"/>
      <c r="C66" s="515"/>
      <c r="D66" s="515"/>
      <c r="E66" s="515"/>
      <c r="F66" s="515"/>
      <c r="G66" s="518"/>
    </row>
    <row r="67" spans="1:7">
      <c r="A67" s="515"/>
      <c r="B67" s="515"/>
      <c r="C67" s="515"/>
      <c r="D67" s="515"/>
      <c r="E67" s="515"/>
      <c r="F67" s="515"/>
      <c r="G67" s="518"/>
    </row>
    <row r="68" spans="1:7">
      <c r="A68" s="515"/>
      <c r="B68" s="515"/>
      <c r="C68" s="515"/>
      <c r="D68" s="515"/>
      <c r="E68" s="515"/>
      <c r="F68" s="515"/>
      <c r="G68" s="515"/>
    </row>
    <row r="69" spans="1:7">
      <c r="A69" s="515"/>
      <c r="B69" s="515"/>
      <c r="C69" s="515"/>
      <c r="D69" s="515"/>
      <c r="E69" s="515"/>
      <c r="F69" s="515"/>
      <c r="G69" s="515"/>
    </row>
    <row r="70" spans="1:7">
      <c r="A70" s="515"/>
      <c r="B70" s="515"/>
      <c r="C70" s="515"/>
      <c r="D70" s="515"/>
      <c r="E70" s="515"/>
      <c r="F70" s="515"/>
      <c r="G70" s="515"/>
    </row>
    <row r="71" spans="1:7">
      <c r="A71" s="515"/>
      <c r="B71" s="515"/>
      <c r="C71" s="515"/>
      <c r="D71" s="515"/>
      <c r="E71" s="515"/>
      <c r="F71" s="515"/>
      <c r="G71" s="515"/>
    </row>
    <row r="72" spans="1:7">
      <c r="A72" s="515"/>
      <c r="B72" s="515"/>
      <c r="C72" s="515"/>
      <c r="D72" s="515"/>
      <c r="E72" s="515"/>
      <c r="F72" s="515"/>
      <c r="G72" s="515"/>
    </row>
    <row r="73" spans="1:7">
      <c r="A73" s="515"/>
      <c r="B73" s="515"/>
      <c r="C73" s="515"/>
      <c r="D73" s="515"/>
      <c r="E73" s="515"/>
      <c r="F73" s="515"/>
      <c r="G73" s="515"/>
    </row>
    <row r="74" spans="1:7">
      <c r="A74" s="515"/>
      <c r="B74" s="515"/>
      <c r="C74" s="515"/>
      <c r="D74" s="515"/>
      <c r="E74" s="515"/>
      <c r="F74" s="515"/>
      <c r="G74" s="515"/>
    </row>
    <row r="75" spans="1:7">
      <c r="A75" s="515"/>
      <c r="B75" s="515"/>
      <c r="C75" s="515"/>
      <c r="D75" s="515"/>
      <c r="E75" s="515"/>
      <c r="F75" s="515"/>
      <c r="G75" s="515"/>
    </row>
    <row r="76" spans="1:7">
      <c r="A76" s="515"/>
      <c r="B76" s="515"/>
      <c r="C76" s="515"/>
      <c r="D76" s="515"/>
      <c r="E76" s="515"/>
      <c r="F76" s="515"/>
      <c r="G76" s="515"/>
    </row>
    <row r="77" spans="1:7">
      <c r="A77" s="515"/>
      <c r="B77" s="515"/>
      <c r="C77" s="515"/>
      <c r="D77" s="515"/>
      <c r="E77" s="515"/>
      <c r="F77" s="515"/>
      <c r="G77" s="515"/>
    </row>
    <row r="78" spans="1:7">
      <c r="A78" s="515"/>
      <c r="B78" s="515"/>
      <c r="C78" s="515"/>
      <c r="D78" s="515"/>
      <c r="E78" s="515"/>
      <c r="F78" s="515"/>
      <c r="G78" s="515"/>
    </row>
    <row r="79" spans="1:7">
      <c r="A79" s="515"/>
      <c r="B79" s="515"/>
      <c r="C79" s="515"/>
      <c r="D79" s="515"/>
      <c r="E79" s="515"/>
      <c r="F79" s="515"/>
      <c r="G79" s="515"/>
    </row>
    <row r="80" spans="1:7">
      <c r="A80" s="515"/>
      <c r="B80" s="515"/>
      <c r="C80" s="515"/>
      <c r="D80" s="515"/>
      <c r="E80" s="515"/>
      <c r="F80" s="515"/>
      <c r="G80" s="515"/>
    </row>
    <row r="81" spans="1:7">
      <c r="A81" s="515"/>
      <c r="B81" s="515"/>
      <c r="C81" s="515"/>
      <c r="D81" s="515"/>
      <c r="E81" s="515"/>
      <c r="F81" s="515"/>
      <c r="G81" s="515"/>
    </row>
    <row r="82" spans="1:7">
      <c r="A82" s="515"/>
      <c r="B82" s="515"/>
      <c r="C82" s="515"/>
      <c r="D82" s="515"/>
      <c r="E82" s="515"/>
      <c r="F82" s="515"/>
      <c r="G82" s="515"/>
    </row>
    <row r="83" spans="1:7">
      <c r="A83" s="515"/>
      <c r="B83" s="515"/>
      <c r="C83" s="515"/>
      <c r="D83" s="515"/>
      <c r="E83" s="515"/>
      <c r="F83" s="515"/>
      <c r="G83" s="515"/>
    </row>
    <row r="84" spans="1:7">
      <c r="A84" s="515"/>
      <c r="B84" s="515"/>
      <c r="C84" s="515"/>
      <c r="D84" s="515"/>
      <c r="E84" s="515"/>
      <c r="F84" s="515"/>
      <c r="G84" s="515"/>
    </row>
    <row r="85" spans="1:7">
      <c r="A85" s="515"/>
      <c r="B85" s="515"/>
      <c r="C85" s="515"/>
      <c r="D85" s="515"/>
      <c r="E85" s="515"/>
      <c r="F85" s="515"/>
      <c r="G85" s="515"/>
    </row>
    <row r="86" spans="1:7">
      <c r="A86" s="515"/>
      <c r="B86" s="515"/>
      <c r="C86" s="515"/>
      <c r="D86" s="515"/>
      <c r="E86" s="515"/>
      <c r="F86" s="515"/>
      <c r="G86" s="515"/>
    </row>
    <row r="87" spans="1:7">
      <c r="A87" s="515"/>
      <c r="B87" s="515"/>
      <c r="C87" s="515"/>
      <c r="D87" s="515"/>
      <c r="E87" s="515"/>
      <c r="F87" s="515"/>
      <c r="G87" s="515"/>
    </row>
    <row r="88" spans="1:7">
      <c r="A88" s="515"/>
      <c r="B88" s="515"/>
      <c r="C88" s="515"/>
      <c r="D88" s="515"/>
      <c r="E88" s="515"/>
      <c r="F88" s="515"/>
      <c r="G88" s="515"/>
    </row>
    <row r="89" spans="1:7">
      <c r="A89" s="515"/>
      <c r="B89" s="515"/>
      <c r="C89" s="515"/>
      <c r="D89" s="515"/>
      <c r="E89" s="515"/>
      <c r="F89" s="515"/>
      <c r="G89" s="515"/>
    </row>
    <row r="90" spans="1:7">
      <c r="A90" s="515"/>
      <c r="B90" s="515"/>
      <c r="C90" s="515"/>
      <c r="D90" s="515"/>
      <c r="E90" s="515"/>
      <c r="F90" s="515"/>
      <c r="G90" s="515"/>
    </row>
    <row r="91" spans="1:7">
      <c r="A91" s="515"/>
      <c r="B91" s="515"/>
      <c r="C91" s="515"/>
      <c r="D91" s="515"/>
      <c r="E91" s="515"/>
      <c r="F91" s="515"/>
      <c r="G91" s="515"/>
    </row>
    <row r="92" spans="1:7">
      <c r="A92" s="515"/>
      <c r="B92" s="515"/>
      <c r="C92" s="515"/>
      <c r="D92" s="515"/>
      <c r="E92" s="515"/>
      <c r="F92" s="515"/>
      <c r="G92" s="515"/>
    </row>
    <row r="93" spans="1:7">
      <c r="A93" s="515"/>
      <c r="B93" s="515"/>
      <c r="C93" s="515"/>
      <c r="D93" s="515"/>
      <c r="E93" s="515"/>
      <c r="F93" s="515"/>
      <c r="G93" s="515"/>
    </row>
    <row r="94" spans="1:7">
      <c r="A94" s="515"/>
      <c r="B94" s="515"/>
      <c r="C94" s="515"/>
      <c r="D94" s="515"/>
      <c r="E94" s="515"/>
      <c r="F94" s="515"/>
      <c r="G94" s="515"/>
    </row>
    <row r="95" spans="1:7">
      <c r="A95" s="515"/>
      <c r="B95" s="515"/>
      <c r="C95" s="515"/>
      <c r="D95" s="515"/>
      <c r="E95" s="515"/>
      <c r="F95" s="515"/>
      <c r="G95" s="515"/>
    </row>
    <row r="96" spans="1:7">
      <c r="A96" s="515"/>
      <c r="B96" s="515"/>
      <c r="C96" s="515"/>
      <c r="D96" s="515"/>
      <c r="E96" s="515"/>
      <c r="F96" s="515"/>
      <c r="G96" s="515"/>
    </row>
    <row r="97" spans="1:7">
      <c r="A97" s="515"/>
      <c r="B97" s="515"/>
      <c r="C97" s="515"/>
      <c r="D97" s="515"/>
      <c r="E97" s="515"/>
      <c r="F97" s="515"/>
      <c r="G97" s="515"/>
    </row>
    <row r="98" spans="1:7">
      <c r="A98" s="515"/>
      <c r="B98" s="515"/>
      <c r="C98" s="515"/>
      <c r="D98" s="515"/>
      <c r="E98" s="515"/>
      <c r="F98" s="515"/>
      <c r="G98" s="515"/>
    </row>
    <row r="99" spans="1:7">
      <c r="A99" s="515"/>
      <c r="B99" s="515"/>
      <c r="C99" s="515"/>
      <c r="D99" s="515"/>
      <c r="E99" s="515"/>
      <c r="F99" s="515"/>
      <c r="G99" s="515"/>
    </row>
    <row r="100" spans="1:7">
      <c r="A100" s="515"/>
      <c r="B100" s="515"/>
      <c r="C100" s="515"/>
      <c r="D100" s="515"/>
      <c r="E100" s="515"/>
      <c r="F100" s="515"/>
      <c r="G100" s="515"/>
    </row>
    <row r="101" spans="1:7">
      <c r="A101" s="515"/>
      <c r="B101" s="515"/>
      <c r="C101" s="515"/>
      <c r="D101" s="515"/>
      <c r="E101" s="515"/>
      <c r="F101" s="515"/>
      <c r="G101" s="515"/>
    </row>
    <row r="102" spans="1:7">
      <c r="A102" s="515"/>
      <c r="B102" s="515"/>
      <c r="C102" s="515"/>
      <c r="D102" s="515"/>
      <c r="E102" s="515"/>
      <c r="F102" s="515"/>
      <c r="G102" s="515"/>
    </row>
    <row r="103" spans="1:7">
      <c r="A103" s="515"/>
      <c r="B103" s="515"/>
      <c r="C103" s="515"/>
      <c r="D103" s="515"/>
      <c r="E103" s="515"/>
      <c r="F103" s="515"/>
      <c r="G103" s="515"/>
    </row>
    <row r="104" spans="1:7">
      <c r="A104" s="515"/>
      <c r="B104" s="515"/>
      <c r="C104" s="515"/>
      <c r="D104" s="515"/>
      <c r="E104" s="515"/>
      <c r="F104" s="515"/>
      <c r="G104" s="515"/>
    </row>
    <row r="105" spans="1:7">
      <c r="A105" s="515"/>
      <c r="B105" s="515"/>
      <c r="C105" s="515"/>
      <c r="D105" s="515"/>
      <c r="E105" s="515"/>
      <c r="F105" s="515"/>
      <c r="G105" s="515"/>
    </row>
    <row r="106" spans="1:7">
      <c r="A106" s="515"/>
      <c r="B106" s="515"/>
      <c r="C106" s="515"/>
      <c r="D106" s="515"/>
      <c r="E106" s="515"/>
      <c r="F106" s="515"/>
      <c r="G106" s="515"/>
    </row>
    <row r="107" spans="1:7">
      <c r="A107" s="515"/>
      <c r="B107" s="515"/>
      <c r="C107" s="515"/>
      <c r="D107" s="515"/>
      <c r="E107" s="515"/>
      <c r="F107" s="515"/>
      <c r="G107" s="515"/>
    </row>
    <row r="108" spans="1:7">
      <c r="A108" s="515"/>
      <c r="B108" s="515"/>
      <c r="C108" s="515"/>
      <c r="D108" s="515"/>
      <c r="E108" s="515"/>
      <c r="F108" s="515"/>
      <c r="G108" s="515"/>
    </row>
    <row r="109" spans="1:7">
      <c r="A109" s="515"/>
      <c r="B109" s="515"/>
      <c r="C109" s="515"/>
      <c r="D109" s="515"/>
      <c r="E109" s="515"/>
      <c r="F109" s="515"/>
      <c r="G109" s="515"/>
    </row>
    <row r="110" spans="1:7">
      <c r="A110" s="515"/>
      <c r="B110" s="515"/>
      <c r="C110" s="515"/>
      <c r="D110" s="515"/>
      <c r="E110" s="515"/>
      <c r="F110" s="515"/>
      <c r="G110" s="515"/>
    </row>
    <row r="111" spans="1:7">
      <c r="A111" s="515"/>
      <c r="B111" s="515"/>
      <c r="C111" s="515"/>
      <c r="D111" s="515"/>
      <c r="E111" s="515"/>
      <c r="F111" s="515"/>
      <c r="G111" s="515"/>
    </row>
    <row r="112" spans="1:7">
      <c r="A112" s="515"/>
      <c r="B112" s="515"/>
      <c r="C112" s="515"/>
      <c r="D112" s="515"/>
      <c r="E112" s="515"/>
      <c r="F112" s="515"/>
      <c r="G112" s="515"/>
    </row>
    <row r="113" spans="1:7">
      <c r="A113" s="515"/>
      <c r="B113" s="515"/>
      <c r="C113" s="515"/>
      <c r="D113" s="515"/>
      <c r="E113" s="515"/>
      <c r="F113" s="515"/>
      <c r="G113" s="515"/>
    </row>
    <row r="114" spans="1:7">
      <c r="A114" s="515"/>
      <c r="B114" s="515"/>
      <c r="C114" s="515"/>
      <c r="D114" s="515"/>
      <c r="E114" s="515"/>
      <c r="F114" s="515"/>
      <c r="G114" s="515"/>
    </row>
    <row r="115" spans="1:7">
      <c r="A115" s="515"/>
      <c r="B115" s="515"/>
      <c r="C115" s="515"/>
      <c r="D115" s="515"/>
      <c r="E115" s="515"/>
      <c r="F115" s="515"/>
      <c r="G115" s="515"/>
    </row>
    <row r="116" spans="1:7">
      <c r="A116" s="515"/>
      <c r="B116" s="515"/>
      <c r="C116" s="515"/>
      <c r="D116" s="515"/>
      <c r="E116" s="515"/>
      <c r="F116" s="515"/>
      <c r="G116" s="515"/>
    </row>
    <row r="117" spans="1:7">
      <c r="A117" s="515"/>
      <c r="B117" s="515"/>
      <c r="C117" s="515"/>
      <c r="D117" s="515"/>
      <c r="E117" s="515"/>
      <c r="F117" s="515"/>
      <c r="G117" s="515"/>
    </row>
    <row r="118" spans="1:7">
      <c r="A118" s="515"/>
      <c r="B118" s="515"/>
      <c r="C118" s="515"/>
      <c r="D118" s="515"/>
      <c r="E118" s="515"/>
      <c r="F118" s="515"/>
      <c r="G118" s="515"/>
    </row>
    <row r="119" spans="1:7">
      <c r="A119" s="515"/>
      <c r="B119" s="515"/>
      <c r="C119" s="515"/>
      <c r="D119" s="515"/>
      <c r="E119" s="515"/>
      <c r="F119" s="515"/>
      <c r="G119" s="515"/>
    </row>
    <row r="120" spans="1:7">
      <c r="A120" s="515"/>
      <c r="B120" s="515"/>
      <c r="C120" s="515"/>
      <c r="D120" s="515"/>
      <c r="E120" s="515"/>
      <c r="F120" s="515"/>
      <c r="G120" s="515"/>
    </row>
    <row r="121" spans="1:7">
      <c r="A121" s="515"/>
      <c r="B121" s="515"/>
      <c r="C121" s="515"/>
      <c r="D121" s="515"/>
      <c r="E121" s="515"/>
      <c r="F121" s="515"/>
      <c r="G121" s="515"/>
    </row>
    <row r="122" spans="1:7">
      <c r="A122" s="515"/>
      <c r="B122" s="515"/>
      <c r="C122" s="515"/>
      <c r="D122" s="515"/>
      <c r="E122" s="515"/>
      <c r="F122" s="515"/>
      <c r="G122" s="515"/>
    </row>
    <row r="123" spans="1:7">
      <c r="A123" s="515"/>
      <c r="B123" s="515"/>
      <c r="C123" s="515"/>
      <c r="D123" s="515"/>
      <c r="E123" s="515"/>
      <c r="F123" s="515"/>
      <c r="G123" s="515"/>
    </row>
    <row r="124" spans="1:7">
      <c r="A124" s="515"/>
      <c r="B124" s="515"/>
      <c r="C124" s="515"/>
      <c r="D124" s="515"/>
      <c r="E124" s="515"/>
      <c r="F124" s="515"/>
      <c r="G124" s="515"/>
    </row>
    <row r="125" spans="1:7">
      <c r="A125" s="515"/>
      <c r="B125" s="515"/>
      <c r="C125" s="515"/>
      <c r="D125" s="515"/>
      <c r="E125" s="515"/>
      <c r="F125" s="515"/>
      <c r="G125" s="515"/>
    </row>
    <row r="126" spans="1:7">
      <c r="A126" s="515"/>
      <c r="B126" s="515"/>
      <c r="C126" s="515"/>
      <c r="D126" s="515"/>
      <c r="E126" s="515"/>
      <c r="F126" s="515"/>
      <c r="G126" s="515"/>
    </row>
    <row r="127" spans="1:7">
      <c r="A127" s="515"/>
      <c r="B127" s="515"/>
      <c r="C127" s="515"/>
      <c r="D127" s="515"/>
      <c r="E127" s="515"/>
      <c r="F127" s="515"/>
      <c r="G127" s="515"/>
    </row>
    <row r="128" spans="1:7">
      <c r="A128" s="515"/>
      <c r="B128" s="515"/>
      <c r="C128" s="515"/>
      <c r="D128" s="515"/>
      <c r="E128" s="515"/>
      <c r="F128" s="515"/>
      <c r="G128" s="515"/>
    </row>
    <row r="129" spans="1:7">
      <c r="A129" s="515"/>
      <c r="B129" s="515"/>
      <c r="C129" s="515"/>
      <c r="D129" s="515"/>
      <c r="E129" s="515"/>
      <c r="F129" s="515"/>
      <c r="G129" s="515"/>
    </row>
    <row r="130" spans="1:7">
      <c r="A130" s="515"/>
      <c r="B130" s="515"/>
      <c r="C130" s="515"/>
      <c r="D130" s="515"/>
      <c r="E130" s="515"/>
      <c r="F130" s="515"/>
      <c r="G130" s="515"/>
    </row>
    <row r="131" spans="1:7">
      <c r="A131" s="515"/>
      <c r="B131" s="515"/>
      <c r="C131" s="515"/>
      <c r="D131" s="515"/>
      <c r="E131" s="515"/>
      <c r="F131" s="515"/>
      <c r="G131" s="515"/>
    </row>
    <row r="132" spans="1:7">
      <c r="A132" s="515"/>
      <c r="B132" s="515"/>
      <c r="C132" s="515"/>
      <c r="D132" s="515"/>
      <c r="E132" s="515"/>
      <c r="F132" s="515"/>
      <c r="G132" s="515"/>
    </row>
    <row r="133" spans="1:7">
      <c r="A133" s="515"/>
      <c r="B133" s="515"/>
      <c r="C133" s="515"/>
      <c r="D133" s="515"/>
      <c r="E133" s="515"/>
      <c r="F133" s="515"/>
      <c r="G133" s="515"/>
    </row>
    <row r="134" spans="1:7">
      <c r="A134" s="515"/>
      <c r="B134" s="515"/>
      <c r="C134" s="515"/>
      <c r="D134" s="515"/>
      <c r="E134" s="515"/>
      <c r="F134" s="515"/>
      <c r="G134" s="515"/>
    </row>
    <row r="135" spans="1:7">
      <c r="A135" s="515"/>
      <c r="B135" s="515"/>
      <c r="C135" s="515"/>
      <c r="D135" s="515"/>
      <c r="E135" s="515"/>
      <c r="F135" s="515"/>
      <c r="G135" s="515"/>
    </row>
    <row r="136" spans="1:7">
      <c r="A136" s="515"/>
      <c r="B136" s="515"/>
      <c r="C136" s="515"/>
      <c r="D136" s="515"/>
      <c r="E136" s="515"/>
      <c r="F136" s="515"/>
      <c r="G136" s="515"/>
    </row>
    <row r="137" spans="1:7">
      <c r="A137" s="515"/>
      <c r="B137" s="515"/>
      <c r="C137" s="515"/>
      <c r="D137" s="515"/>
      <c r="E137" s="515"/>
      <c r="F137" s="515"/>
      <c r="G137" s="515"/>
    </row>
    <row r="138" spans="1:7">
      <c r="A138" s="463"/>
      <c r="B138" s="463"/>
      <c r="C138" s="463"/>
      <c r="D138" s="463"/>
      <c r="E138" s="465"/>
      <c r="F138" s="465"/>
      <c r="G138" s="463"/>
    </row>
    <row r="139" spans="1:7">
      <c r="A139" s="463"/>
      <c r="B139" s="463"/>
      <c r="C139" s="463"/>
      <c r="D139" s="463"/>
      <c r="E139" s="465"/>
      <c r="F139" s="465"/>
      <c r="G139" s="463"/>
    </row>
    <row r="140" spans="1:7">
      <c r="A140" s="463"/>
      <c r="B140" s="463"/>
      <c r="C140" s="463"/>
      <c r="D140" s="463"/>
      <c r="E140" s="465"/>
      <c r="F140" s="465"/>
      <c r="G140" s="463"/>
    </row>
    <row r="141" spans="1:7">
      <c r="A141" s="463"/>
      <c r="B141" s="463"/>
      <c r="C141" s="463"/>
      <c r="D141" s="463"/>
      <c r="E141" s="465"/>
      <c r="F141" s="465"/>
      <c r="G141" s="463"/>
    </row>
    <row r="142" spans="1:7">
      <c r="A142" s="463"/>
      <c r="B142" s="463"/>
      <c r="C142" s="463"/>
      <c r="D142" s="463"/>
      <c r="E142" s="465"/>
      <c r="F142" s="465"/>
      <c r="G142" s="463"/>
    </row>
    <row r="143" spans="1:7">
      <c r="A143" s="463"/>
      <c r="B143" s="463"/>
      <c r="C143" s="463"/>
      <c r="D143" s="463"/>
      <c r="E143" s="465"/>
      <c r="F143" s="465"/>
      <c r="G143" s="463"/>
    </row>
    <row r="144" spans="1:7">
      <c r="A144" s="463"/>
      <c r="B144" s="463"/>
      <c r="C144" s="463"/>
      <c r="D144" s="463"/>
      <c r="E144" s="465"/>
      <c r="F144" s="465"/>
      <c r="G144" s="463"/>
    </row>
    <row r="145" spans="1:7">
      <c r="A145" s="463"/>
      <c r="B145" s="463"/>
      <c r="C145" s="463"/>
      <c r="D145" s="463"/>
      <c r="E145" s="465"/>
      <c r="F145" s="465"/>
      <c r="G145" s="463"/>
    </row>
    <row r="146" spans="1:7">
      <c r="A146" s="463"/>
      <c r="B146" s="463"/>
      <c r="C146" s="463"/>
      <c r="D146" s="463"/>
      <c r="E146" s="465"/>
      <c r="F146" s="465"/>
      <c r="G146" s="463"/>
    </row>
    <row r="147" spans="1:7">
      <c r="A147" s="463"/>
      <c r="B147" s="463"/>
      <c r="C147" s="463"/>
      <c r="D147" s="463"/>
      <c r="E147" s="465"/>
      <c r="F147" s="465"/>
      <c r="G147" s="463"/>
    </row>
    <row r="148" spans="1:7">
      <c r="A148" s="463"/>
      <c r="B148" s="463"/>
      <c r="C148" s="463"/>
      <c r="D148" s="463"/>
      <c r="E148" s="465"/>
      <c r="F148" s="465"/>
      <c r="G148" s="463"/>
    </row>
    <row r="149" spans="1:7">
      <c r="A149" s="463"/>
      <c r="B149" s="463"/>
      <c r="C149" s="463"/>
      <c r="D149" s="463"/>
      <c r="E149" s="465"/>
      <c r="F149" s="465"/>
      <c r="G149" s="463"/>
    </row>
    <row r="150" spans="1:7" ht="18.75">
      <c r="A150" s="463"/>
      <c r="B150" s="463"/>
      <c r="C150" s="463"/>
      <c r="D150" s="463"/>
      <c r="E150" s="465"/>
      <c r="F150" s="465"/>
      <c r="G150" s="519"/>
    </row>
    <row r="151" spans="1:7" ht="18.75">
      <c r="A151" s="519"/>
      <c r="B151" s="519"/>
      <c r="C151" s="519"/>
      <c r="D151" s="519"/>
      <c r="E151" s="520"/>
      <c r="F151" s="520"/>
      <c r="G151" s="519"/>
    </row>
    <row r="152" spans="1:7" ht="18.75">
      <c r="A152" s="519"/>
      <c r="B152" s="519"/>
      <c r="C152" s="519"/>
      <c r="D152" s="519"/>
      <c r="E152" s="520"/>
      <c r="F152" s="520"/>
      <c r="G152" s="519"/>
    </row>
    <row r="153" spans="1:7">
      <c r="E153" s="520"/>
      <c r="F153" s="520"/>
    </row>
    <row r="154" spans="1:7">
      <c r="E154" s="520"/>
      <c r="F154" s="520"/>
    </row>
    <row r="155" spans="1:7">
      <c r="E155" s="520"/>
      <c r="F155" s="520"/>
    </row>
    <row r="156" spans="1:7">
      <c r="E156" s="520"/>
      <c r="F156" s="520"/>
    </row>
    <row r="157" spans="1:7">
      <c r="E157" s="520"/>
      <c r="F157" s="520"/>
    </row>
    <row r="158" spans="1:7">
      <c r="E158" s="520"/>
      <c r="F158" s="520"/>
    </row>
    <row r="159" spans="1:7">
      <c r="E159" s="520"/>
      <c r="F159" s="520"/>
    </row>
    <row r="160" spans="1:7">
      <c r="E160" s="520"/>
      <c r="F160" s="520"/>
    </row>
    <row r="161" spans="5:6">
      <c r="E161" s="520"/>
      <c r="F161" s="520"/>
    </row>
    <row r="162" spans="5:6">
      <c r="E162" s="520"/>
      <c r="F162" s="520"/>
    </row>
    <row r="163" spans="5:6">
      <c r="E163" s="520"/>
      <c r="F163" s="520"/>
    </row>
    <row r="164" spans="5:6">
      <c r="E164" s="520"/>
      <c r="F164" s="520"/>
    </row>
    <row r="165" spans="5:6">
      <c r="E165" s="520"/>
      <c r="F165" s="520"/>
    </row>
    <row r="166" spans="5:6">
      <c r="E166" s="520"/>
      <c r="F166" s="520"/>
    </row>
    <row r="167" spans="5:6">
      <c r="E167" s="520"/>
      <c r="F167" s="520"/>
    </row>
    <row r="168" spans="5:6">
      <c r="E168" s="520"/>
      <c r="F168" s="520"/>
    </row>
    <row r="169" spans="5:6">
      <c r="E169" s="520"/>
      <c r="F169" s="520"/>
    </row>
    <row r="170" spans="5:6">
      <c r="E170" s="520"/>
      <c r="F170" s="520"/>
    </row>
    <row r="171" spans="5:6">
      <c r="E171" s="520"/>
      <c r="F171" s="520"/>
    </row>
    <row r="172" spans="5:6">
      <c r="E172" s="520"/>
      <c r="F172" s="520"/>
    </row>
    <row r="173" spans="5:6">
      <c r="E173" s="520"/>
      <c r="F173" s="520"/>
    </row>
    <row r="174" spans="5:6">
      <c r="E174" s="520"/>
      <c r="F174" s="520"/>
    </row>
    <row r="175" spans="5:6">
      <c r="E175" s="520"/>
      <c r="F175" s="520"/>
    </row>
    <row r="176" spans="5:6">
      <c r="E176" s="520"/>
      <c r="F176" s="520"/>
    </row>
    <row r="177" spans="5:6">
      <c r="E177" s="520"/>
      <c r="F177" s="520"/>
    </row>
    <row r="178" spans="5:6">
      <c r="E178" s="520"/>
      <c r="F178" s="520"/>
    </row>
    <row r="179" spans="5:6">
      <c r="E179" s="520"/>
      <c r="F179" s="520"/>
    </row>
    <row r="180" spans="5:6">
      <c r="E180" s="520"/>
      <c r="F180" s="520"/>
    </row>
    <row r="181" spans="5:6">
      <c r="E181" s="520"/>
      <c r="F181" s="520"/>
    </row>
    <row r="182" spans="5:6">
      <c r="E182" s="520"/>
      <c r="F182" s="520"/>
    </row>
    <row r="183" spans="5:6">
      <c r="E183" s="520"/>
      <c r="F183" s="520"/>
    </row>
    <row r="184" spans="5:6">
      <c r="E184" s="520"/>
      <c r="F184" s="520"/>
    </row>
    <row r="185" spans="5:6">
      <c r="E185" s="520"/>
      <c r="F185" s="520"/>
    </row>
    <row r="186" spans="5:6">
      <c r="E186" s="520"/>
      <c r="F186" s="520"/>
    </row>
    <row r="187" spans="5:6">
      <c r="E187" s="520"/>
      <c r="F187" s="520"/>
    </row>
    <row r="188" spans="5:6">
      <c r="E188" s="520"/>
      <c r="F188" s="520"/>
    </row>
    <row r="189" spans="5:6">
      <c r="E189" s="520"/>
      <c r="F189" s="520"/>
    </row>
    <row r="190" spans="5:6">
      <c r="E190" s="520"/>
      <c r="F190" s="520"/>
    </row>
    <row r="191" spans="5:6">
      <c r="E191" s="520"/>
      <c r="F191" s="520"/>
    </row>
    <row r="192" spans="5:6">
      <c r="E192" s="520"/>
      <c r="F192" s="520"/>
    </row>
    <row r="193" spans="5:6">
      <c r="E193" s="520"/>
      <c r="F193" s="520"/>
    </row>
    <row r="194" spans="5:6">
      <c r="E194" s="520"/>
      <c r="F194" s="520"/>
    </row>
    <row r="195" spans="5:6">
      <c r="E195" s="520"/>
      <c r="F195" s="520"/>
    </row>
    <row r="196" spans="5:6">
      <c r="E196" s="520"/>
      <c r="F196" s="520"/>
    </row>
    <row r="197" spans="5:6">
      <c r="E197" s="520"/>
      <c r="F197" s="520"/>
    </row>
    <row r="198" spans="5:6">
      <c r="E198" s="520"/>
      <c r="F198" s="520"/>
    </row>
  </sheetData>
  <pageMargins left="0.86614173228346503" right="0.17" top="0.74803149606299202" bottom="0.511811023622047" header="0.43307086614173201" footer="0.31496062992126"/>
  <pageSetup paperSize="9" scale="99" firstPageNumber="38" orientation="portrait" r:id="rId1"/>
  <headerFooter alignWithMargins="0">
    <oddHeader>&amp;C&amp;"Times New Roman,Regular"&amp;13&amp;P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F195"/>
  <sheetViews>
    <sheetView topLeftCell="A28" zoomScaleNormal="100" workbookViewId="0">
      <selection activeCell="D13" sqref="D13"/>
    </sheetView>
  </sheetViews>
  <sheetFormatPr defaultColWidth="8.5703125" defaultRowHeight="15"/>
  <cols>
    <col min="1" max="1" width="1.7109375" style="482" customWidth="1"/>
    <col min="2" max="2" width="36.140625" style="482" customWidth="1"/>
    <col min="3" max="4" width="10.7109375" style="482" customWidth="1"/>
    <col min="5" max="5" width="14.140625" style="482" customWidth="1"/>
    <col min="6" max="6" width="13.5703125" style="482" customWidth="1"/>
    <col min="7" max="16384" width="8.5703125" style="482"/>
  </cols>
  <sheetData>
    <row r="1" spans="1:6" ht="21" customHeight="1">
      <c r="A1" s="521" t="s">
        <v>675</v>
      </c>
      <c r="B1" s="395"/>
      <c r="C1" s="396"/>
      <c r="D1" s="396"/>
      <c r="E1" s="396"/>
      <c r="F1" s="396"/>
    </row>
    <row r="2" spans="1:6" ht="22.5" customHeight="1">
      <c r="A2" s="401"/>
      <c r="B2" s="402"/>
      <c r="C2" s="476"/>
      <c r="D2" s="476"/>
      <c r="E2" s="402"/>
      <c r="F2" s="403" t="s">
        <v>366</v>
      </c>
    </row>
    <row r="3" spans="1:6" ht="15" customHeight="1">
      <c r="A3" s="404"/>
      <c r="B3" s="404"/>
      <c r="C3" s="379" t="s">
        <v>25</v>
      </c>
      <c r="D3" s="379" t="s">
        <v>26</v>
      </c>
      <c r="E3" s="901" t="s">
        <v>21</v>
      </c>
      <c r="F3" s="901"/>
    </row>
    <row r="4" spans="1:6" ht="15" customHeight="1">
      <c r="A4" s="406"/>
      <c r="B4" s="406"/>
      <c r="C4" s="522" t="s">
        <v>53</v>
      </c>
      <c r="D4" s="522" t="s">
        <v>53</v>
      </c>
      <c r="E4" s="379" t="s">
        <v>25</v>
      </c>
      <c r="F4" s="381" t="s">
        <v>26</v>
      </c>
    </row>
    <row r="5" spans="1:6" ht="15" customHeight="1">
      <c r="A5" s="406"/>
      <c r="B5" s="406"/>
      <c r="C5" s="382"/>
      <c r="D5" s="382"/>
      <c r="E5" s="382" t="s">
        <v>53</v>
      </c>
      <c r="F5" s="382" t="s">
        <v>53</v>
      </c>
    </row>
    <row r="6" spans="1:6" ht="9" customHeight="1">
      <c r="A6" s="406"/>
      <c r="B6" s="406"/>
      <c r="C6" s="466"/>
      <c r="D6" s="466"/>
      <c r="E6" s="466"/>
      <c r="F6" s="467"/>
    </row>
    <row r="7" spans="1:6" ht="15" customHeight="1">
      <c r="A7" s="491" t="s">
        <v>257</v>
      </c>
      <c r="B7" s="439"/>
      <c r="C7" s="492">
        <v>4645900</v>
      </c>
      <c r="D7" s="523">
        <v>4770948</v>
      </c>
      <c r="E7" s="524">
        <v>110.89461610087952</v>
      </c>
      <c r="F7" s="524">
        <v>123.18338671510401</v>
      </c>
    </row>
    <row r="8" spans="1:6" ht="16.350000000000001" customHeight="1">
      <c r="A8" s="494" t="s">
        <v>367</v>
      </c>
      <c r="B8" s="494"/>
      <c r="C8" s="495"/>
      <c r="D8" s="523"/>
      <c r="E8" s="524"/>
      <c r="F8" s="524"/>
    </row>
    <row r="9" spans="1:6" ht="16.350000000000001" customHeight="1">
      <c r="A9" s="439"/>
      <c r="B9" s="497" t="s">
        <v>368</v>
      </c>
      <c r="C9" s="498">
        <v>3885108</v>
      </c>
      <c r="D9" s="525">
        <v>4059316</v>
      </c>
      <c r="E9" s="526">
        <v>110.192478359905</v>
      </c>
      <c r="F9" s="526">
        <v>120.29509863044956</v>
      </c>
    </row>
    <row r="10" spans="1:6" ht="16.350000000000001" customHeight="1">
      <c r="A10" s="439"/>
      <c r="B10" s="497" t="s">
        <v>359</v>
      </c>
      <c r="C10" s="498">
        <v>48326</v>
      </c>
      <c r="D10" s="525">
        <v>9275</v>
      </c>
      <c r="E10" s="526">
        <v>171.55129570465033</v>
      </c>
      <c r="F10" s="526">
        <v>1157.9275905118602</v>
      </c>
    </row>
    <row r="11" spans="1:6" ht="16.350000000000001" customHeight="1">
      <c r="A11" s="439"/>
      <c r="B11" s="497" t="s">
        <v>361</v>
      </c>
      <c r="C11" s="498">
        <v>712466</v>
      </c>
      <c r="D11" s="525">
        <v>702357</v>
      </c>
      <c r="E11" s="526">
        <v>112.10121531383544</v>
      </c>
      <c r="F11" s="526">
        <v>141.09817810715199</v>
      </c>
    </row>
    <row r="12" spans="1:6" ht="16.350000000000001" customHeight="1">
      <c r="A12" s="500" t="s">
        <v>319</v>
      </c>
      <c r="B12" s="500"/>
      <c r="C12" s="501"/>
      <c r="D12" s="525"/>
      <c r="E12" s="526"/>
      <c r="F12" s="526"/>
    </row>
    <row r="13" spans="1:6" ht="16.350000000000001" customHeight="1">
      <c r="A13" s="439"/>
      <c r="B13" s="503" t="s">
        <v>369</v>
      </c>
      <c r="C13" s="492">
        <v>3699245</v>
      </c>
      <c r="D13" s="523">
        <v>3829675</v>
      </c>
      <c r="E13" s="524">
        <v>108.10101968833668</v>
      </c>
      <c r="F13" s="524">
        <v>120.43230375415888</v>
      </c>
    </row>
    <row r="14" spans="1:6" ht="15" customHeight="1">
      <c r="A14" s="439"/>
      <c r="B14" s="504" t="s">
        <v>370</v>
      </c>
      <c r="C14" s="498">
        <v>1140447</v>
      </c>
      <c r="D14" s="525">
        <v>1166925</v>
      </c>
      <c r="E14" s="526">
        <v>113.90095699227574</v>
      </c>
      <c r="F14" s="526">
        <v>143.30300894258423</v>
      </c>
    </row>
    <row r="15" spans="1:6" ht="15" customHeight="1">
      <c r="A15" s="439"/>
      <c r="B15" s="504" t="s">
        <v>326</v>
      </c>
      <c r="C15" s="505">
        <v>947842</v>
      </c>
      <c r="D15" s="525">
        <v>1029767</v>
      </c>
      <c r="E15" s="526">
        <v>90.37377884481532</v>
      </c>
      <c r="F15" s="526">
        <v>94.820173827209601</v>
      </c>
    </row>
    <row r="16" spans="1:6" ht="15" customHeight="1">
      <c r="A16" s="439"/>
      <c r="B16" s="504" t="s">
        <v>324</v>
      </c>
      <c r="C16" s="505">
        <v>167141</v>
      </c>
      <c r="D16" s="525">
        <v>224454</v>
      </c>
      <c r="E16" s="526">
        <v>106.72911757756876</v>
      </c>
      <c r="F16" s="526">
        <v>116.07608290927145</v>
      </c>
    </row>
    <row r="17" spans="1:6" ht="15" customHeight="1">
      <c r="A17" s="439"/>
      <c r="B17" s="504" t="s">
        <v>325</v>
      </c>
      <c r="C17" s="505">
        <v>299469</v>
      </c>
      <c r="D17" s="525">
        <v>296414</v>
      </c>
      <c r="E17" s="526">
        <v>90.58403257127992</v>
      </c>
      <c r="F17" s="526">
        <v>91.662053887567765</v>
      </c>
    </row>
    <row r="18" spans="1:6" ht="15" customHeight="1">
      <c r="A18" s="439"/>
      <c r="B18" s="504" t="s">
        <v>330</v>
      </c>
      <c r="C18" s="505">
        <v>125769</v>
      </c>
      <c r="D18" s="525">
        <v>138393</v>
      </c>
      <c r="E18" s="526">
        <v>114.46657079927918</v>
      </c>
      <c r="F18" s="526">
        <v>134.45351209559894</v>
      </c>
    </row>
    <row r="19" spans="1:6" ht="15" customHeight="1">
      <c r="A19" s="439"/>
      <c r="B19" s="504" t="s">
        <v>331</v>
      </c>
      <c r="C19" s="505">
        <v>111842</v>
      </c>
      <c r="D19" s="525">
        <v>90546</v>
      </c>
      <c r="E19" s="526">
        <v>103.50852838011679</v>
      </c>
      <c r="F19" s="526">
        <v>121.74252100840337</v>
      </c>
    </row>
    <row r="20" spans="1:6" ht="15" customHeight="1">
      <c r="A20" s="439"/>
      <c r="B20" s="504" t="s">
        <v>320</v>
      </c>
      <c r="C20" s="505">
        <v>96528</v>
      </c>
      <c r="D20" s="525">
        <v>89178</v>
      </c>
      <c r="E20" s="526">
        <v>110.78999621242554</v>
      </c>
      <c r="F20" s="526">
        <v>125.44733288318703</v>
      </c>
    </row>
    <row r="21" spans="1:6" ht="15" customHeight="1">
      <c r="A21" s="439"/>
      <c r="B21" s="504" t="s">
        <v>371</v>
      </c>
      <c r="C21" s="505">
        <v>126360</v>
      </c>
      <c r="D21" s="525">
        <v>129599</v>
      </c>
      <c r="E21" s="526">
        <v>107.31665888148116</v>
      </c>
      <c r="F21" s="526">
        <v>137.52599855681481</v>
      </c>
    </row>
    <row r="22" spans="1:6" ht="15" customHeight="1">
      <c r="A22" s="439"/>
      <c r="B22" s="504" t="s">
        <v>372</v>
      </c>
      <c r="C22" s="505">
        <v>121379</v>
      </c>
      <c r="D22" s="525">
        <v>119118</v>
      </c>
      <c r="E22" s="526">
        <v>213.92516611149296</v>
      </c>
      <c r="F22" s="526">
        <v>172.29020220428708</v>
      </c>
    </row>
    <row r="23" spans="1:6" ht="15" customHeight="1">
      <c r="A23" s="439"/>
      <c r="B23" s="504" t="s">
        <v>373</v>
      </c>
      <c r="C23" s="505">
        <v>37840</v>
      </c>
      <c r="D23" s="525">
        <v>58900</v>
      </c>
      <c r="E23" s="526">
        <v>118.25739108694293</v>
      </c>
      <c r="F23" s="526">
        <v>128.59981223117398</v>
      </c>
    </row>
    <row r="24" spans="1:6" ht="15" customHeight="1">
      <c r="A24" s="439"/>
      <c r="B24" s="504" t="s">
        <v>374</v>
      </c>
      <c r="C24" s="505">
        <v>58038</v>
      </c>
      <c r="D24" s="525">
        <v>47992</v>
      </c>
      <c r="E24" s="526">
        <v>115.11364988694514</v>
      </c>
      <c r="F24" s="526">
        <v>121.49565833776359</v>
      </c>
    </row>
    <row r="25" spans="1:6" ht="15" customHeight="1">
      <c r="A25" s="439"/>
      <c r="B25" s="504" t="s">
        <v>375</v>
      </c>
      <c r="C25" s="507">
        <v>194163</v>
      </c>
      <c r="D25" s="525">
        <v>167125</v>
      </c>
      <c r="E25" s="526">
        <v>157.69071461637793</v>
      </c>
      <c r="F25" s="526">
        <v>146.9670055225298</v>
      </c>
    </row>
    <row r="26" spans="1:6" ht="15" customHeight="1">
      <c r="A26" s="439"/>
      <c r="B26" s="504" t="s">
        <v>376</v>
      </c>
      <c r="C26" s="498">
        <v>272427</v>
      </c>
      <c r="D26" s="525">
        <v>271264</v>
      </c>
      <c r="E26" s="526">
        <v>136.43179086538461</v>
      </c>
      <c r="F26" s="526">
        <v>178.36576080166751</v>
      </c>
    </row>
    <row r="27" spans="1:6" ht="15" customHeight="1">
      <c r="A27" s="439"/>
      <c r="B27" s="503" t="s">
        <v>377</v>
      </c>
      <c r="C27" s="527">
        <v>241285</v>
      </c>
      <c r="D27" s="528">
        <v>216656</v>
      </c>
      <c r="E27" s="529">
        <v>102.8561075942622</v>
      </c>
      <c r="F27" s="529">
        <v>108.44186395715501</v>
      </c>
    </row>
    <row r="28" spans="1:6" ht="16.350000000000001" customHeight="1">
      <c r="A28" s="439"/>
      <c r="B28" s="504" t="s">
        <v>327</v>
      </c>
      <c r="C28" s="530">
        <v>190562</v>
      </c>
      <c r="D28" s="525">
        <v>173444</v>
      </c>
      <c r="E28" s="526">
        <v>104.27925709470183</v>
      </c>
      <c r="F28" s="526">
        <v>106.07222578968289</v>
      </c>
    </row>
    <row r="29" spans="1:6" ht="16.350000000000001" customHeight="1">
      <c r="A29" s="439"/>
      <c r="B29" s="504" t="s">
        <v>378</v>
      </c>
      <c r="C29" s="530">
        <v>32876</v>
      </c>
      <c r="D29" s="525">
        <v>28506</v>
      </c>
      <c r="E29" s="526">
        <v>93.995882891125348</v>
      </c>
      <c r="F29" s="526">
        <v>120.02020967538209</v>
      </c>
    </row>
    <row r="30" spans="1:6" ht="16.350000000000001" customHeight="1">
      <c r="A30" s="439"/>
      <c r="B30" s="504" t="s">
        <v>379</v>
      </c>
      <c r="C30" s="513">
        <v>17847</v>
      </c>
      <c r="D30" s="525">
        <v>14706</v>
      </c>
      <c r="E30" s="526">
        <v>105.81016185450881</v>
      </c>
      <c r="F30" s="526">
        <v>117.42254870648354</v>
      </c>
    </row>
    <row r="31" spans="1:6" ht="16.350000000000001" customHeight="1">
      <c r="A31" s="439"/>
      <c r="B31" s="503" t="s">
        <v>380</v>
      </c>
      <c r="C31" s="527">
        <v>548350</v>
      </c>
      <c r="D31" s="528">
        <v>568370</v>
      </c>
      <c r="E31" s="529">
        <v>137.85466118951967</v>
      </c>
      <c r="F31" s="529">
        <v>160.07040766035345</v>
      </c>
    </row>
    <row r="32" spans="1:6" ht="16.350000000000001" customHeight="1">
      <c r="A32" s="439"/>
      <c r="B32" s="504" t="s">
        <v>381</v>
      </c>
      <c r="C32" s="530">
        <v>135195</v>
      </c>
      <c r="D32" s="525">
        <v>175312</v>
      </c>
      <c r="E32" s="526">
        <v>273.86812518991184</v>
      </c>
      <c r="F32" s="526">
        <v>345.1635132208462</v>
      </c>
    </row>
    <row r="33" spans="1:6" ht="15" customHeight="1">
      <c r="A33" s="439"/>
      <c r="B33" s="504" t="s">
        <v>338</v>
      </c>
      <c r="C33" s="530">
        <v>85757</v>
      </c>
      <c r="D33" s="525">
        <v>73900</v>
      </c>
      <c r="E33" s="526">
        <v>113.89468092170796</v>
      </c>
      <c r="F33" s="526">
        <v>129.15741824982086</v>
      </c>
    </row>
    <row r="34" spans="1:6" ht="15" customHeight="1">
      <c r="A34" s="439"/>
      <c r="B34" s="504" t="s">
        <v>382</v>
      </c>
      <c r="C34" s="530">
        <v>71338</v>
      </c>
      <c r="D34" s="525">
        <v>69893</v>
      </c>
      <c r="E34" s="526">
        <v>108.0289539039312</v>
      </c>
      <c r="F34" s="526">
        <v>132.18784279608124</v>
      </c>
    </row>
    <row r="35" spans="1:6" ht="15" customHeight="1">
      <c r="A35" s="439"/>
      <c r="B35" s="504" t="s">
        <v>336</v>
      </c>
      <c r="C35" s="530">
        <v>54590</v>
      </c>
      <c r="D35" s="525">
        <v>55400</v>
      </c>
      <c r="E35" s="526">
        <v>103.39406795711959</v>
      </c>
      <c r="F35" s="526">
        <v>123.93736017897092</v>
      </c>
    </row>
    <row r="36" spans="1:6" ht="15" customHeight="1">
      <c r="A36" s="439"/>
      <c r="B36" s="504" t="s">
        <v>383</v>
      </c>
      <c r="C36" s="530">
        <v>17970</v>
      </c>
      <c r="D36" s="525">
        <v>32502</v>
      </c>
      <c r="E36" s="526">
        <v>106.02395421558795</v>
      </c>
      <c r="F36" s="526">
        <v>100.25911530631132</v>
      </c>
    </row>
    <row r="37" spans="1:6" ht="15" customHeight="1">
      <c r="A37" s="439"/>
      <c r="B37" s="504" t="s">
        <v>335</v>
      </c>
      <c r="C37" s="530">
        <v>17507</v>
      </c>
      <c r="D37" s="525">
        <v>25712</v>
      </c>
      <c r="E37" s="526">
        <v>105.07141999759932</v>
      </c>
      <c r="F37" s="526">
        <v>135.06329778851708</v>
      </c>
    </row>
    <row r="38" spans="1:6" ht="15" customHeight="1">
      <c r="A38" s="439"/>
      <c r="B38" s="504" t="s">
        <v>384</v>
      </c>
      <c r="C38" s="530">
        <v>19575</v>
      </c>
      <c r="D38" s="525">
        <v>27277</v>
      </c>
      <c r="E38" s="526">
        <v>116.60808959313755</v>
      </c>
      <c r="F38" s="526">
        <v>119.32195975503062</v>
      </c>
    </row>
    <row r="39" spans="1:6" ht="15" customHeight="1">
      <c r="A39" s="439"/>
      <c r="B39" s="504" t="s">
        <v>323</v>
      </c>
      <c r="C39" s="530">
        <v>6368</v>
      </c>
      <c r="D39" s="525">
        <v>5475</v>
      </c>
      <c r="E39" s="526">
        <v>116.97281410727408</v>
      </c>
      <c r="F39" s="526">
        <v>112.70069987649238</v>
      </c>
    </row>
    <row r="40" spans="1:6" ht="15" customHeight="1">
      <c r="A40" s="439"/>
      <c r="B40" s="504" t="s">
        <v>334</v>
      </c>
      <c r="C40" s="530">
        <v>7008</v>
      </c>
      <c r="D40" s="525">
        <v>7917</v>
      </c>
      <c r="E40" s="526">
        <v>96.078969015629283</v>
      </c>
      <c r="F40" s="526">
        <v>122.32694684796044</v>
      </c>
    </row>
    <row r="41" spans="1:6" ht="15" customHeight="1">
      <c r="A41" s="439"/>
      <c r="B41" s="504" t="s">
        <v>385</v>
      </c>
      <c r="C41" s="530">
        <v>7586</v>
      </c>
      <c r="D41" s="525">
        <v>7674</v>
      </c>
      <c r="E41" s="526">
        <v>104.49035812672176</v>
      </c>
      <c r="F41" s="526">
        <v>132.90613093176307</v>
      </c>
    </row>
    <row r="42" spans="1:6" ht="15" customHeight="1">
      <c r="A42" s="439"/>
      <c r="B42" s="504" t="s">
        <v>386</v>
      </c>
      <c r="C42" s="530">
        <v>6728</v>
      </c>
      <c r="D42" s="525">
        <v>10333</v>
      </c>
      <c r="E42" s="526">
        <v>105.07574574418241</v>
      </c>
      <c r="F42" s="526">
        <v>130.5990899898888</v>
      </c>
    </row>
    <row r="43" spans="1:6" ht="15" customHeight="1">
      <c r="A43" s="439"/>
      <c r="B43" s="504" t="s">
        <v>387</v>
      </c>
      <c r="C43" s="530">
        <v>6093</v>
      </c>
      <c r="D43" s="525">
        <v>7816</v>
      </c>
      <c r="E43" s="526">
        <v>141.5988844991866</v>
      </c>
      <c r="F43" s="526">
        <v>111.32317333713146</v>
      </c>
    </row>
    <row r="44" spans="1:6" ht="15" customHeight="1">
      <c r="A44" s="439"/>
      <c r="B44" s="512" t="s">
        <v>388</v>
      </c>
      <c r="C44" s="530">
        <v>4172</v>
      </c>
      <c r="D44" s="525">
        <v>3950</v>
      </c>
      <c r="E44" s="526">
        <v>69.964782827435855</v>
      </c>
      <c r="F44" s="526">
        <v>132.5503355704698</v>
      </c>
    </row>
    <row r="45" spans="1:6" ht="15" customHeight="1">
      <c r="A45" s="439"/>
      <c r="B45" s="504" t="s">
        <v>389</v>
      </c>
      <c r="C45" s="513">
        <v>7308</v>
      </c>
      <c r="D45" s="525">
        <v>7650</v>
      </c>
      <c r="E45" s="526">
        <v>116.66666666666667</v>
      </c>
      <c r="F45" s="526">
        <v>154.95240024306258</v>
      </c>
    </row>
    <row r="46" spans="1:6" ht="15" customHeight="1">
      <c r="A46" s="439"/>
      <c r="B46" s="504" t="s">
        <v>390</v>
      </c>
      <c r="C46" s="527">
        <v>101155</v>
      </c>
      <c r="D46" s="528">
        <v>57559</v>
      </c>
      <c r="E46" s="529">
        <v>165.96118193302817</v>
      </c>
      <c r="F46" s="529">
        <v>163.4084714967068</v>
      </c>
    </row>
    <row r="47" spans="1:6" ht="15" customHeight="1">
      <c r="A47" s="439"/>
      <c r="B47" s="503" t="s">
        <v>391</v>
      </c>
      <c r="C47" s="509">
        <v>144154</v>
      </c>
      <c r="D47" s="523">
        <v>140778</v>
      </c>
      <c r="E47" s="524">
        <v>117.27465017897821</v>
      </c>
      <c r="F47" s="524">
        <v>112.93047433398311</v>
      </c>
    </row>
    <row r="48" spans="1:6" ht="15" customHeight="1">
      <c r="A48" s="439"/>
      <c r="B48" s="504" t="s">
        <v>392</v>
      </c>
      <c r="C48" s="505">
        <v>128845</v>
      </c>
      <c r="D48" s="525">
        <v>125269</v>
      </c>
      <c r="E48" s="526">
        <v>116.20744081172492</v>
      </c>
      <c r="F48" s="526">
        <v>111.96128201919811</v>
      </c>
    </row>
    <row r="49" spans="1:6" ht="15" customHeight="1">
      <c r="A49" s="439"/>
      <c r="B49" s="504" t="s">
        <v>393</v>
      </c>
      <c r="C49" s="498">
        <v>14877</v>
      </c>
      <c r="D49" s="525">
        <v>15080</v>
      </c>
      <c r="E49" s="526">
        <v>126.36541238426908</v>
      </c>
      <c r="F49" s="526">
        <v>122.00647249190939</v>
      </c>
    </row>
    <row r="50" spans="1:6" ht="16.350000000000001" customHeight="1">
      <c r="A50" s="439"/>
      <c r="B50" s="504" t="s">
        <v>394</v>
      </c>
      <c r="C50" s="509">
        <v>432</v>
      </c>
      <c r="D50" s="528">
        <v>429</v>
      </c>
      <c r="E50" s="529">
        <v>158.8235294117647</v>
      </c>
      <c r="F50" s="529">
        <v>103.87409200968523</v>
      </c>
    </row>
    <row r="51" spans="1:6" ht="15.6" customHeight="1">
      <c r="A51" s="439"/>
      <c r="B51" s="503" t="s">
        <v>395</v>
      </c>
      <c r="C51" s="509">
        <v>12866</v>
      </c>
      <c r="D51" s="858">
        <v>15469</v>
      </c>
      <c r="E51" s="859">
        <v>105.73635765943459</v>
      </c>
      <c r="F51" s="859">
        <v>113.90177453795745</v>
      </c>
    </row>
    <row r="52" spans="1:6" ht="15.6" customHeight="1">
      <c r="A52" s="531"/>
      <c r="B52" s="430"/>
      <c r="C52" s="430"/>
      <c r="D52" s="430"/>
      <c r="E52" s="431"/>
      <c r="F52" s="431"/>
    </row>
    <row r="53" spans="1:6" ht="15.6" customHeight="1">
      <c r="A53" s="531"/>
    </row>
    <row r="54" spans="1:6" ht="16.350000000000001" customHeight="1">
      <c r="A54" s="531"/>
      <c r="B54" s="430"/>
      <c r="C54" s="430"/>
      <c r="D54" s="430"/>
      <c r="E54" s="431"/>
      <c r="F54" s="431"/>
    </row>
    <row r="55" spans="1:6">
      <c r="A55" s="430"/>
      <c r="B55" s="430"/>
      <c r="C55" s="430"/>
      <c r="D55" s="430"/>
      <c r="E55" s="431"/>
      <c r="F55" s="431"/>
    </row>
    <row r="56" spans="1:6">
      <c r="A56" s="430"/>
      <c r="B56" s="430"/>
      <c r="C56" s="430"/>
      <c r="D56" s="430"/>
      <c r="E56" s="431"/>
      <c r="F56" s="431"/>
    </row>
    <row r="57" spans="1:6">
      <c r="A57" s="430"/>
      <c r="B57" s="430"/>
      <c r="C57" s="430"/>
      <c r="D57" s="431"/>
      <c r="E57" s="431"/>
      <c r="F57" s="431"/>
    </row>
    <row r="58" spans="1:6">
      <c r="A58" s="430"/>
      <c r="B58" s="430"/>
      <c r="C58" s="430"/>
      <c r="D58" s="431"/>
      <c r="E58" s="431"/>
      <c r="F58" s="431"/>
    </row>
    <row r="59" spans="1:6">
      <c r="A59" s="430"/>
      <c r="B59" s="430"/>
      <c r="C59" s="430"/>
      <c r="D59" s="431"/>
      <c r="E59" s="431"/>
      <c r="F59" s="431"/>
    </row>
    <row r="60" spans="1:6">
      <c r="A60" s="430"/>
      <c r="B60" s="430"/>
      <c r="C60" s="430"/>
      <c r="D60" s="431"/>
      <c r="E60" s="431"/>
      <c r="F60" s="431"/>
    </row>
    <row r="61" spans="1:6">
      <c r="A61" s="430"/>
      <c r="B61" s="430"/>
      <c r="C61" s="430"/>
      <c r="D61" s="431"/>
      <c r="E61" s="431"/>
      <c r="F61" s="431"/>
    </row>
    <row r="62" spans="1:6">
      <c r="A62" s="430"/>
      <c r="B62" s="430"/>
      <c r="C62" s="430"/>
      <c r="D62" s="431"/>
      <c r="E62" s="431"/>
      <c r="F62" s="431"/>
    </row>
    <row r="63" spans="1:6">
      <c r="A63" s="430"/>
      <c r="B63" s="430"/>
      <c r="C63" s="430"/>
      <c r="D63" s="431"/>
      <c r="E63" s="431"/>
      <c r="F63" s="431"/>
    </row>
    <row r="64" spans="1:6">
      <c r="A64" s="430"/>
      <c r="B64" s="430"/>
      <c r="C64" s="430"/>
      <c r="D64" s="431"/>
      <c r="E64" s="431"/>
      <c r="F64" s="431"/>
    </row>
    <row r="65" spans="1:6">
      <c r="A65" s="430"/>
      <c r="B65" s="430"/>
      <c r="C65" s="430"/>
      <c r="D65" s="431"/>
      <c r="E65" s="431"/>
      <c r="F65" s="431"/>
    </row>
    <row r="66" spans="1:6">
      <c r="A66" s="430"/>
      <c r="B66" s="430"/>
      <c r="C66" s="430"/>
      <c r="D66" s="431"/>
      <c r="E66" s="431"/>
      <c r="F66" s="431"/>
    </row>
    <row r="67" spans="1:6">
      <c r="A67" s="430"/>
      <c r="B67" s="430"/>
      <c r="C67" s="430"/>
      <c r="D67" s="431"/>
      <c r="E67" s="431"/>
      <c r="F67" s="431"/>
    </row>
    <row r="68" spans="1:6">
      <c r="A68" s="430"/>
      <c r="B68" s="430"/>
      <c r="C68" s="430"/>
      <c r="D68" s="431"/>
      <c r="E68" s="431"/>
      <c r="F68" s="431"/>
    </row>
    <row r="69" spans="1:6">
      <c r="A69" s="430"/>
      <c r="B69" s="430"/>
      <c r="C69" s="430"/>
      <c r="D69" s="431"/>
      <c r="E69" s="431"/>
      <c r="F69" s="431"/>
    </row>
    <row r="70" spans="1:6">
      <c r="A70" s="430"/>
      <c r="B70" s="430"/>
      <c r="C70" s="430"/>
      <c r="D70" s="431"/>
      <c r="E70" s="431"/>
      <c r="F70" s="431"/>
    </row>
    <row r="71" spans="1:6">
      <c r="A71" s="430"/>
      <c r="B71" s="430"/>
      <c r="C71" s="430"/>
      <c r="D71" s="431"/>
      <c r="E71" s="431"/>
      <c r="F71" s="431"/>
    </row>
    <row r="72" spans="1:6">
      <c r="A72" s="430"/>
      <c r="B72" s="430"/>
      <c r="C72" s="430"/>
      <c r="D72" s="431"/>
      <c r="E72" s="431"/>
      <c r="F72" s="431"/>
    </row>
    <row r="73" spans="1:6">
      <c r="A73" s="430"/>
      <c r="B73" s="430"/>
      <c r="C73" s="430"/>
      <c r="D73" s="431"/>
      <c r="E73" s="431"/>
      <c r="F73" s="431"/>
    </row>
    <row r="74" spans="1:6">
      <c r="A74" s="430"/>
      <c r="B74" s="430"/>
      <c r="C74" s="430"/>
      <c r="D74" s="431"/>
      <c r="E74" s="431"/>
      <c r="F74" s="431"/>
    </row>
    <row r="75" spans="1:6">
      <c r="A75" s="430"/>
      <c r="B75" s="430"/>
      <c r="C75" s="430"/>
      <c r="D75" s="431"/>
      <c r="E75" s="431"/>
      <c r="F75" s="431"/>
    </row>
    <row r="76" spans="1:6">
      <c r="A76" s="430"/>
      <c r="B76" s="430"/>
      <c r="C76" s="430"/>
      <c r="D76" s="431"/>
      <c r="E76" s="431"/>
      <c r="F76" s="431"/>
    </row>
    <row r="77" spans="1:6">
      <c r="A77" s="430"/>
      <c r="B77" s="430"/>
      <c r="C77" s="430"/>
      <c r="D77" s="431"/>
      <c r="E77" s="431"/>
      <c r="F77" s="431"/>
    </row>
    <row r="78" spans="1:6">
      <c r="A78" s="430"/>
      <c r="B78" s="430"/>
      <c r="C78" s="430"/>
      <c r="D78" s="431"/>
      <c r="E78" s="431"/>
      <c r="F78" s="431"/>
    </row>
    <row r="79" spans="1:6">
      <c r="A79" s="430"/>
      <c r="B79" s="430"/>
      <c r="C79" s="430"/>
      <c r="D79" s="431"/>
      <c r="E79" s="431"/>
      <c r="F79" s="431"/>
    </row>
    <row r="80" spans="1:6">
      <c r="A80" s="430"/>
      <c r="B80" s="430"/>
      <c r="C80" s="430"/>
      <c r="D80" s="431"/>
      <c r="E80" s="431"/>
      <c r="F80" s="431"/>
    </row>
    <row r="81" spans="1:6">
      <c r="A81" s="430"/>
      <c r="B81" s="430"/>
      <c r="C81" s="430"/>
      <c r="D81" s="431"/>
      <c r="E81" s="431"/>
      <c r="F81" s="431"/>
    </row>
    <row r="82" spans="1:6">
      <c r="A82" s="430"/>
      <c r="B82" s="430"/>
      <c r="C82" s="430"/>
      <c r="D82" s="431"/>
      <c r="E82" s="431"/>
      <c r="F82" s="431"/>
    </row>
    <row r="83" spans="1:6">
      <c r="A83" s="430"/>
      <c r="B83" s="430"/>
      <c r="C83" s="430"/>
      <c r="D83" s="431"/>
      <c r="E83" s="431"/>
      <c r="F83" s="431"/>
    </row>
    <row r="84" spans="1:6">
      <c r="A84" s="430"/>
      <c r="B84" s="430"/>
      <c r="C84" s="430"/>
      <c r="D84" s="431"/>
      <c r="E84" s="431"/>
      <c r="F84" s="431"/>
    </row>
    <row r="85" spans="1:6">
      <c r="A85" s="430"/>
      <c r="B85" s="430"/>
      <c r="C85" s="430"/>
      <c r="D85" s="431"/>
      <c r="E85" s="431"/>
      <c r="F85" s="431"/>
    </row>
    <row r="86" spans="1:6">
      <c r="A86" s="430"/>
      <c r="B86" s="430"/>
      <c r="C86" s="430"/>
      <c r="D86" s="431"/>
      <c r="E86" s="431"/>
      <c r="F86" s="431"/>
    </row>
    <row r="87" spans="1:6">
      <c r="A87" s="430"/>
      <c r="B87" s="430"/>
      <c r="C87" s="430"/>
      <c r="D87" s="431"/>
      <c r="E87" s="431"/>
      <c r="F87" s="431"/>
    </row>
    <row r="88" spans="1:6">
      <c r="A88" s="430"/>
      <c r="B88" s="430"/>
      <c r="C88" s="430"/>
      <c r="D88" s="431"/>
      <c r="E88" s="431"/>
      <c r="F88" s="431"/>
    </row>
    <row r="89" spans="1:6">
      <c r="A89" s="430"/>
      <c r="B89" s="430"/>
      <c r="C89" s="430"/>
      <c r="D89" s="431"/>
      <c r="E89" s="431"/>
      <c r="F89" s="431"/>
    </row>
    <row r="90" spans="1:6">
      <c r="A90" s="430"/>
      <c r="B90" s="430"/>
      <c r="C90" s="430"/>
      <c r="D90" s="431"/>
      <c r="E90" s="431"/>
      <c r="F90" s="431"/>
    </row>
    <row r="91" spans="1:6">
      <c r="A91" s="430"/>
      <c r="B91" s="430"/>
      <c r="C91" s="430"/>
      <c r="D91" s="431"/>
      <c r="E91" s="431"/>
      <c r="F91" s="431"/>
    </row>
    <row r="92" spans="1:6">
      <c r="A92" s="430"/>
      <c r="B92" s="430"/>
      <c r="C92" s="430"/>
      <c r="D92" s="431"/>
      <c r="E92" s="431"/>
      <c r="F92" s="431"/>
    </row>
    <row r="93" spans="1:6">
      <c r="A93" s="430"/>
      <c r="B93" s="430"/>
      <c r="C93" s="430"/>
      <c r="D93" s="431"/>
      <c r="E93" s="431"/>
      <c r="F93" s="431"/>
    </row>
    <row r="94" spans="1:6">
      <c r="A94" s="430"/>
      <c r="B94" s="430"/>
      <c r="C94" s="430"/>
      <c r="D94" s="431"/>
      <c r="E94" s="431"/>
      <c r="F94" s="431"/>
    </row>
    <row r="95" spans="1:6">
      <c r="A95" s="430"/>
      <c r="B95" s="430"/>
      <c r="C95" s="430"/>
      <c r="D95" s="431"/>
      <c r="E95" s="431"/>
      <c r="F95" s="431"/>
    </row>
    <row r="96" spans="1:6">
      <c r="A96" s="430"/>
      <c r="B96" s="430"/>
      <c r="C96" s="430"/>
      <c r="D96" s="431"/>
      <c r="E96" s="431"/>
      <c r="F96" s="431"/>
    </row>
    <row r="97" spans="1:6">
      <c r="A97" s="430"/>
      <c r="B97" s="430"/>
      <c r="C97" s="430"/>
      <c r="D97" s="431"/>
      <c r="E97" s="431"/>
      <c r="F97" s="431"/>
    </row>
    <row r="98" spans="1:6">
      <c r="A98" s="430"/>
      <c r="B98" s="430"/>
      <c r="C98" s="430"/>
      <c r="D98" s="431"/>
      <c r="E98" s="431"/>
      <c r="F98" s="431"/>
    </row>
    <row r="99" spans="1:6">
      <c r="A99" s="430"/>
      <c r="B99" s="430"/>
      <c r="C99" s="430"/>
      <c r="D99" s="431"/>
      <c r="E99" s="431"/>
      <c r="F99" s="431"/>
    </row>
    <row r="100" spans="1:6">
      <c r="A100" s="430"/>
      <c r="B100" s="430"/>
      <c r="C100" s="430"/>
      <c r="D100" s="431"/>
      <c r="E100" s="431"/>
      <c r="F100" s="431"/>
    </row>
    <row r="101" spans="1:6">
      <c r="A101" s="430"/>
      <c r="B101" s="430"/>
      <c r="C101" s="430"/>
      <c r="D101" s="431"/>
      <c r="E101" s="431"/>
      <c r="F101" s="431"/>
    </row>
    <row r="102" spans="1:6">
      <c r="A102" s="430"/>
      <c r="B102" s="430"/>
      <c r="C102" s="430"/>
      <c r="D102" s="431"/>
      <c r="E102" s="431"/>
      <c r="F102" s="431"/>
    </row>
    <row r="103" spans="1:6">
      <c r="A103" s="430"/>
      <c r="B103" s="430"/>
      <c r="C103" s="430"/>
      <c r="D103" s="431"/>
      <c r="E103" s="431"/>
      <c r="F103" s="431"/>
    </row>
    <row r="104" spans="1:6">
      <c r="A104" s="430"/>
      <c r="B104" s="430"/>
      <c r="C104" s="430"/>
      <c r="D104" s="431"/>
      <c r="E104" s="431"/>
      <c r="F104" s="431"/>
    </row>
    <row r="105" spans="1:6">
      <c r="A105" s="430"/>
      <c r="B105" s="430"/>
      <c r="C105" s="430"/>
      <c r="D105" s="431"/>
      <c r="E105" s="431"/>
      <c r="F105" s="431"/>
    </row>
    <row r="106" spans="1:6">
      <c r="A106" s="430"/>
      <c r="B106" s="430"/>
      <c r="C106" s="430"/>
      <c r="D106" s="431"/>
      <c r="E106" s="431"/>
      <c r="F106" s="431"/>
    </row>
    <row r="107" spans="1:6">
      <c r="A107" s="430"/>
      <c r="B107" s="430"/>
      <c r="C107" s="430"/>
      <c r="D107" s="431"/>
      <c r="E107" s="431"/>
      <c r="F107" s="431"/>
    </row>
    <row r="108" spans="1:6">
      <c r="A108" s="430"/>
      <c r="B108" s="430"/>
      <c r="C108" s="430"/>
      <c r="D108" s="431"/>
      <c r="E108" s="431"/>
      <c r="F108" s="431"/>
    </row>
    <row r="109" spans="1:6">
      <c r="A109" s="430"/>
      <c r="B109" s="430"/>
      <c r="C109" s="430"/>
      <c r="D109" s="431"/>
      <c r="E109" s="431"/>
      <c r="F109" s="431"/>
    </row>
    <row r="110" spans="1:6">
      <c r="A110" s="430"/>
      <c r="B110" s="430"/>
      <c r="C110" s="430"/>
      <c r="D110" s="431"/>
      <c r="E110" s="431"/>
      <c r="F110" s="431"/>
    </row>
    <row r="111" spans="1:6">
      <c r="A111" s="430"/>
      <c r="B111" s="430"/>
      <c r="C111" s="430"/>
      <c r="D111" s="431"/>
      <c r="E111" s="431"/>
      <c r="F111" s="431"/>
    </row>
    <row r="112" spans="1:6">
      <c r="A112" s="430"/>
      <c r="B112" s="430"/>
      <c r="C112" s="430"/>
      <c r="D112" s="431"/>
      <c r="E112" s="431"/>
      <c r="F112" s="431"/>
    </row>
    <row r="113" spans="1:6">
      <c r="A113" s="430"/>
      <c r="B113" s="430"/>
      <c r="C113" s="430"/>
      <c r="D113" s="431"/>
      <c r="E113" s="431"/>
      <c r="F113" s="431"/>
    </row>
    <row r="114" spans="1:6">
      <c r="A114" s="430"/>
      <c r="B114" s="430"/>
      <c r="C114" s="430"/>
      <c r="D114" s="431"/>
      <c r="E114" s="431"/>
      <c r="F114" s="431"/>
    </row>
    <row r="115" spans="1:6">
      <c r="A115" s="430"/>
      <c r="B115" s="430"/>
      <c r="C115" s="430"/>
      <c r="D115" s="431"/>
      <c r="E115" s="431"/>
      <c r="F115" s="431"/>
    </row>
    <row r="116" spans="1:6">
      <c r="A116" s="430"/>
      <c r="B116" s="430"/>
      <c r="C116" s="430"/>
      <c r="D116" s="431"/>
      <c r="E116" s="431"/>
      <c r="F116" s="431"/>
    </row>
    <row r="117" spans="1:6">
      <c r="A117" s="430"/>
      <c r="B117" s="430"/>
      <c r="C117" s="430"/>
      <c r="D117" s="431"/>
      <c r="E117" s="431"/>
      <c r="F117" s="431"/>
    </row>
    <row r="118" spans="1:6">
      <c r="A118" s="430"/>
      <c r="B118" s="430"/>
      <c r="C118" s="430"/>
      <c r="D118" s="431"/>
      <c r="E118" s="431"/>
      <c r="F118" s="431"/>
    </row>
    <row r="119" spans="1:6">
      <c r="A119" s="430"/>
      <c r="B119" s="430"/>
      <c r="C119" s="430"/>
      <c r="D119" s="431"/>
      <c r="E119" s="431"/>
      <c r="F119" s="431"/>
    </row>
    <row r="120" spans="1:6">
      <c r="A120" s="430"/>
      <c r="B120" s="430"/>
      <c r="C120" s="430"/>
      <c r="D120" s="431"/>
      <c r="E120" s="431"/>
      <c r="F120" s="431"/>
    </row>
    <row r="121" spans="1:6">
      <c r="A121" s="430"/>
      <c r="B121" s="430"/>
      <c r="C121" s="430"/>
      <c r="D121" s="431"/>
      <c r="E121" s="431"/>
      <c r="F121" s="431"/>
    </row>
    <row r="122" spans="1:6">
      <c r="A122" s="430"/>
      <c r="B122" s="430"/>
      <c r="C122" s="430"/>
      <c r="D122" s="431"/>
      <c r="E122" s="431"/>
      <c r="F122" s="431"/>
    </row>
    <row r="123" spans="1:6">
      <c r="A123" s="430"/>
      <c r="B123" s="430"/>
      <c r="C123" s="430"/>
      <c r="D123" s="431"/>
      <c r="E123" s="431"/>
      <c r="F123" s="431"/>
    </row>
    <row r="124" spans="1:6">
      <c r="A124" s="430"/>
      <c r="B124" s="430"/>
      <c r="C124" s="430"/>
      <c r="D124" s="431"/>
      <c r="E124" s="431"/>
      <c r="F124" s="431"/>
    </row>
    <row r="125" spans="1:6">
      <c r="A125" s="430"/>
      <c r="B125" s="430"/>
      <c r="C125" s="430"/>
      <c r="D125" s="431"/>
      <c r="E125" s="431"/>
      <c r="F125" s="431"/>
    </row>
    <row r="126" spans="1:6">
      <c r="A126" s="430"/>
      <c r="B126" s="430"/>
      <c r="C126" s="430"/>
      <c r="D126" s="431"/>
      <c r="E126" s="431"/>
      <c r="F126" s="431"/>
    </row>
    <row r="127" spans="1:6">
      <c r="A127" s="430"/>
      <c r="B127" s="430"/>
      <c r="C127" s="430"/>
      <c r="D127" s="431"/>
      <c r="E127" s="431"/>
      <c r="F127" s="431"/>
    </row>
    <row r="128" spans="1:6">
      <c r="A128" s="430"/>
      <c r="B128" s="430"/>
      <c r="C128" s="430"/>
      <c r="D128" s="431"/>
      <c r="E128" s="431"/>
      <c r="F128" s="431"/>
    </row>
    <row r="129" spans="1:6">
      <c r="A129" s="430"/>
      <c r="B129" s="430"/>
      <c r="C129" s="430"/>
      <c r="D129" s="431"/>
      <c r="E129" s="431"/>
      <c r="F129" s="431"/>
    </row>
    <row r="130" spans="1:6">
      <c r="A130" s="430"/>
      <c r="B130" s="430"/>
      <c r="C130" s="430"/>
      <c r="D130" s="431"/>
      <c r="E130" s="431"/>
      <c r="F130" s="431"/>
    </row>
    <row r="131" spans="1:6">
      <c r="A131" s="430"/>
      <c r="B131" s="430"/>
      <c r="C131" s="430"/>
      <c r="D131" s="431"/>
      <c r="E131" s="431"/>
      <c r="F131" s="431"/>
    </row>
    <row r="132" spans="1:6">
      <c r="A132" s="430"/>
      <c r="B132" s="430"/>
      <c r="C132" s="430"/>
      <c r="D132" s="431"/>
      <c r="E132" s="431"/>
      <c r="F132" s="431"/>
    </row>
    <row r="133" spans="1:6">
      <c r="A133" s="430"/>
      <c r="B133" s="430"/>
      <c r="C133" s="430"/>
      <c r="D133" s="431"/>
      <c r="E133" s="431"/>
      <c r="F133" s="431"/>
    </row>
    <row r="134" spans="1:6">
      <c r="A134" s="430"/>
      <c r="B134" s="430"/>
      <c r="C134" s="430"/>
      <c r="D134" s="431"/>
      <c r="E134" s="431"/>
      <c r="F134" s="431"/>
    </row>
    <row r="135" spans="1:6">
      <c r="A135" s="430"/>
      <c r="B135" s="430"/>
      <c r="C135" s="430"/>
      <c r="D135" s="431"/>
      <c r="E135" s="431"/>
      <c r="F135" s="431"/>
    </row>
    <row r="136" spans="1:6">
      <c r="A136" s="430"/>
      <c r="B136" s="430"/>
      <c r="C136" s="430"/>
      <c r="D136" s="431"/>
      <c r="E136" s="431"/>
      <c r="F136" s="431"/>
    </row>
    <row r="137" spans="1:6">
      <c r="A137" s="430"/>
      <c r="B137" s="430"/>
      <c r="C137" s="430"/>
      <c r="D137" s="431"/>
      <c r="E137" s="431"/>
      <c r="F137" s="431"/>
    </row>
    <row r="138" spans="1:6">
      <c r="A138" s="430"/>
      <c r="B138" s="430"/>
      <c r="C138" s="430"/>
      <c r="D138" s="431"/>
      <c r="E138" s="431"/>
      <c r="F138" s="431"/>
    </row>
    <row r="139" spans="1:6">
      <c r="A139" s="430"/>
      <c r="B139" s="430"/>
      <c r="C139" s="430"/>
      <c r="D139" s="431"/>
      <c r="E139" s="431"/>
      <c r="F139" s="431"/>
    </row>
    <row r="140" spans="1:6">
      <c r="A140" s="430"/>
      <c r="B140" s="430"/>
      <c r="C140" s="430"/>
      <c r="D140" s="431"/>
      <c r="E140" s="431"/>
      <c r="F140" s="431"/>
    </row>
    <row r="141" spans="1:6">
      <c r="A141" s="430"/>
      <c r="B141" s="430"/>
      <c r="C141" s="430"/>
      <c r="D141" s="431"/>
      <c r="E141" s="431"/>
      <c r="F141" s="431"/>
    </row>
    <row r="142" spans="1:6">
      <c r="A142" s="430"/>
      <c r="B142" s="430"/>
      <c r="C142" s="430"/>
      <c r="D142" s="431"/>
      <c r="E142" s="431"/>
      <c r="F142" s="431"/>
    </row>
    <row r="143" spans="1:6">
      <c r="A143" s="430"/>
      <c r="B143" s="430"/>
      <c r="C143" s="430"/>
      <c r="D143" s="431"/>
      <c r="E143" s="431"/>
      <c r="F143" s="431"/>
    </row>
    <row r="144" spans="1:6">
      <c r="A144" s="430"/>
      <c r="B144" s="430"/>
      <c r="C144" s="430"/>
      <c r="D144" s="431"/>
      <c r="E144" s="431"/>
      <c r="F144" s="431"/>
    </row>
    <row r="145" spans="1:6">
      <c r="A145" s="430"/>
      <c r="B145" s="430"/>
      <c r="C145" s="430"/>
      <c r="D145" s="431"/>
      <c r="E145" s="431"/>
      <c r="F145" s="431"/>
    </row>
    <row r="146" spans="1:6">
      <c r="A146" s="430"/>
      <c r="B146" s="430"/>
      <c r="C146" s="430"/>
      <c r="D146" s="431"/>
      <c r="E146" s="431"/>
      <c r="F146" s="431"/>
    </row>
    <row r="147" spans="1:6">
      <c r="A147" s="430"/>
      <c r="B147" s="430"/>
      <c r="C147" s="430"/>
      <c r="D147" s="431"/>
      <c r="E147" s="431"/>
      <c r="F147" s="532"/>
    </row>
    <row r="148" spans="1:6" ht="18.75">
      <c r="A148" s="430"/>
      <c r="B148" s="519"/>
      <c r="C148" s="519"/>
      <c r="D148" s="532"/>
      <c r="E148" s="532"/>
      <c r="F148" s="532"/>
    </row>
    <row r="149" spans="1:6" ht="18.75">
      <c r="A149" s="430"/>
      <c r="B149" s="519"/>
      <c r="C149" s="519"/>
      <c r="D149" s="532"/>
      <c r="E149" s="532"/>
      <c r="F149" s="532"/>
    </row>
    <row r="150" spans="1:6">
      <c r="A150" s="430"/>
      <c r="D150" s="532"/>
      <c r="E150" s="532"/>
      <c r="F150" s="532"/>
    </row>
    <row r="151" spans="1:6">
      <c r="A151" s="430"/>
      <c r="D151" s="532"/>
      <c r="E151" s="532"/>
      <c r="F151" s="532"/>
    </row>
    <row r="152" spans="1:6" ht="18.75">
      <c r="A152" s="519"/>
      <c r="D152" s="532"/>
      <c r="E152" s="532"/>
      <c r="F152" s="532"/>
    </row>
    <row r="153" spans="1:6" ht="18.75">
      <c r="A153" s="519"/>
      <c r="D153" s="532"/>
      <c r="E153" s="532"/>
      <c r="F153" s="532"/>
    </row>
    <row r="154" spans="1:6">
      <c r="D154" s="532"/>
      <c r="E154" s="532"/>
      <c r="F154" s="532"/>
    </row>
    <row r="155" spans="1:6">
      <c r="D155" s="532"/>
      <c r="E155" s="532"/>
      <c r="F155" s="532"/>
    </row>
    <row r="156" spans="1:6">
      <c r="D156" s="532"/>
      <c r="E156" s="532"/>
      <c r="F156" s="532"/>
    </row>
    <row r="157" spans="1:6">
      <c r="D157" s="532"/>
      <c r="E157" s="532"/>
      <c r="F157" s="532"/>
    </row>
    <row r="158" spans="1:6">
      <c r="D158" s="532"/>
      <c r="E158" s="532"/>
      <c r="F158" s="532"/>
    </row>
    <row r="159" spans="1:6">
      <c r="D159" s="532"/>
      <c r="E159" s="532"/>
      <c r="F159" s="532"/>
    </row>
    <row r="160" spans="1:6">
      <c r="D160" s="532"/>
      <c r="E160" s="532"/>
      <c r="F160" s="532"/>
    </row>
    <row r="161" spans="4:6">
      <c r="D161" s="532"/>
      <c r="E161" s="532"/>
      <c r="F161" s="532"/>
    </row>
    <row r="162" spans="4:6">
      <c r="D162" s="532"/>
      <c r="E162" s="532"/>
      <c r="F162" s="532"/>
    </row>
    <row r="163" spans="4:6">
      <c r="D163" s="532"/>
      <c r="E163" s="532"/>
      <c r="F163" s="532"/>
    </row>
    <row r="164" spans="4:6">
      <c r="D164" s="532"/>
      <c r="E164" s="532"/>
      <c r="F164" s="532"/>
    </row>
    <row r="165" spans="4:6">
      <c r="D165" s="532"/>
      <c r="E165" s="532"/>
      <c r="F165" s="532"/>
    </row>
    <row r="166" spans="4:6">
      <c r="D166" s="532"/>
      <c r="E166" s="532"/>
      <c r="F166" s="532"/>
    </row>
    <row r="167" spans="4:6">
      <c r="D167" s="532"/>
      <c r="E167" s="532"/>
      <c r="F167" s="532"/>
    </row>
    <row r="168" spans="4:6">
      <c r="D168" s="532"/>
      <c r="E168" s="532"/>
      <c r="F168" s="532"/>
    </row>
    <row r="169" spans="4:6">
      <c r="D169" s="532"/>
      <c r="E169" s="532"/>
      <c r="F169" s="532"/>
    </row>
    <row r="170" spans="4:6">
      <c r="D170" s="532"/>
      <c r="E170" s="532"/>
      <c r="F170" s="532"/>
    </row>
    <row r="171" spans="4:6">
      <c r="D171" s="532"/>
      <c r="E171" s="532"/>
      <c r="F171" s="532"/>
    </row>
    <row r="172" spans="4:6">
      <c r="D172" s="532"/>
      <c r="E172" s="532"/>
      <c r="F172" s="532"/>
    </row>
    <row r="173" spans="4:6">
      <c r="D173" s="532"/>
      <c r="E173" s="532"/>
      <c r="F173" s="532"/>
    </row>
    <row r="174" spans="4:6">
      <c r="D174" s="532"/>
      <c r="E174" s="532"/>
      <c r="F174" s="532"/>
    </row>
    <row r="175" spans="4:6">
      <c r="D175" s="532"/>
      <c r="E175" s="532"/>
      <c r="F175" s="532"/>
    </row>
    <row r="176" spans="4:6">
      <c r="D176" s="532"/>
      <c r="E176" s="532"/>
      <c r="F176" s="532"/>
    </row>
    <row r="177" spans="4:6">
      <c r="D177" s="532"/>
      <c r="E177" s="532"/>
      <c r="F177" s="532"/>
    </row>
    <row r="178" spans="4:6">
      <c r="D178" s="532"/>
      <c r="E178" s="532"/>
      <c r="F178" s="532"/>
    </row>
    <row r="179" spans="4:6">
      <c r="D179" s="532"/>
      <c r="E179" s="532"/>
      <c r="F179" s="532"/>
    </row>
    <row r="180" spans="4:6">
      <c r="D180" s="532"/>
      <c r="E180" s="532"/>
      <c r="F180" s="532"/>
    </row>
    <row r="181" spans="4:6">
      <c r="D181" s="532"/>
      <c r="E181" s="532"/>
      <c r="F181" s="532"/>
    </row>
    <row r="182" spans="4:6">
      <c r="D182" s="532"/>
      <c r="E182" s="532"/>
      <c r="F182" s="532"/>
    </row>
    <row r="183" spans="4:6">
      <c r="D183" s="532"/>
      <c r="E183" s="532"/>
      <c r="F183" s="532"/>
    </row>
    <row r="184" spans="4:6">
      <c r="D184" s="532"/>
      <c r="E184" s="532"/>
      <c r="F184" s="532"/>
    </row>
    <row r="185" spans="4:6">
      <c r="D185" s="532"/>
      <c r="E185" s="532"/>
      <c r="F185" s="532"/>
    </row>
    <row r="186" spans="4:6">
      <c r="D186" s="532"/>
      <c r="E186" s="532"/>
      <c r="F186" s="532"/>
    </row>
    <row r="187" spans="4:6">
      <c r="D187" s="532"/>
      <c r="E187" s="532"/>
      <c r="F187" s="532"/>
    </row>
    <row r="188" spans="4:6">
      <c r="D188" s="532"/>
      <c r="E188" s="532"/>
      <c r="F188" s="532"/>
    </row>
    <row r="189" spans="4:6">
      <c r="D189" s="532"/>
      <c r="E189" s="532"/>
      <c r="F189" s="532"/>
    </row>
    <row r="190" spans="4:6">
      <c r="D190" s="532"/>
      <c r="E190" s="532"/>
      <c r="F190" s="532"/>
    </row>
    <row r="191" spans="4:6">
      <c r="D191" s="532"/>
      <c r="E191" s="532"/>
      <c r="F191" s="532"/>
    </row>
    <row r="192" spans="4:6">
      <c r="D192" s="532"/>
      <c r="E192" s="532"/>
      <c r="F192" s="532"/>
    </row>
    <row r="193" spans="4:6">
      <c r="D193" s="532"/>
      <c r="E193" s="532"/>
      <c r="F193" s="532"/>
    </row>
    <row r="194" spans="4:6">
      <c r="D194" s="532"/>
      <c r="E194" s="532"/>
      <c r="F194" s="532"/>
    </row>
    <row r="195" spans="4:6">
      <c r="D195" s="532"/>
      <c r="E195" s="532"/>
      <c r="F195" s="532"/>
    </row>
  </sheetData>
  <mergeCells count="1">
    <mergeCell ref="E3:F3"/>
  </mergeCells>
  <pageMargins left="0.86614173228346503" right="0.17" top="0.74803149606299202" bottom="0.511811023622047" header="0.43307086614173201" footer="0.31496062992126"/>
  <pageSetup paperSize="9" scale="98" firstPageNumber="38" orientation="portrait" r:id="rId1"/>
  <headerFooter alignWithMargins="0">
    <oddHeader>&amp;C&amp;"Times New Roman,Regular"&amp;13&amp;P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M48"/>
  <sheetViews>
    <sheetView workbookViewId="0">
      <selection activeCell="D13" sqref="D13"/>
    </sheetView>
  </sheetViews>
  <sheetFormatPr defaultColWidth="9.28515625" defaultRowHeight="12.75"/>
  <cols>
    <col min="1" max="1" width="48.5703125" style="773" customWidth="1"/>
    <col min="2" max="4" width="11.28515625" style="773" customWidth="1"/>
    <col min="5" max="5" width="10.5703125" style="773" customWidth="1"/>
    <col min="6" max="16384" width="9.28515625" style="773"/>
  </cols>
  <sheetData>
    <row r="1" spans="1:13" ht="18" customHeight="1">
      <c r="A1" s="677" t="s">
        <v>676</v>
      </c>
      <c r="B1" s="771"/>
      <c r="C1" s="771"/>
      <c r="D1" s="771"/>
      <c r="E1" s="772"/>
      <c r="F1" s="772"/>
      <c r="G1" s="772"/>
      <c r="H1" s="772"/>
    </row>
    <row r="2" spans="1:13" ht="18" customHeight="1">
      <c r="A2" s="771"/>
      <c r="B2" s="771"/>
      <c r="C2" s="771"/>
      <c r="D2" s="771"/>
      <c r="E2" s="772"/>
      <c r="F2" s="772"/>
      <c r="G2" s="772"/>
      <c r="H2" s="772"/>
    </row>
    <row r="3" spans="1:13" ht="18" customHeight="1">
      <c r="A3" s="774"/>
      <c r="B3" s="774"/>
      <c r="C3" s="774"/>
      <c r="D3" s="774"/>
    </row>
    <row r="4" spans="1:13" ht="18" customHeight="1">
      <c r="A4" s="775"/>
      <c r="B4" s="356" t="s">
        <v>25</v>
      </c>
      <c r="C4" s="356" t="s">
        <v>26</v>
      </c>
      <c r="D4" s="356" t="s">
        <v>19</v>
      </c>
      <c r="E4" s="776"/>
    </row>
    <row r="5" spans="1:13" ht="18" customHeight="1">
      <c r="A5" s="774"/>
      <c r="B5" s="358" t="s">
        <v>28</v>
      </c>
      <c r="C5" s="358" t="s">
        <v>28</v>
      </c>
      <c r="D5" s="358" t="s">
        <v>24</v>
      </c>
      <c r="E5" s="776"/>
    </row>
    <row r="6" spans="1:13" ht="18" customHeight="1">
      <c r="A6" s="774"/>
      <c r="B6" s="777">
        <v>2025</v>
      </c>
      <c r="C6" s="777">
        <v>2025</v>
      </c>
      <c r="D6" s="777" t="s">
        <v>592</v>
      </c>
      <c r="E6" s="776"/>
    </row>
    <row r="7" spans="1:13" ht="18" customHeight="1">
      <c r="A7" s="774"/>
      <c r="B7" s="774"/>
      <c r="C7" s="774"/>
      <c r="D7" s="774"/>
      <c r="G7" s="778"/>
    </row>
    <row r="8" spans="1:13" ht="18" customHeight="1">
      <c r="A8" s="774"/>
      <c r="B8" s="912" t="s">
        <v>593</v>
      </c>
      <c r="C8" s="912"/>
      <c r="D8" s="912"/>
      <c r="G8" s="780"/>
      <c r="I8" s="780"/>
      <c r="J8" s="781"/>
      <c r="K8" s="782"/>
      <c r="L8" s="780"/>
      <c r="M8" s="783"/>
    </row>
    <row r="9" spans="1:13" ht="18" customHeight="1">
      <c r="A9" s="774"/>
      <c r="B9" s="779"/>
      <c r="C9" s="779"/>
      <c r="D9" s="779"/>
      <c r="G9" s="780"/>
      <c r="I9" s="780"/>
      <c r="J9" s="781"/>
      <c r="K9" s="782"/>
      <c r="L9" s="780"/>
      <c r="M9" s="783"/>
    </row>
    <row r="10" spans="1:13" ht="18" customHeight="1">
      <c r="A10" s="784" t="s">
        <v>594</v>
      </c>
      <c r="B10" s="785">
        <v>53094</v>
      </c>
      <c r="C10" s="785">
        <v>53348.486559999998</v>
      </c>
      <c r="D10" s="785">
        <v>53122.228853333334</v>
      </c>
      <c r="E10" s="782"/>
      <c r="G10" s="780"/>
      <c r="I10" s="780"/>
      <c r="J10" s="781"/>
      <c r="K10" s="782"/>
      <c r="L10" s="780"/>
      <c r="M10" s="783"/>
    </row>
    <row r="11" spans="1:13" ht="18" customHeight="1">
      <c r="A11" s="786" t="s">
        <v>595</v>
      </c>
      <c r="B11" s="787"/>
      <c r="C11" s="787"/>
      <c r="D11" s="787"/>
      <c r="E11" s="782"/>
      <c r="G11" s="780"/>
      <c r="I11" s="780"/>
      <c r="J11" s="781"/>
      <c r="K11" s="782"/>
      <c r="L11" s="780"/>
      <c r="M11" s="783"/>
    </row>
    <row r="12" spans="1:13" ht="18" customHeight="1">
      <c r="A12" s="788" t="s">
        <v>596</v>
      </c>
      <c r="B12" s="787">
        <v>28397</v>
      </c>
      <c r="C12" s="787">
        <v>28475.124530000001</v>
      </c>
      <c r="D12" s="787">
        <v>28395.341509999998</v>
      </c>
      <c r="E12" s="782"/>
      <c r="G12" s="780"/>
      <c r="I12" s="780"/>
      <c r="J12" s="781"/>
      <c r="K12" s="782"/>
      <c r="L12" s="780"/>
      <c r="M12" s="783"/>
    </row>
    <row r="13" spans="1:13" ht="18" customHeight="1">
      <c r="A13" s="788" t="s">
        <v>597</v>
      </c>
      <c r="B13" s="787">
        <v>24697</v>
      </c>
      <c r="C13" s="787">
        <v>24873.36204</v>
      </c>
      <c r="D13" s="787">
        <v>24726.887346666666</v>
      </c>
      <c r="E13" s="782"/>
      <c r="G13" s="780"/>
      <c r="I13" s="780"/>
      <c r="J13" s="781"/>
      <c r="K13" s="782"/>
      <c r="L13" s="780"/>
      <c r="M13" s="783"/>
    </row>
    <row r="14" spans="1:13" ht="18" customHeight="1">
      <c r="A14" s="786" t="s">
        <v>598</v>
      </c>
      <c r="B14" s="787"/>
      <c r="C14" s="787"/>
      <c r="D14" s="787"/>
      <c r="E14" s="782"/>
      <c r="G14" s="780"/>
      <c r="I14" s="780"/>
      <c r="J14" s="781"/>
      <c r="K14" s="782"/>
      <c r="L14" s="780"/>
      <c r="M14" s="783"/>
    </row>
    <row r="15" spans="1:13" ht="18" customHeight="1">
      <c r="A15" s="788" t="s">
        <v>599</v>
      </c>
      <c r="B15" s="787">
        <v>20661.2</v>
      </c>
      <c r="C15" s="787">
        <v>21622.71039</v>
      </c>
      <c r="D15" s="787">
        <v>20918.136796666666</v>
      </c>
      <c r="E15" s="782"/>
      <c r="G15" s="780"/>
      <c r="I15" s="780"/>
      <c r="J15" s="781"/>
      <c r="K15" s="782"/>
      <c r="L15" s="780"/>
      <c r="M15" s="783"/>
    </row>
    <row r="16" spans="1:13" ht="18" customHeight="1">
      <c r="A16" s="788" t="s">
        <v>600</v>
      </c>
      <c r="B16" s="787">
        <v>32432.799999999999</v>
      </c>
      <c r="C16" s="787">
        <v>31725.776170000001</v>
      </c>
      <c r="D16" s="787">
        <v>32204.092056666665</v>
      </c>
      <c r="G16" s="780"/>
      <c r="I16" s="780"/>
      <c r="J16" s="781"/>
      <c r="K16" s="782"/>
      <c r="L16" s="780"/>
      <c r="M16" s="783"/>
    </row>
    <row r="17" spans="1:13" ht="18" customHeight="1">
      <c r="A17" s="789" t="s">
        <v>601</v>
      </c>
      <c r="B17" s="785">
        <v>51993.718848239449</v>
      </c>
      <c r="C17" s="785">
        <v>52254.967993153674</v>
      </c>
      <c r="D17" s="785">
        <v>52034.604410157721</v>
      </c>
      <c r="E17" s="782"/>
      <c r="G17" s="780"/>
      <c r="I17" s="780"/>
      <c r="J17" s="781"/>
      <c r="K17" s="782"/>
      <c r="L17" s="780"/>
      <c r="M17" s="783"/>
    </row>
    <row r="18" spans="1:13" ht="18" customHeight="1">
      <c r="A18" s="788" t="s">
        <v>602</v>
      </c>
      <c r="B18" s="787">
        <v>13484.454100726462</v>
      </c>
      <c r="C18" s="787">
        <v>13376.174760357604</v>
      </c>
      <c r="D18" s="787">
        <v>13447.02421235218</v>
      </c>
      <c r="E18" s="782"/>
      <c r="G18" s="780"/>
      <c r="I18" s="780"/>
      <c r="J18" s="781"/>
      <c r="K18" s="782"/>
      <c r="L18" s="780"/>
      <c r="M18" s="783"/>
    </row>
    <row r="19" spans="1:13" ht="18" customHeight="1">
      <c r="A19" s="788" t="s">
        <v>603</v>
      </c>
      <c r="B19" s="787">
        <v>17275.018521436072</v>
      </c>
      <c r="C19" s="787">
        <v>17520.501964893167</v>
      </c>
      <c r="D19" s="787">
        <v>17350.155512314406</v>
      </c>
      <c r="E19" s="782"/>
      <c r="G19" s="780"/>
      <c r="I19" s="780"/>
      <c r="J19" s="781"/>
      <c r="K19" s="782"/>
      <c r="L19" s="780"/>
      <c r="M19" s="783"/>
    </row>
    <row r="20" spans="1:13" ht="18" customHeight="1">
      <c r="A20" s="788" t="s">
        <v>263</v>
      </c>
      <c r="B20" s="787">
        <v>21234.24622607803</v>
      </c>
      <c r="C20" s="787">
        <v>21358.291267901477</v>
      </c>
      <c r="D20" s="787">
        <v>21237.424685491194</v>
      </c>
      <c r="E20" s="782"/>
      <c r="G20" s="780"/>
      <c r="I20" s="780"/>
      <c r="J20" s="781"/>
      <c r="K20" s="782"/>
      <c r="L20" s="780"/>
      <c r="M20" s="783"/>
    </row>
    <row r="21" spans="1:13" ht="18" customHeight="1">
      <c r="A21" s="788"/>
      <c r="E21" s="782"/>
      <c r="G21" s="780"/>
      <c r="I21" s="780"/>
      <c r="J21" s="781"/>
      <c r="K21" s="782"/>
      <c r="L21" s="780"/>
      <c r="M21" s="783"/>
    </row>
    <row r="22" spans="1:13" ht="18" customHeight="1">
      <c r="A22" s="788"/>
      <c r="B22" s="912" t="s">
        <v>604</v>
      </c>
      <c r="C22" s="912"/>
      <c r="D22" s="912"/>
      <c r="G22" s="780"/>
      <c r="I22" s="780"/>
      <c r="J22" s="781"/>
      <c r="K22" s="782"/>
      <c r="L22" s="780"/>
      <c r="M22" s="783"/>
    </row>
    <row r="23" spans="1:13" ht="18" customHeight="1">
      <c r="A23" s="788"/>
      <c r="B23" s="790"/>
      <c r="C23" s="790"/>
      <c r="D23" s="790"/>
      <c r="E23" s="782"/>
      <c r="G23" s="780"/>
      <c r="I23" s="780"/>
      <c r="J23" s="781"/>
      <c r="K23" s="782"/>
      <c r="L23" s="780"/>
      <c r="M23" s="783"/>
    </row>
    <row r="24" spans="1:13" ht="18" customHeight="1">
      <c r="A24" s="784" t="s">
        <v>594</v>
      </c>
      <c r="B24" s="785">
        <v>100</v>
      </c>
      <c r="C24" s="785">
        <v>100</v>
      </c>
      <c r="D24" s="785">
        <v>100</v>
      </c>
      <c r="E24" s="782"/>
      <c r="G24" s="780"/>
      <c r="I24" s="780"/>
      <c r="J24" s="781"/>
      <c r="K24" s="782"/>
      <c r="L24" s="780"/>
      <c r="M24" s="783"/>
    </row>
    <row r="25" spans="1:13" ht="18" customHeight="1">
      <c r="A25" s="791" t="s">
        <v>595</v>
      </c>
      <c r="B25" s="787"/>
      <c r="C25" s="787"/>
      <c r="D25" s="787"/>
      <c r="E25" s="782"/>
      <c r="G25" s="780"/>
      <c r="I25" s="780"/>
      <c r="J25" s="781"/>
      <c r="K25" s="782"/>
      <c r="L25" s="780"/>
      <c r="M25" s="783"/>
    </row>
    <row r="26" spans="1:13" ht="18" customHeight="1">
      <c r="A26" s="788" t="s">
        <v>596</v>
      </c>
      <c r="B26" s="787">
        <f>B12/$B$10*100</f>
        <v>53.48438618299619</v>
      </c>
      <c r="C26" s="787">
        <f>C12/$C$10*100</f>
        <v>53.375693231661948</v>
      </c>
      <c r="D26" s="787">
        <f>D12/$D$10*100</f>
        <v>53.452842854913904</v>
      </c>
      <c r="E26" s="782"/>
      <c r="G26" s="780"/>
      <c r="I26" s="780"/>
      <c r="J26" s="781"/>
      <c r="K26" s="782"/>
      <c r="L26" s="780"/>
      <c r="M26" s="783"/>
    </row>
    <row r="27" spans="1:13" ht="18" customHeight="1">
      <c r="A27" s="788" t="s">
        <v>597</v>
      </c>
      <c r="B27" s="787">
        <f t="shared" ref="B27:B30" si="0">B13/$B$10*100</f>
        <v>46.515613817003803</v>
      </c>
      <c r="C27" s="787">
        <f t="shared" ref="C27:C30" si="1">C13/$C$10*100</f>
        <v>46.624306787082737</v>
      </c>
      <c r="D27" s="787">
        <f t="shared" ref="D27:D30" si="2">D13/$D$10*100</f>
        <v>46.547157151360928</v>
      </c>
      <c r="E27" s="782"/>
      <c r="G27" s="780"/>
      <c r="I27" s="780"/>
      <c r="J27" s="781"/>
      <c r="K27" s="782"/>
      <c r="L27" s="780"/>
      <c r="M27" s="783"/>
    </row>
    <row r="28" spans="1:13" ht="18" customHeight="1">
      <c r="A28" s="791" t="s">
        <v>598</v>
      </c>
      <c r="B28" s="787"/>
      <c r="C28" s="787"/>
      <c r="D28" s="787"/>
      <c r="E28" s="782"/>
      <c r="G28" s="780"/>
      <c r="I28" s="780"/>
      <c r="J28" s="781"/>
      <c r="K28" s="782"/>
      <c r="L28" s="780"/>
      <c r="M28" s="783"/>
    </row>
    <row r="29" spans="1:13" ht="18" customHeight="1">
      <c r="A29" s="788" t="s">
        <v>599</v>
      </c>
      <c r="B29" s="787">
        <f t="shared" si="0"/>
        <v>38.914378272497835</v>
      </c>
      <c r="C29" s="787">
        <f t="shared" si="1"/>
        <v>40.531066173135692</v>
      </c>
      <c r="D29" s="787">
        <f t="shared" si="2"/>
        <v>39.377370355487422</v>
      </c>
      <c r="G29" s="780"/>
      <c r="I29" s="780"/>
      <c r="J29" s="781"/>
      <c r="K29" s="782"/>
      <c r="L29" s="780"/>
      <c r="M29" s="783"/>
    </row>
    <row r="30" spans="1:13" ht="18" customHeight="1">
      <c r="A30" s="788" t="s">
        <v>600</v>
      </c>
      <c r="B30" s="787">
        <f t="shared" si="0"/>
        <v>61.085621727502158</v>
      </c>
      <c r="C30" s="787">
        <f t="shared" si="1"/>
        <v>59.468933826864316</v>
      </c>
      <c r="D30" s="787">
        <f t="shared" si="2"/>
        <v>60.622629644512571</v>
      </c>
      <c r="E30" s="782"/>
      <c r="G30" s="780"/>
      <c r="I30" s="780"/>
      <c r="J30" s="781"/>
      <c r="K30" s="782"/>
      <c r="L30" s="780"/>
      <c r="M30" s="783"/>
    </row>
    <row r="31" spans="1:13" ht="18" customHeight="1">
      <c r="A31" s="789" t="s">
        <v>601</v>
      </c>
      <c r="B31" s="785">
        <v>100</v>
      </c>
      <c r="C31" s="785">
        <v>100</v>
      </c>
      <c r="D31" s="785">
        <v>100</v>
      </c>
      <c r="E31" s="782"/>
      <c r="G31" s="780"/>
      <c r="I31" s="780"/>
      <c r="J31" s="781"/>
      <c r="K31" s="782"/>
      <c r="L31" s="780"/>
      <c r="M31" s="783"/>
    </row>
    <row r="32" spans="1:13" ht="18" customHeight="1">
      <c r="A32" s="788" t="s">
        <v>602</v>
      </c>
      <c r="B32" s="787">
        <f>+B18/B17*100</f>
        <v>25.934775198683557</v>
      </c>
      <c r="C32" s="787">
        <f t="shared" ref="C32:D32" si="3">+C18/C17*100</f>
        <v>25.597900590256067</v>
      </c>
      <c r="D32" s="787">
        <f t="shared" si="3"/>
        <v>25.842464576759948</v>
      </c>
      <c r="E32" s="782"/>
      <c r="G32" s="780"/>
      <c r="I32" s="780"/>
      <c r="J32" s="781"/>
      <c r="K32" s="782"/>
      <c r="L32" s="780"/>
      <c r="M32" s="783"/>
    </row>
    <row r="33" spans="1:4" ht="18" customHeight="1">
      <c r="A33" s="788" t="s">
        <v>603</v>
      </c>
      <c r="B33" s="787">
        <v>33.200000000000003</v>
      </c>
      <c r="C33" s="787">
        <f t="shared" ref="C33" si="4">+C19/C17*100</f>
        <v>33.528873211038352</v>
      </c>
      <c r="D33" s="787">
        <v>33.4</v>
      </c>
    </row>
    <row r="34" spans="1:4" ht="18" customHeight="1">
      <c r="A34" s="788" t="s">
        <v>263</v>
      </c>
      <c r="B34" s="787">
        <v>40.9</v>
      </c>
      <c r="C34" s="787">
        <f t="shared" ref="C34:D34" si="5">+C20/C17*100</f>
        <v>40.873226198702852</v>
      </c>
      <c r="D34" s="787">
        <f t="shared" si="5"/>
        <v>40.814040821929296</v>
      </c>
    </row>
    <row r="35" spans="1:4" ht="18" customHeight="1">
      <c r="A35" s="774"/>
      <c r="B35" s="774"/>
      <c r="C35" s="774"/>
      <c r="D35" s="774"/>
    </row>
    <row r="36" spans="1:4" ht="18" customHeight="1"/>
    <row r="37" spans="1:4" ht="18" customHeight="1"/>
    <row r="38" spans="1:4" ht="18" customHeight="1"/>
    <row r="39" spans="1:4" ht="18" customHeight="1"/>
    <row r="40" spans="1:4" ht="18" customHeight="1"/>
    <row r="41" spans="1:4" ht="18" customHeight="1"/>
    <row r="42" spans="1:4" ht="18" customHeight="1"/>
    <row r="43" spans="1:4" ht="18" customHeight="1"/>
    <row r="44" spans="1:4" ht="18" customHeight="1"/>
    <row r="45" spans="1:4" ht="18" customHeight="1"/>
    <row r="46" spans="1:4" ht="18" customHeight="1"/>
    <row r="47" spans="1:4" ht="18" customHeight="1"/>
    <row r="48" spans="1:4" ht="18" customHeight="1"/>
  </sheetData>
  <mergeCells count="2">
    <mergeCell ref="B8:D8"/>
    <mergeCell ref="B22:D22"/>
  </mergeCells>
  <pageMargins left="0.86614173228346503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H24"/>
  <sheetViews>
    <sheetView workbookViewId="0">
      <selection activeCell="D13" sqref="D13"/>
    </sheetView>
  </sheetViews>
  <sheetFormatPr defaultColWidth="9.28515625" defaultRowHeight="12.75"/>
  <cols>
    <col min="1" max="1" width="51.140625" style="795" customWidth="1"/>
    <col min="2" max="4" width="11.28515625" style="795" customWidth="1"/>
    <col min="5" max="16384" width="9.28515625" style="795"/>
  </cols>
  <sheetData>
    <row r="1" spans="1:8" ht="20.100000000000001" customHeight="1">
      <c r="A1" s="792" t="s">
        <v>677</v>
      </c>
      <c r="B1" s="793"/>
      <c r="C1" s="793"/>
      <c r="D1" s="793"/>
      <c r="E1" s="794"/>
      <c r="F1" s="794"/>
      <c r="G1" s="794"/>
      <c r="H1" s="794"/>
    </row>
    <row r="2" spans="1:8" ht="18" customHeight="1">
      <c r="A2" s="793"/>
      <c r="B2" s="793"/>
      <c r="C2" s="793"/>
      <c r="D2" s="793"/>
      <c r="E2" s="794"/>
      <c r="F2" s="794"/>
      <c r="G2" s="794"/>
      <c r="H2" s="794"/>
    </row>
    <row r="3" spans="1:8" ht="20.100000000000001" customHeight="1">
      <c r="A3" s="796"/>
      <c r="B3" s="796"/>
      <c r="C3" s="796"/>
      <c r="D3" s="797" t="s">
        <v>61</v>
      </c>
    </row>
    <row r="4" spans="1:8" ht="20.100000000000001" customHeight="1">
      <c r="A4" s="798"/>
      <c r="B4" s="913" t="s">
        <v>605</v>
      </c>
      <c r="C4" s="915" t="s">
        <v>606</v>
      </c>
      <c r="D4" s="915"/>
    </row>
    <row r="5" spans="1:8" ht="20.100000000000001" customHeight="1">
      <c r="B5" s="914"/>
      <c r="C5" s="799" t="s">
        <v>607</v>
      </c>
      <c r="D5" s="799" t="s">
        <v>600</v>
      </c>
    </row>
    <row r="6" spans="1:8" ht="20.100000000000001" customHeight="1"/>
    <row r="7" spans="1:8" ht="20.100000000000001" customHeight="1">
      <c r="A7" s="800" t="s">
        <v>608</v>
      </c>
    </row>
    <row r="8" spans="1:8" ht="20.100000000000001" customHeight="1">
      <c r="A8" s="801" t="s">
        <v>609</v>
      </c>
      <c r="B8" s="802">
        <v>2.2000000000000002</v>
      </c>
      <c r="C8" s="802">
        <v>2.38</v>
      </c>
      <c r="D8" s="802">
        <v>2.0699999999999998</v>
      </c>
    </row>
    <row r="9" spans="1:8" ht="20.100000000000001" customHeight="1">
      <c r="A9" s="801" t="s">
        <v>610</v>
      </c>
      <c r="B9" s="802">
        <v>2.2400000000000002</v>
      </c>
      <c r="C9" s="802">
        <v>2.4900000000000002</v>
      </c>
      <c r="D9" s="802">
        <v>2.08</v>
      </c>
    </row>
    <row r="10" spans="1:8" ht="20.100000000000001" customHeight="1">
      <c r="A10" s="801" t="s">
        <v>611</v>
      </c>
      <c r="B10" s="802">
        <v>2.2221299999999999</v>
      </c>
      <c r="C10" s="802">
        <v>2.7288700000000001</v>
      </c>
      <c r="D10" s="802">
        <v>1.8566800000000001</v>
      </c>
    </row>
    <row r="11" spans="1:8" ht="20.100000000000001" customHeight="1">
      <c r="A11" s="801" t="s">
        <v>612</v>
      </c>
      <c r="B11" s="802">
        <v>2.22071</v>
      </c>
      <c r="C11" s="802">
        <v>2.5329566666666667</v>
      </c>
      <c r="D11" s="802">
        <v>2.0022266666666666</v>
      </c>
    </row>
    <row r="12" spans="1:8" ht="20.100000000000001" customHeight="1">
      <c r="A12" s="796"/>
      <c r="B12" s="803"/>
      <c r="C12" s="803"/>
      <c r="D12" s="803"/>
    </row>
    <row r="13" spans="1:8" ht="20.100000000000001" customHeight="1">
      <c r="A13" s="800" t="s">
        <v>613</v>
      </c>
    </row>
    <row r="14" spans="1:8" ht="20.100000000000001" customHeight="1">
      <c r="A14" s="801" t="s">
        <v>609</v>
      </c>
      <c r="B14" s="802">
        <v>7.93</v>
      </c>
      <c r="C14" s="802">
        <v>11.06</v>
      </c>
      <c r="D14" s="802">
        <v>6.32</v>
      </c>
    </row>
    <row r="15" spans="1:8" ht="20.100000000000001" customHeight="1">
      <c r="A15" s="801" t="s">
        <v>610</v>
      </c>
      <c r="B15" s="802">
        <v>8.19</v>
      </c>
      <c r="C15" s="802">
        <v>10.23</v>
      </c>
      <c r="D15" s="802">
        <v>7.06</v>
      </c>
    </row>
    <row r="16" spans="1:8" ht="20.100000000000001" customHeight="1">
      <c r="A16" s="801" t="s">
        <v>611</v>
      </c>
      <c r="B16" s="802">
        <v>9.0299999999999994</v>
      </c>
      <c r="C16" s="802">
        <v>12.424429999999999</v>
      </c>
      <c r="D16" s="802">
        <v>6.8617299999999997</v>
      </c>
    </row>
    <row r="17" spans="1:4" ht="20.100000000000001" customHeight="1">
      <c r="A17" s="801" t="s">
        <v>612</v>
      </c>
      <c r="B17" s="802">
        <v>8.3833333333333329</v>
      </c>
      <c r="C17" s="802">
        <v>11.238143333333333</v>
      </c>
      <c r="D17" s="802">
        <v>6.7472433333333326</v>
      </c>
    </row>
    <row r="18" spans="1:4" ht="20.100000000000001" customHeight="1">
      <c r="A18" s="801"/>
      <c r="B18" s="803"/>
      <c r="C18" s="803"/>
      <c r="D18" s="803"/>
    </row>
    <row r="19" spans="1:4" ht="20.100000000000001" customHeight="1">
      <c r="A19" s="800" t="s">
        <v>614</v>
      </c>
      <c r="B19" s="803"/>
      <c r="C19" s="804"/>
      <c r="D19" s="804"/>
    </row>
    <row r="20" spans="1:4" ht="20.100000000000001" customHeight="1">
      <c r="A20" s="801" t="s">
        <v>609</v>
      </c>
      <c r="B20" s="802">
        <v>1.72</v>
      </c>
      <c r="C20" s="802">
        <v>0.98</v>
      </c>
      <c r="D20" s="802">
        <v>2.21</v>
      </c>
    </row>
    <row r="21" spans="1:4" ht="20.100000000000001" customHeight="1">
      <c r="A21" s="801" t="s">
        <v>610</v>
      </c>
      <c r="B21" s="802">
        <v>1.7256955296391856</v>
      </c>
      <c r="C21" s="802">
        <v>1.4696206817104713</v>
      </c>
      <c r="D21" s="802">
        <v>1.8964225661594609</v>
      </c>
    </row>
    <row r="22" spans="1:4" ht="20.100000000000001" customHeight="1">
      <c r="A22" s="801" t="s">
        <v>611</v>
      </c>
      <c r="B22" s="802">
        <v>1.5</v>
      </c>
      <c r="C22" s="802">
        <v>1.2632272685697254</v>
      </c>
      <c r="D22" s="802">
        <v>1.6648454215344974</v>
      </c>
    </row>
    <row r="23" spans="1:4" ht="20.100000000000001" customHeight="1">
      <c r="A23" s="801" t="s">
        <v>612</v>
      </c>
      <c r="B23" s="802">
        <v>1.6490004790163908</v>
      </c>
      <c r="C23" s="802">
        <v>1.2388859592738035</v>
      </c>
      <c r="D23" s="802">
        <v>1.9245006201804535</v>
      </c>
    </row>
    <row r="24" spans="1:4" ht="20.100000000000001" customHeight="1">
      <c r="A24" s="796"/>
      <c r="B24" s="796"/>
      <c r="C24" s="796"/>
      <c r="D24" s="796"/>
    </row>
  </sheetData>
  <mergeCells count="2">
    <mergeCell ref="B4:B5"/>
    <mergeCell ref="C4:D4"/>
  </mergeCells>
  <pageMargins left="0.86614173228346503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E36"/>
  <sheetViews>
    <sheetView workbookViewId="0">
      <selection activeCell="D13" sqref="D13"/>
    </sheetView>
  </sheetViews>
  <sheetFormatPr defaultColWidth="9.28515625" defaultRowHeight="12.75"/>
  <cols>
    <col min="1" max="1" width="45.85546875" style="795" customWidth="1"/>
    <col min="2" max="4" width="11.28515625" style="773" customWidth="1"/>
    <col min="5" max="16384" width="9.28515625" style="795"/>
  </cols>
  <sheetData>
    <row r="1" spans="1:5" ht="20.100000000000001" customHeight="1">
      <c r="A1" s="792" t="s">
        <v>678</v>
      </c>
      <c r="B1" s="771"/>
      <c r="C1" s="771"/>
      <c r="D1" s="771"/>
      <c r="E1" s="794"/>
    </row>
    <row r="2" spans="1:5" ht="18" customHeight="1">
      <c r="A2" s="793"/>
      <c r="B2" s="771"/>
      <c r="C2" s="771"/>
      <c r="D2" s="771"/>
      <c r="E2" s="794"/>
    </row>
    <row r="3" spans="1:5" ht="20.100000000000001" customHeight="1">
      <c r="A3" s="796"/>
      <c r="B3" s="774"/>
      <c r="C3" s="774"/>
      <c r="D3" s="805" t="s">
        <v>61</v>
      </c>
    </row>
    <row r="4" spans="1:5" ht="20.100000000000001" customHeight="1">
      <c r="A4" s="798"/>
      <c r="B4" s="356" t="s">
        <v>25</v>
      </c>
      <c r="C4" s="356" t="s">
        <v>26</v>
      </c>
      <c r="D4" s="356" t="s">
        <v>19</v>
      </c>
    </row>
    <row r="5" spans="1:5" ht="20.100000000000001" customHeight="1">
      <c r="B5" s="358" t="s">
        <v>28</v>
      </c>
      <c r="C5" s="358" t="s">
        <v>28</v>
      </c>
      <c r="D5" s="358" t="s">
        <v>24</v>
      </c>
    </row>
    <row r="6" spans="1:5" ht="20.100000000000001" customHeight="1">
      <c r="B6" s="777">
        <v>2025</v>
      </c>
      <c r="C6" s="777">
        <v>2025</v>
      </c>
      <c r="D6" s="777" t="s">
        <v>592</v>
      </c>
    </row>
    <row r="7" spans="1:5" ht="20.100000000000001" customHeight="1">
      <c r="B7" s="776"/>
      <c r="C7" s="776"/>
      <c r="D7" s="776"/>
    </row>
    <row r="8" spans="1:5" ht="21.95" customHeight="1">
      <c r="A8" s="806" t="s">
        <v>615</v>
      </c>
      <c r="B8" s="785">
        <v>63.5</v>
      </c>
      <c r="C8" s="785">
        <v>62.385829999999999</v>
      </c>
      <c r="D8" s="785">
        <v>63.395276666666668</v>
      </c>
    </row>
    <row r="9" spans="1:5" ht="21.95" customHeight="1">
      <c r="A9" s="786" t="s">
        <v>595</v>
      </c>
      <c r="B9" s="787"/>
      <c r="C9" s="787"/>
      <c r="D9" s="787"/>
    </row>
    <row r="10" spans="1:5" ht="21.95" customHeight="1">
      <c r="A10" s="788" t="s">
        <v>596</v>
      </c>
      <c r="B10" s="787">
        <v>66.900000000000006</v>
      </c>
      <c r="C10" s="787">
        <v>65.714950000000002</v>
      </c>
      <c r="D10" s="787">
        <v>66.704983333333345</v>
      </c>
    </row>
    <row r="11" spans="1:5" ht="21.95" customHeight="1">
      <c r="A11" s="788" t="s">
        <v>597</v>
      </c>
      <c r="B11" s="787">
        <v>59.6</v>
      </c>
      <c r="C11" s="787">
        <v>58.569040000000001</v>
      </c>
      <c r="D11" s="787">
        <v>59.589680000000008</v>
      </c>
    </row>
    <row r="12" spans="1:5" ht="21.95" customHeight="1">
      <c r="A12" s="786" t="s">
        <v>598</v>
      </c>
      <c r="B12" s="787"/>
      <c r="C12" s="787"/>
      <c r="D12" s="787"/>
    </row>
    <row r="13" spans="1:5" ht="21.95" customHeight="1">
      <c r="A13" s="788" t="s">
        <v>599</v>
      </c>
      <c r="B13" s="787">
        <v>47.4</v>
      </c>
      <c r="C13" s="787">
        <v>46.733420000000002</v>
      </c>
      <c r="D13" s="787">
        <v>47.577806666666667</v>
      </c>
    </row>
    <row r="14" spans="1:5" ht="21.95" customHeight="1">
      <c r="A14" s="788" t="s">
        <v>600</v>
      </c>
      <c r="B14" s="787">
        <v>73.7</v>
      </c>
      <c r="C14" s="787">
        <v>72.958669999999998</v>
      </c>
      <c r="D14" s="787">
        <v>73.619556666666668</v>
      </c>
    </row>
    <row r="15" spans="1:5" ht="6.75" customHeight="1">
      <c r="A15" s="807"/>
      <c r="B15" s="808"/>
      <c r="C15" s="808"/>
      <c r="D15" s="808"/>
    </row>
    <row r="16" spans="1:5" ht="21.95" customHeight="1">
      <c r="A16" s="795" t="s">
        <v>616</v>
      </c>
      <c r="B16" s="787"/>
      <c r="C16" s="787"/>
      <c r="D16" s="787"/>
    </row>
    <row r="17" spans="2:4" ht="21.95" customHeight="1">
      <c r="B17" s="787"/>
      <c r="C17" s="787"/>
      <c r="D17" s="787"/>
    </row>
    <row r="18" spans="2:4" ht="21.95" customHeight="1">
      <c r="B18" s="785"/>
      <c r="C18" s="785"/>
      <c r="D18" s="785"/>
    </row>
    <row r="19" spans="2:4" ht="21.95" customHeight="1">
      <c r="B19" s="787"/>
      <c r="C19" s="787"/>
      <c r="D19" s="787"/>
    </row>
    <row r="20" spans="2:4" ht="21.95" customHeight="1">
      <c r="B20" s="787"/>
      <c r="C20" s="787"/>
      <c r="D20" s="787"/>
    </row>
    <row r="21" spans="2:4">
      <c r="B21" s="787"/>
      <c r="C21" s="787"/>
      <c r="D21" s="787"/>
    </row>
    <row r="22" spans="2:4" ht="15">
      <c r="B22" s="774"/>
      <c r="C22" s="774"/>
      <c r="D22" s="790"/>
    </row>
    <row r="23" spans="2:4">
      <c r="B23" s="912"/>
      <c r="C23" s="912"/>
      <c r="D23" s="912"/>
    </row>
    <row r="24" spans="2:4">
      <c r="B24" s="790"/>
      <c r="C24" s="790"/>
      <c r="D24" s="790"/>
    </row>
    <row r="25" spans="2:4">
      <c r="B25" s="785"/>
      <c r="C25" s="785"/>
      <c r="D25" s="785"/>
    </row>
    <row r="26" spans="2:4">
      <c r="B26" s="787"/>
      <c r="C26" s="787"/>
      <c r="D26" s="787"/>
    </row>
    <row r="27" spans="2:4">
      <c r="B27" s="787"/>
      <c r="C27" s="787"/>
      <c r="D27" s="787"/>
    </row>
    <row r="28" spans="2:4">
      <c r="B28" s="787"/>
      <c r="C28" s="787"/>
      <c r="D28" s="787"/>
    </row>
    <row r="29" spans="2:4">
      <c r="B29" s="787"/>
      <c r="C29" s="787"/>
      <c r="D29" s="787"/>
    </row>
    <row r="30" spans="2:4">
      <c r="B30" s="787"/>
      <c r="C30" s="787"/>
      <c r="D30" s="787"/>
    </row>
    <row r="31" spans="2:4">
      <c r="B31" s="787"/>
      <c r="C31" s="787"/>
      <c r="D31" s="787"/>
    </row>
    <row r="32" spans="2:4">
      <c r="B32" s="785"/>
      <c r="C32" s="785"/>
      <c r="D32" s="785"/>
    </row>
    <row r="33" spans="2:4">
      <c r="B33" s="787"/>
      <c r="C33" s="787"/>
      <c r="D33" s="787"/>
    </row>
    <row r="34" spans="2:4">
      <c r="B34" s="787"/>
      <c r="C34" s="787"/>
      <c r="D34" s="787"/>
    </row>
    <row r="35" spans="2:4">
      <c r="B35" s="787"/>
      <c r="C35" s="787"/>
      <c r="D35" s="787"/>
    </row>
    <row r="36" spans="2:4" ht="15">
      <c r="B36" s="774"/>
      <c r="C36" s="774"/>
      <c r="D36" s="774"/>
    </row>
  </sheetData>
  <mergeCells count="1">
    <mergeCell ref="B23:D23"/>
  </mergeCells>
  <pageMargins left="0.86614173228346503" right="0.17" top="0.74803149606299202" bottom="0.511811023622047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F50"/>
  <sheetViews>
    <sheetView workbookViewId="0">
      <selection activeCell="D13" sqref="D13"/>
    </sheetView>
  </sheetViews>
  <sheetFormatPr defaultColWidth="10.28515625" defaultRowHeight="15"/>
  <cols>
    <col min="1" max="1" width="2.28515625" style="812" customWidth="1"/>
    <col min="2" max="2" width="33.5703125" style="812" customWidth="1"/>
    <col min="3" max="3" width="16.7109375" style="812" customWidth="1"/>
    <col min="4" max="6" width="11" style="812" customWidth="1"/>
    <col min="7" max="256" width="10.28515625" style="812"/>
    <col min="257" max="257" width="2.28515625" style="812" customWidth="1"/>
    <col min="258" max="258" width="33.5703125" style="812" customWidth="1"/>
    <col min="259" max="259" width="16.7109375" style="812" customWidth="1"/>
    <col min="260" max="262" width="11" style="812" customWidth="1"/>
    <col min="263" max="512" width="10.28515625" style="812"/>
    <col min="513" max="513" width="2.28515625" style="812" customWidth="1"/>
    <col min="514" max="514" width="33.5703125" style="812" customWidth="1"/>
    <col min="515" max="515" width="16.7109375" style="812" customWidth="1"/>
    <col min="516" max="518" width="11" style="812" customWidth="1"/>
    <col min="519" max="768" width="10.28515625" style="812"/>
    <col min="769" max="769" width="2.28515625" style="812" customWidth="1"/>
    <col min="770" max="770" width="33.5703125" style="812" customWidth="1"/>
    <col min="771" max="771" width="16.7109375" style="812" customWidth="1"/>
    <col min="772" max="774" width="11" style="812" customWidth="1"/>
    <col min="775" max="1024" width="10.28515625" style="812"/>
    <col min="1025" max="1025" width="2.28515625" style="812" customWidth="1"/>
    <col min="1026" max="1026" width="33.5703125" style="812" customWidth="1"/>
    <col min="1027" max="1027" width="16.7109375" style="812" customWidth="1"/>
    <col min="1028" max="1030" width="11" style="812" customWidth="1"/>
    <col min="1031" max="1280" width="10.28515625" style="812"/>
    <col min="1281" max="1281" width="2.28515625" style="812" customWidth="1"/>
    <col min="1282" max="1282" width="33.5703125" style="812" customWidth="1"/>
    <col min="1283" max="1283" width="16.7109375" style="812" customWidth="1"/>
    <col min="1284" max="1286" width="11" style="812" customWidth="1"/>
    <col min="1287" max="1536" width="10.28515625" style="812"/>
    <col min="1537" max="1537" width="2.28515625" style="812" customWidth="1"/>
    <col min="1538" max="1538" width="33.5703125" style="812" customWidth="1"/>
    <col min="1539" max="1539" width="16.7109375" style="812" customWidth="1"/>
    <col min="1540" max="1542" width="11" style="812" customWidth="1"/>
    <col min="1543" max="1792" width="10.28515625" style="812"/>
    <col min="1793" max="1793" width="2.28515625" style="812" customWidth="1"/>
    <col min="1794" max="1794" width="33.5703125" style="812" customWidth="1"/>
    <col min="1795" max="1795" width="16.7109375" style="812" customWidth="1"/>
    <col min="1796" max="1798" width="11" style="812" customWidth="1"/>
    <col min="1799" max="2048" width="10.28515625" style="812"/>
    <col min="2049" max="2049" width="2.28515625" style="812" customWidth="1"/>
    <col min="2050" max="2050" width="33.5703125" style="812" customWidth="1"/>
    <col min="2051" max="2051" width="16.7109375" style="812" customWidth="1"/>
    <col min="2052" max="2054" width="11" style="812" customWidth="1"/>
    <col min="2055" max="2304" width="10.28515625" style="812"/>
    <col min="2305" max="2305" width="2.28515625" style="812" customWidth="1"/>
    <col min="2306" max="2306" width="33.5703125" style="812" customWidth="1"/>
    <col min="2307" max="2307" width="16.7109375" style="812" customWidth="1"/>
    <col min="2308" max="2310" width="11" style="812" customWidth="1"/>
    <col min="2311" max="2560" width="10.28515625" style="812"/>
    <col min="2561" max="2561" width="2.28515625" style="812" customWidth="1"/>
    <col min="2562" max="2562" width="33.5703125" style="812" customWidth="1"/>
    <col min="2563" max="2563" width="16.7109375" style="812" customWidth="1"/>
    <col min="2564" max="2566" width="11" style="812" customWidth="1"/>
    <col min="2567" max="2816" width="10.28515625" style="812"/>
    <col min="2817" max="2817" width="2.28515625" style="812" customWidth="1"/>
    <col min="2818" max="2818" width="33.5703125" style="812" customWidth="1"/>
    <col min="2819" max="2819" width="16.7109375" style="812" customWidth="1"/>
    <col min="2820" max="2822" width="11" style="812" customWidth="1"/>
    <col min="2823" max="3072" width="10.28515625" style="812"/>
    <col min="3073" max="3073" width="2.28515625" style="812" customWidth="1"/>
    <col min="3074" max="3074" width="33.5703125" style="812" customWidth="1"/>
    <col min="3075" max="3075" width="16.7109375" style="812" customWidth="1"/>
    <col min="3076" max="3078" width="11" style="812" customWidth="1"/>
    <col min="3079" max="3328" width="10.28515625" style="812"/>
    <col min="3329" max="3329" width="2.28515625" style="812" customWidth="1"/>
    <col min="3330" max="3330" width="33.5703125" style="812" customWidth="1"/>
    <col min="3331" max="3331" width="16.7109375" style="812" customWidth="1"/>
    <col min="3332" max="3334" width="11" style="812" customWidth="1"/>
    <col min="3335" max="3584" width="10.28515625" style="812"/>
    <col min="3585" max="3585" width="2.28515625" style="812" customWidth="1"/>
    <col min="3586" max="3586" width="33.5703125" style="812" customWidth="1"/>
    <col min="3587" max="3587" width="16.7109375" style="812" customWidth="1"/>
    <col min="3588" max="3590" width="11" style="812" customWidth="1"/>
    <col min="3591" max="3840" width="10.28515625" style="812"/>
    <col min="3841" max="3841" width="2.28515625" style="812" customWidth="1"/>
    <col min="3842" max="3842" width="33.5703125" style="812" customWidth="1"/>
    <col min="3843" max="3843" width="16.7109375" style="812" customWidth="1"/>
    <col min="3844" max="3846" width="11" style="812" customWidth="1"/>
    <col min="3847" max="4096" width="10.28515625" style="812"/>
    <col min="4097" max="4097" width="2.28515625" style="812" customWidth="1"/>
    <col min="4098" max="4098" width="33.5703125" style="812" customWidth="1"/>
    <col min="4099" max="4099" width="16.7109375" style="812" customWidth="1"/>
    <col min="4100" max="4102" width="11" style="812" customWidth="1"/>
    <col min="4103" max="4352" width="10.28515625" style="812"/>
    <col min="4353" max="4353" width="2.28515625" style="812" customWidth="1"/>
    <col min="4354" max="4354" width="33.5703125" style="812" customWidth="1"/>
    <col min="4355" max="4355" width="16.7109375" style="812" customWidth="1"/>
    <col min="4356" max="4358" width="11" style="812" customWidth="1"/>
    <col min="4359" max="4608" width="10.28515625" style="812"/>
    <col min="4609" max="4609" width="2.28515625" style="812" customWidth="1"/>
    <col min="4610" max="4610" width="33.5703125" style="812" customWidth="1"/>
    <col min="4611" max="4611" width="16.7109375" style="812" customWidth="1"/>
    <col min="4612" max="4614" width="11" style="812" customWidth="1"/>
    <col min="4615" max="4864" width="10.28515625" style="812"/>
    <col min="4865" max="4865" width="2.28515625" style="812" customWidth="1"/>
    <col min="4866" max="4866" width="33.5703125" style="812" customWidth="1"/>
    <col min="4867" max="4867" width="16.7109375" style="812" customWidth="1"/>
    <col min="4868" max="4870" width="11" style="812" customWidth="1"/>
    <col min="4871" max="5120" width="10.28515625" style="812"/>
    <col min="5121" max="5121" width="2.28515625" style="812" customWidth="1"/>
    <col min="5122" max="5122" width="33.5703125" style="812" customWidth="1"/>
    <col min="5123" max="5123" width="16.7109375" style="812" customWidth="1"/>
    <col min="5124" max="5126" width="11" style="812" customWidth="1"/>
    <col min="5127" max="5376" width="10.28515625" style="812"/>
    <col min="5377" max="5377" width="2.28515625" style="812" customWidth="1"/>
    <col min="5378" max="5378" width="33.5703125" style="812" customWidth="1"/>
    <col min="5379" max="5379" width="16.7109375" style="812" customWidth="1"/>
    <col min="5380" max="5382" width="11" style="812" customWidth="1"/>
    <col min="5383" max="5632" width="10.28515625" style="812"/>
    <col min="5633" max="5633" width="2.28515625" style="812" customWidth="1"/>
    <col min="5634" max="5634" width="33.5703125" style="812" customWidth="1"/>
    <col min="5635" max="5635" width="16.7109375" style="812" customWidth="1"/>
    <col min="5636" max="5638" width="11" style="812" customWidth="1"/>
    <col min="5639" max="5888" width="10.28515625" style="812"/>
    <col min="5889" max="5889" width="2.28515625" style="812" customWidth="1"/>
    <col min="5890" max="5890" width="33.5703125" style="812" customWidth="1"/>
    <col min="5891" max="5891" width="16.7109375" style="812" customWidth="1"/>
    <col min="5892" max="5894" width="11" style="812" customWidth="1"/>
    <col min="5895" max="6144" width="10.28515625" style="812"/>
    <col min="6145" max="6145" width="2.28515625" style="812" customWidth="1"/>
    <col min="6146" max="6146" width="33.5703125" style="812" customWidth="1"/>
    <col min="6147" max="6147" width="16.7109375" style="812" customWidth="1"/>
    <col min="6148" max="6150" width="11" style="812" customWidth="1"/>
    <col min="6151" max="6400" width="10.28515625" style="812"/>
    <col min="6401" max="6401" width="2.28515625" style="812" customWidth="1"/>
    <col min="6402" max="6402" width="33.5703125" style="812" customWidth="1"/>
    <col min="6403" max="6403" width="16.7109375" style="812" customWidth="1"/>
    <col min="6404" max="6406" width="11" style="812" customWidth="1"/>
    <col min="6407" max="6656" width="10.28515625" style="812"/>
    <col min="6657" max="6657" width="2.28515625" style="812" customWidth="1"/>
    <col min="6658" max="6658" width="33.5703125" style="812" customWidth="1"/>
    <col min="6659" max="6659" width="16.7109375" style="812" customWidth="1"/>
    <col min="6660" max="6662" width="11" style="812" customWidth="1"/>
    <col min="6663" max="6912" width="10.28515625" style="812"/>
    <col min="6913" max="6913" width="2.28515625" style="812" customWidth="1"/>
    <col min="6914" max="6914" width="33.5703125" style="812" customWidth="1"/>
    <col min="6915" max="6915" width="16.7109375" style="812" customWidth="1"/>
    <col min="6916" max="6918" width="11" style="812" customWidth="1"/>
    <col min="6919" max="7168" width="10.28515625" style="812"/>
    <col min="7169" max="7169" width="2.28515625" style="812" customWidth="1"/>
    <col min="7170" max="7170" width="33.5703125" style="812" customWidth="1"/>
    <col min="7171" max="7171" width="16.7109375" style="812" customWidth="1"/>
    <col min="7172" max="7174" width="11" style="812" customWidth="1"/>
    <col min="7175" max="7424" width="10.28515625" style="812"/>
    <col min="7425" max="7425" width="2.28515625" style="812" customWidth="1"/>
    <col min="7426" max="7426" width="33.5703125" style="812" customWidth="1"/>
    <col min="7427" max="7427" width="16.7109375" style="812" customWidth="1"/>
    <col min="7428" max="7430" width="11" style="812" customWidth="1"/>
    <col min="7431" max="7680" width="10.28515625" style="812"/>
    <col min="7681" max="7681" width="2.28515625" style="812" customWidth="1"/>
    <col min="7682" max="7682" width="33.5703125" style="812" customWidth="1"/>
    <col min="7683" max="7683" width="16.7109375" style="812" customWidth="1"/>
    <col min="7684" max="7686" width="11" style="812" customWidth="1"/>
    <col min="7687" max="7936" width="10.28515625" style="812"/>
    <col min="7937" max="7937" width="2.28515625" style="812" customWidth="1"/>
    <col min="7938" max="7938" width="33.5703125" style="812" customWidth="1"/>
    <col min="7939" max="7939" width="16.7109375" style="812" customWidth="1"/>
    <col min="7940" max="7942" width="11" style="812" customWidth="1"/>
    <col min="7943" max="8192" width="10.28515625" style="812"/>
    <col min="8193" max="8193" width="2.28515625" style="812" customWidth="1"/>
    <col min="8194" max="8194" width="33.5703125" style="812" customWidth="1"/>
    <col min="8195" max="8195" width="16.7109375" style="812" customWidth="1"/>
    <col min="8196" max="8198" width="11" style="812" customWidth="1"/>
    <col min="8199" max="8448" width="10.28515625" style="812"/>
    <col min="8449" max="8449" width="2.28515625" style="812" customWidth="1"/>
    <col min="8450" max="8450" width="33.5703125" style="812" customWidth="1"/>
    <col min="8451" max="8451" width="16.7109375" style="812" customWidth="1"/>
    <col min="8452" max="8454" width="11" style="812" customWidth="1"/>
    <col min="8455" max="8704" width="10.28515625" style="812"/>
    <col min="8705" max="8705" width="2.28515625" style="812" customWidth="1"/>
    <col min="8706" max="8706" width="33.5703125" style="812" customWidth="1"/>
    <col min="8707" max="8707" width="16.7109375" style="812" customWidth="1"/>
    <col min="8708" max="8710" width="11" style="812" customWidth="1"/>
    <col min="8711" max="8960" width="10.28515625" style="812"/>
    <col min="8961" max="8961" width="2.28515625" style="812" customWidth="1"/>
    <col min="8962" max="8962" width="33.5703125" style="812" customWidth="1"/>
    <col min="8963" max="8963" width="16.7109375" style="812" customWidth="1"/>
    <col min="8964" max="8966" width="11" style="812" customWidth="1"/>
    <col min="8967" max="9216" width="10.28515625" style="812"/>
    <col min="9217" max="9217" width="2.28515625" style="812" customWidth="1"/>
    <col min="9218" max="9218" width="33.5703125" style="812" customWidth="1"/>
    <col min="9219" max="9219" width="16.7109375" style="812" customWidth="1"/>
    <col min="9220" max="9222" width="11" style="812" customWidth="1"/>
    <col min="9223" max="9472" width="10.28515625" style="812"/>
    <col min="9473" max="9473" width="2.28515625" style="812" customWidth="1"/>
    <col min="9474" max="9474" width="33.5703125" style="812" customWidth="1"/>
    <col min="9475" max="9475" width="16.7109375" style="812" customWidth="1"/>
    <col min="9476" max="9478" width="11" style="812" customWidth="1"/>
    <col min="9479" max="9728" width="10.28515625" style="812"/>
    <col min="9729" max="9729" width="2.28515625" style="812" customWidth="1"/>
    <col min="9730" max="9730" width="33.5703125" style="812" customWidth="1"/>
    <col min="9731" max="9731" width="16.7109375" style="812" customWidth="1"/>
    <col min="9732" max="9734" width="11" style="812" customWidth="1"/>
    <col min="9735" max="9984" width="10.28515625" style="812"/>
    <col min="9985" max="9985" width="2.28515625" style="812" customWidth="1"/>
    <col min="9986" max="9986" width="33.5703125" style="812" customWidth="1"/>
    <col min="9987" max="9987" width="16.7109375" style="812" customWidth="1"/>
    <col min="9988" max="9990" width="11" style="812" customWidth="1"/>
    <col min="9991" max="10240" width="10.28515625" style="812"/>
    <col min="10241" max="10241" width="2.28515625" style="812" customWidth="1"/>
    <col min="10242" max="10242" width="33.5703125" style="812" customWidth="1"/>
    <col min="10243" max="10243" width="16.7109375" style="812" customWidth="1"/>
    <col min="10244" max="10246" width="11" style="812" customWidth="1"/>
    <col min="10247" max="10496" width="10.28515625" style="812"/>
    <col min="10497" max="10497" width="2.28515625" style="812" customWidth="1"/>
    <col min="10498" max="10498" width="33.5703125" style="812" customWidth="1"/>
    <col min="10499" max="10499" width="16.7109375" style="812" customWidth="1"/>
    <col min="10500" max="10502" width="11" style="812" customWidth="1"/>
    <col min="10503" max="10752" width="10.28515625" style="812"/>
    <col min="10753" max="10753" width="2.28515625" style="812" customWidth="1"/>
    <col min="10754" max="10754" width="33.5703125" style="812" customWidth="1"/>
    <col min="10755" max="10755" width="16.7109375" style="812" customWidth="1"/>
    <col min="10756" max="10758" width="11" style="812" customWidth="1"/>
    <col min="10759" max="11008" width="10.28515625" style="812"/>
    <col min="11009" max="11009" width="2.28515625" style="812" customWidth="1"/>
    <col min="11010" max="11010" width="33.5703125" style="812" customWidth="1"/>
    <col min="11011" max="11011" width="16.7109375" style="812" customWidth="1"/>
    <col min="11012" max="11014" width="11" style="812" customWidth="1"/>
    <col min="11015" max="11264" width="10.28515625" style="812"/>
    <col min="11265" max="11265" width="2.28515625" style="812" customWidth="1"/>
    <col min="11266" max="11266" width="33.5703125" style="812" customWidth="1"/>
    <col min="11267" max="11267" width="16.7109375" style="812" customWidth="1"/>
    <col min="11268" max="11270" width="11" style="812" customWidth="1"/>
    <col min="11271" max="11520" width="10.28515625" style="812"/>
    <col min="11521" max="11521" width="2.28515625" style="812" customWidth="1"/>
    <col min="11522" max="11522" width="33.5703125" style="812" customWidth="1"/>
    <col min="11523" max="11523" width="16.7109375" style="812" customWidth="1"/>
    <col min="11524" max="11526" width="11" style="812" customWidth="1"/>
    <col min="11527" max="11776" width="10.28515625" style="812"/>
    <col min="11777" max="11777" width="2.28515625" style="812" customWidth="1"/>
    <col min="11778" max="11778" width="33.5703125" style="812" customWidth="1"/>
    <col min="11779" max="11779" width="16.7109375" style="812" customWidth="1"/>
    <col min="11780" max="11782" width="11" style="812" customWidth="1"/>
    <col min="11783" max="12032" width="10.28515625" style="812"/>
    <col min="12033" max="12033" width="2.28515625" style="812" customWidth="1"/>
    <col min="12034" max="12034" width="33.5703125" style="812" customWidth="1"/>
    <col min="12035" max="12035" width="16.7109375" style="812" customWidth="1"/>
    <col min="12036" max="12038" width="11" style="812" customWidth="1"/>
    <col min="12039" max="12288" width="10.28515625" style="812"/>
    <col min="12289" max="12289" width="2.28515625" style="812" customWidth="1"/>
    <col min="12290" max="12290" width="33.5703125" style="812" customWidth="1"/>
    <col min="12291" max="12291" width="16.7109375" style="812" customWidth="1"/>
    <col min="12292" max="12294" width="11" style="812" customWidth="1"/>
    <col min="12295" max="12544" width="10.28515625" style="812"/>
    <col min="12545" max="12545" width="2.28515625" style="812" customWidth="1"/>
    <col min="12546" max="12546" width="33.5703125" style="812" customWidth="1"/>
    <col min="12547" max="12547" width="16.7109375" style="812" customWidth="1"/>
    <col min="12548" max="12550" width="11" style="812" customWidth="1"/>
    <col min="12551" max="12800" width="10.28515625" style="812"/>
    <col min="12801" max="12801" width="2.28515625" style="812" customWidth="1"/>
    <col min="12802" max="12802" width="33.5703125" style="812" customWidth="1"/>
    <col min="12803" max="12803" width="16.7109375" style="812" customWidth="1"/>
    <col min="12804" max="12806" width="11" style="812" customWidth="1"/>
    <col min="12807" max="13056" width="10.28515625" style="812"/>
    <col min="13057" max="13057" width="2.28515625" style="812" customWidth="1"/>
    <col min="13058" max="13058" width="33.5703125" style="812" customWidth="1"/>
    <col min="13059" max="13059" width="16.7109375" style="812" customWidth="1"/>
    <col min="13060" max="13062" width="11" style="812" customWidth="1"/>
    <col min="13063" max="13312" width="10.28515625" style="812"/>
    <col min="13313" max="13313" width="2.28515625" style="812" customWidth="1"/>
    <col min="13314" max="13314" width="33.5703125" style="812" customWidth="1"/>
    <col min="13315" max="13315" width="16.7109375" style="812" customWidth="1"/>
    <col min="13316" max="13318" width="11" style="812" customWidth="1"/>
    <col min="13319" max="13568" width="10.28515625" style="812"/>
    <col min="13569" max="13569" width="2.28515625" style="812" customWidth="1"/>
    <col min="13570" max="13570" width="33.5703125" style="812" customWidth="1"/>
    <col min="13571" max="13571" width="16.7109375" style="812" customWidth="1"/>
    <col min="13572" max="13574" width="11" style="812" customWidth="1"/>
    <col min="13575" max="13824" width="10.28515625" style="812"/>
    <col min="13825" max="13825" width="2.28515625" style="812" customWidth="1"/>
    <col min="13826" max="13826" width="33.5703125" style="812" customWidth="1"/>
    <col min="13827" max="13827" width="16.7109375" style="812" customWidth="1"/>
    <col min="13828" max="13830" width="11" style="812" customWidth="1"/>
    <col min="13831" max="14080" width="10.28515625" style="812"/>
    <col min="14081" max="14081" width="2.28515625" style="812" customWidth="1"/>
    <col min="14082" max="14082" width="33.5703125" style="812" customWidth="1"/>
    <col min="14083" max="14083" width="16.7109375" style="812" customWidth="1"/>
    <col min="14084" max="14086" width="11" style="812" customWidth="1"/>
    <col min="14087" max="14336" width="10.28515625" style="812"/>
    <col min="14337" max="14337" width="2.28515625" style="812" customWidth="1"/>
    <col min="14338" max="14338" width="33.5703125" style="812" customWidth="1"/>
    <col min="14339" max="14339" width="16.7109375" style="812" customWidth="1"/>
    <col min="14340" max="14342" width="11" style="812" customWidth="1"/>
    <col min="14343" max="14592" width="10.28515625" style="812"/>
    <col min="14593" max="14593" width="2.28515625" style="812" customWidth="1"/>
    <col min="14594" max="14594" width="33.5703125" style="812" customWidth="1"/>
    <col min="14595" max="14595" width="16.7109375" style="812" customWidth="1"/>
    <col min="14596" max="14598" width="11" style="812" customWidth="1"/>
    <col min="14599" max="14848" width="10.28515625" style="812"/>
    <col min="14849" max="14849" width="2.28515625" style="812" customWidth="1"/>
    <col min="14850" max="14850" width="33.5703125" style="812" customWidth="1"/>
    <col min="14851" max="14851" width="16.7109375" style="812" customWidth="1"/>
    <col min="14852" max="14854" width="11" style="812" customWidth="1"/>
    <col min="14855" max="15104" width="10.28515625" style="812"/>
    <col min="15105" max="15105" width="2.28515625" style="812" customWidth="1"/>
    <col min="15106" max="15106" width="33.5703125" style="812" customWidth="1"/>
    <col min="15107" max="15107" width="16.7109375" style="812" customWidth="1"/>
    <col min="15108" max="15110" width="11" style="812" customWidth="1"/>
    <col min="15111" max="15360" width="10.28515625" style="812"/>
    <col min="15361" max="15361" width="2.28515625" style="812" customWidth="1"/>
    <col min="15362" max="15362" width="33.5703125" style="812" customWidth="1"/>
    <col min="15363" max="15363" width="16.7109375" style="812" customWidth="1"/>
    <col min="15364" max="15366" width="11" style="812" customWidth="1"/>
    <col min="15367" max="15616" width="10.28515625" style="812"/>
    <col min="15617" max="15617" width="2.28515625" style="812" customWidth="1"/>
    <col min="15618" max="15618" width="33.5703125" style="812" customWidth="1"/>
    <col min="15619" max="15619" width="16.7109375" style="812" customWidth="1"/>
    <col min="15620" max="15622" width="11" style="812" customWidth="1"/>
    <col min="15623" max="15872" width="10.28515625" style="812"/>
    <col min="15873" max="15873" width="2.28515625" style="812" customWidth="1"/>
    <col min="15874" max="15874" width="33.5703125" style="812" customWidth="1"/>
    <col min="15875" max="15875" width="16.7109375" style="812" customWidth="1"/>
    <col min="15876" max="15878" width="11" style="812" customWidth="1"/>
    <col min="15879" max="16128" width="10.28515625" style="812"/>
    <col min="16129" max="16129" width="2.28515625" style="812" customWidth="1"/>
    <col min="16130" max="16130" width="33.5703125" style="812" customWidth="1"/>
    <col min="16131" max="16131" width="16.7109375" style="812" customWidth="1"/>
    <col min="16132" max="16134" width="11" style="812" customWidth="1"/>
    <col min="16135" max="16384" width="10.28515625" style="812"/>
  </cols>
  <sheetData>
    <row r="1" spans="1:6" s="810" customFormat="1" ht="21.75" customHeight="1">
      <c r="A1" s="809" t="s">
        <v>679</v>
      </c>
      <c r="B1" s="809"/>
      <c r="C1" s="809"/>
      <c r="D1" s="809"/>
      <c r="E1" s="809"/>
      <c r="F1" s="809"/>
    </row>
    <row r="2" spans="1:6" s="810" customFormat="1" ht="21.75" customHeight="1">
      <c r="A2" s="809"/>
      <c r="B2" s="809"/>
      <c r="C2" s="809"/>
      <c r="D2" s="809"/>
      <c r="E2" s="809"/>
      <c r="F2" s="809"/>
    </row>
    <row r="3" spans="1:6">
      <c r="A3" s="811"/>
      <c r="B3" s="692"/>
      <c r="C3" s="692"/>
      <c r="D3" s="692"/>
      <c r="E3" s="692"/>
      <c r="F3" s="692"/>
    </row>
    <row r="4" spans="1:6" ht="19.5" customHeight="1">
      <c r="A4" s="813"/>
      <c r="B4" s="814"/>
      <c r="C4" s="815" t="s">
        <v>114</v>
      </c>
      <c r="D4" s="916" t="s">
        <v>617</v>
      </c>
      <c r="E4" s="916"/>
      <c r="F4" s="916"/>
    </row>
    <row r="5" spans="1:6" ht="19.5" customHeight="1">
      <c r="A5" s="816"/>
      <c r="B5" s="692"/>
      <c r="C5" s="817" t="s">
        <v>116</v>
      </c>
      <c r="D5" s="817" t="s">
        <v>25</v>
      </c>
      <c r="E5" s="817" t="s">
        <v>26</v>
      </c>
      <c r="F5" s="817" t="s">
        <v>24</v>
      </c>
    </row>
    <row r="6" spans="1:6" ht="18" customHeight="1">
      <c r="A6" s="816"/>
      <c r="B6" s="692"/>
      <c r="C6" s="818"/>
      <c r="D6" s="818"/>
      <c r="E6" s="818"/>
      <c r="F6" s="818"/>
    </row>
    <row r="7" spans="1:6" ht="18" customHeight="1">
      <c r="A7" s="819" t="s">
        <v>618</v>
      </c>
      <c r="B7" s="820"/>
      <c r="C7" s="821"/>
      <c r="D7" s="822"/>
      <c r="E7" s="822"/>
      <c r="F7" s="822"/>
    </row>
    <row r="8" spans="1:6" ht="18" customHeight="1">
      <c r="A8" s="820"/>
      <c r="B8" s="821" t="s">
        <v>619</v>
      </c>
      <c r="C8" s="823" t="s">
        <v>620</v>
      </c>
      <c r="D8" s="824">
        <v>4422</v>
      </c>
      <c r="E8" s="824">
        <v>4289</v>
      </c>
      <c r="F8" s="824">
        <v>13716</v>
      </c>
    </row>
    <row r="9" spans="1:6" ht="18" customHeight="1">
      <c r="A9" s="820"/>
      <c r="B9" s="821" t="s">
        <v>621</v>
      </c>
      <c r="C9" s="823" t="s">
        <v>622</v>
      </c>
      <c r="D9" s="824">
        <v>2547</v>
      </c>
      <c r="E9" s="824">
        <v>2375</v>
      </c>
      <c r="F9" s="824">
        <v>7672</v>
      </c>
    </row>
    <row r="10" spans="1:6" ht="18" customHeight="1">
      <c r="A10" s="820"/>
      <c r="B10" s="821" t="s">
        <v>623</v>
      </c>
      <c r="C10" s="823" t="s">
        <v>121</v>
      </c>
      <c r="D10" s="824">
        <v>3008</v>
      </c>
      <c r="E10" s="824">
        <v>2940</v>
      </c>
      <c r="F10" s="824">
        <v>9186</v>
      </c>
    </row>
    <row r="11" spans="1:6" s="819" customFormat="1" ht="18" customHeight="1">
      <c r="A11" s="819" t="s">
        <v>624</v>
      </c>
    </row>
    <row r="12" spans="1:6" ht="18" customHeight="1">
      <c r="A12" s="820"/>
      <c r="B12" s="821" t="s">
        <v>625</v>
      </c>
      <c r="C12" s="823" t="s">
        <v>622</v>
      </c>
      <c r="D12" s="825">
        <v>67</v>
      </c>
      <c r="E12" s="825">
        <v>113</v>
      </c>
      <c r="F12" s="825">
        <v>187</v>
      </c>
    </row>
    <row r="13" spans="1:6" ht="18" customHeight="1">
      <c r="A13" s="820"/>
      <c r="B13" s="821" t="s">
        <v>623</v>
      </c>
      <c r="C13" s="823" t="s">
        <v>121</v>
      </c>
      <c r="D13" s="825">
        <v>45</v>
      </c>
      <c r="E13" s="825">
        <v>149</v>
      </c>
      <c r="F13" s="825">
        <v>210</v>
      </c>
    </row>
    <row r="14" spans="1:6" ht="18" customHeight="1">
      <c r="A14" s="820"/>
      <c r="B14" s="821" t="s">
        <v>626</v>
      </c>
      <c r="C14" s="823" t="s">
        <v>627</v>
      </c>
      <c r="D14" s="825">
        <v>48447.461000000003</v>
      </c>
      <c r="E14" s="825">
        <v>186315.67400000003</v>
      </c>
      <c r="F14" s="825">
        <v>246372.85100000002</v>
      </c>
    </row>
    <row r="15" spans="1:6" ht="18" customHeight="1">
      <c r="A15" s="820"/>
      <c r="B15" s="821" t="s">
        <v>628</v>
      </c>
      <c r="C15" s="823" t="s">
        <v>121</v>
      </c>
      <c r="D15" s="825">
        <v>10550.989999999998</v>
      </c>
      <c r="E15" s="825">
        <v>24769.778999999999</v>
      </c>
      <c r="F15" s="825">
        <v>40027.815000000002</v>
      </c>
    </row>
    <row r="16" spans="1:6" ht="18" customHeight="1">
      <c r="A16" s="820"/>
      <c r="B16" s="821" t="s">
        <v>629</v>
      </c>
      <c r="C16" s="823" t="s">
        <v>630</v>
      </c>
      <c r="D16" s="825">
        <v>210</v>
      </c>
      <c r="E16" s="825">
        <v>608</v>
      </c>
      <c r="F16" s="825">
        <v>856</v>
      </c>
    </row>
    <row r="17" spans="1:6" ht="18" customHeight="1">
      <c r="A17" s="820"/>
      <c r="B17" s="821" t="s">
        <v>631</v>
      </c>
      <c r="C17" s="823" t="s">
        <v>121</v>
      </c>
      <c r="D17" s="825">
        <v>5130</v>
      </c>
      <c r="E17" s="825">
        <v>31281</v>
      </c>
      <c r="F17" s="825">
        <v>37588</v>
      </c>
    </row>
    <row r="18" spans="1:6" ht="18" customHeight="1">
      <c r="A18" s="820"/>
      <c r="B18" s="821" t="s">
        <v>632</v>
      </c>
      <c r="C18" s="823" t="s">
        <v>289</v>
      </c>
      <c r="D18" s="826">
        <v>1887.14554</v>
      </c>
      <c r="E18" s="826">
        <v>14125.337249999999</v>
      </c>
      <c r="F18" s="826">
        <v>16135.193169999999</v>
      </c>
    </row>
    <row r="19" spans="1:6" ht="18" customHeight="1">
      <c r="A19" s="819" t="s">
        <v>633</v>
      </c>
      <c r="B19" s="820"/>
      <c r="C19" s="823"/>
      <c r="D19" s="827"/>
      <c r="E19" s="827"/>
      <c r="F19" s="827"/>
    </row>
    <row r="20" spans="1:6" ht="18" customHeight="1">
      <c r="A20" s="820"/>
      <c r="B20" s="821" t="s">
        <v>634</v>
      </c>
      <c r="C20" s="823" t="s">
        <v>620</v>
      </c>
      <c r="D20" s="827">
        <v>783</v>
      </c>
      <c r="E20" s="827">
        <v>747</v>
      </c>
      <c r="F20" s="827">
        <v>2470</v>
      </c>
    </row>
    <row r="21" spans="1:6" ht="18" customHeight="1">
      <c r="A21" s="820"/>
      <c r="B21" s="828" t="s">
        <v>621</v>
      </c>
      <c r="C21" s="823" t="s">
        <v>622</v>
      </c>
      <c r="D21" s="827">
        <v>29</v>
      </c>
      <c r="E21" s="827">
        <v>36</v>
      </c>
      <c r="F21" s="827">
        <v>83</v>
      </c>
    </row>
    <row r="22" spans="1:6" ht="18" customHeight="1">
      <c r="A22" s="820"/>
      <c r="B22" s="828" t="s">
        <v>623</v>
      </c>
      <c r="C22" s="823" t="s">
        <v>121</v>
      </c>
      <c r="D22" s="827">
        <v>52</v>
      </c>
      <c r="E22" s="827">
        <v>22</v>
      </c>
      <c r="F22" s="827">
        <v>97</v>
      </c>
    </row>
    <row r="23" spans="1:6" ht="18" customHeight="1">
      <c r="A23" s="820"/>
      <c r="B23" s="821" t="s">
        <v>632</v>
      </c>
      <c r="C23" s="823" t="s">
        <v>289</v>
      </c>
      <c r="D23" s="829">
        <v>200.82000000000002</v>
      </c>
      <c r="E23" s="829">
        <v>77.989999999999995</v>
      </c>
      <c r="F23" s="829">
        <v>238.95999999999998</v>
      </c>
    </row>
    <row r="24" spans="1:6" ht="18" customHeight="1">
      <c r="A24" s="830" t="s">
        <v>635</v>
      </c>
      <c r="B24" s="821"/>
      <c r="C24" s="823"/>
      <c r="D24" s="827"/>
      <c r="E24" s="827"/>
      <c r="F24" s="827"/>
    </row>
    <row r="25" spans="1:6" ht="18" customHeight="1">
      <c r="A25" s="820"/>
      <c r="B25" s="821" t="s">
        <v>636</v>
      </c>
      <c r="C25" s="823" t="s">
        <v>620</v>
      </c>
      <c r="D25" s="825">
        <v>2535</v>
      </c>
      <c r="E25" s="825">
        <v>3338</v>
      </c>
      <c r="F25" s="825">
        <v>11611</v>
      </c>
    </row>
    <row r="26" spans="1:6" ht="18" customHeight="1">
      <c r="A26" s="819"/>
      <c r="B26" s="820" t="s">
        <v>637</v>
      </c>
      <c r="C26" s="823" t="s">
        <v>121</v>
      </c>
      <c r="D26" s="825">
        <v>2258</v>
      </c>
      <c r="E26" s="825">
        <v>2890</v>
      </c>
      <c r="F26" s="825">
        <v>10306</v>
      </c>
    </row>
    <row r="27" spans="1:6" ht="18" customHeight="1">
      <c r="A27" s="820"/>
      <c r="B27" s="821" t="s">
        <v>638</v>
      </c>
      <c r="C27" s="823" t="s">
        <v>289</v>
      </c>
      <c r="D27" s="826">
        <v>45.05097</v>
      </c>
      <c r="E27" s="826">
        <v>49.438541999999998</v>
      </c>
      <c r="F27" s="826">
        <v>164.96220699999998</v>
      </c>
    </row>
    <row r="28" spans="1:6" ht="15.75">
      <c r="A28" s="816"/>
      <c r="B28" s="831"/>
      <c r="C28" s="816"/>
      <c r="D28" s="816"/>
      <c r="E28" s="816"/>
    </row>
    <row r="29" spans="1:6">
      <c r="A29" s="816"/>
      <c r="B29" s="816"/>
      <c r="C29" s="816"/>
      <c r="D29" s="816"/>
      <c r="E29" s="816"/>
    </row>
    <row r="30" spans="1:6">
      <c r="A30" s="816"/>
      <c r="B30" s="816"/>
      <c r="C30" s="816"/>
      <c r="D30" s="816"/>
      <c r="E30" s="816"/>
    </row>
    <row r="31" spans="1:6">
      <c r="A31" s="816"/>
      <c r="B31" s="816"/>
      <c r="C31" s="816"/>
      <c r="D31" s="816"/>
      <c r="E31" s="816"/>
    </row>
    <row r="32" spans="1:6">
      <c r="A32" s="816"/>
      <c r="B32" s="816"/>
      <c r="C32" s="816"/>
      <c r="D32" s="816"/>
      <c r="E32" s="816"/>
    </row>
    <row r="33" spans="1:5">
      <c r="A33" s="816"/>
      <c r="B33" s="816"/>
      <c r="C33" s="816"/>
      <c r="D33" s="816"/>
      <c r="E33" s="816"/>
    </row>
    <row r="34" spans="1:5">
      <c r="A34" s="816"/>
      <c r="B34" s="816"/>
      <c r="C34" s="816"/>
      <c r="D34" s="816"/>
      <c r="E34" s="816"/>
    </row>
    <row r="35" spans="1:5">
      <c r="A35" s="816"/>
      <c r="B35" s="816"/>
      <c r="C35" s="816"/>
      <c r="D35" s="816"/>
      <c r="E35" s="816"/>
    </row>
    <row r="36" spans="1:5">
      <c r="A36" s="816"/>
      <c r="B36" s="816"/>
      <c r="C36" s="816"/>
      <c r="D36" s="816"/>
      <c r="E36" s="816"/>
    </row>
    <row r="37" spans="1:5">
      <c r="A37" s="816"/>
      <c r="B37" s="816"/>
      <c r="C37" s="816"/>
      <c r="D37" s="816"/>
      <c r="E37" s="816"/>
    </row>
    <row r="38" spans="1:5">
      <c r="A38" s="816"/>
      <c r="B38" s="816"/>
      <c r="C38" s="816"/>
      <c r="D38" s="816"/>
      <c r="E38" s="816"/>
    </row>
    <row r="39" spans="1:5">
      <c r="A39" s="816"/>
      <c r="B39" s="816"/>
      <c r="C39" s="816"/>
      <c r="D39" s="816"/>
      <c r="E39" s="816"/>
    </row>
    <row r="40" spans="1:5">
      <c r="A40" s="816"/>
      <c r="B40" s="816"/>
      <c r="C40" s="816"/>
      <c r="D40" s="816"/>
      <c r="E40" s="816"/>
    </row>
    <row r="41" spans="1:5">
      <c r="A41" s="816"/>
      <c r="B41" s="816"/>
      <c r="C41" s="816"/>
      <c r="D41" s="816"/>
      <c r="E41" s="816"/>
    </row>
    <row r="42" spans="1:5">
      <c r="A42" s="816"/>
      <c r="B42" s="816"/>
      <c r="C42" s="816"/>
      <c r="D42" s="816"/>
      <c r="E42" s="816"/>
    </row>
    <row r="43" spans="1:5">
      <c r="A43" s="816"/>
      <c r="B43" s="816"/>
      <c r="C43" s="816"/>
      <c r="D43" s="816"/>
      <c r="E43" s="816"/>
    </row>
    <row r="44" spans="1:5">
      <c r="A44" s="816"/>
      <c r="B44" s="816"/>
      <c r="C44" s="816"/>
      <c r="D44" s="816"/>
      <c r="E44" s="816"/>
    </row>
    <row r="45" spans="1:5">
      <c r="A45" s="816"/>
      <c r="B45" s="816"/>
      <c r="C45" s="816"/>
      <c r="D45" s="816"/>
      <c r="E45" s="816"/>
    </row>
    <row r="46" spans="1:5">
      <c r="A46" s="816"/>
      <c r="B46" s="816"/>
      <c r="C46" s="816"/>
      <c r="D46" s="816"/>
      <c r="E46" s="816"/>
    </row>
    <row r="47" spans="1:5">
      <c r="A47" s="816"/>
      <c r="B47" s="816"/>
      <c r="C47" s="816"/>
      <c r="D47" s="816"/>
      <c r="E47" s="816"/>
    </row>
    <row r="48" spans="1:5">
      <c r="A48" s="816"/>
      <c r="B48" s="816"/>
      <c r="C48" s="816"/>
      <c r="D48" s="816"/>
      <c r="E48" s="816"/>
    </row>
    <row r="49" spans="1:5">
      <c r="A49" s="816"/>
      <c r="B49" s="816"/>
      <c r="C49" s="816"/>
      <c r="D49" s="816"/>
      <c r="E49" s="816"/>
    </row>
    <row r="50" spans="1:5">
      <c r="A50" s="816"/>
      <c r="B50" s="816"/>
      <c r="C50" s="816"/>
      <c r="D50" s="816"/>
      <c r="E50" s="816"/>
    </row>
  </sheetData>
  <mergeCells count="1">
    <mergeCell ref="D4:F4"/>
  </mergeCells>
  <pageMargins left="0.86614173228346503" right="0.17" top="0.74803149606299202" bottom="0.511811023622047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>
      <selection activeCell="D13" sqref="D13"/>
    </sheetView>
  </sheetViews>
  <sheetFormatPr defaultRowHeight="1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1.GDP-HH</vt:lpstr>
      <vt:lpstr>2.GDP-SS</vt:lpstr>
      <vt:lpstr>3.Nong nghiep</vt:lpstr>
      <vt:lpstr>4.Channuoi</vt:lpstr>
      <vt:lpstr>5.Lam nghiep</vt:lpstr>
      <vt:lpstr>6.Thuy san</vt:lpstr>
      <vt:lpstr>7.IIPthang</vt:lpstr>
      <vt:lpstr>8.IIPquy</vt:lpstr>
      <vt:lpstr>9.SPCNthang</vt:lpstr>
      <vt:lpstr>10.SPCNquy</vt:lpstr>
      <vt:lpstr>11.CS TT TK</vt:lpstr>
      <vt:lpstr>12.LĐCN</vt:lpstr>
      <vt:lpstr>13.LĐCN_DP</vt:lpstr>
      <vt:lpstr>14.Chi tieu DN</vt:lpstr>
      <vt:lpstr>15.DN DK thanh lap</vt:lpstr>
      <vt:lpstr>16.DN quay lai hoat dong</vt:lpstr>
      <vt:lpstr>17.DN Ngừng có thời hạn</vt:lpstr>
      <vt:lpstr>18.DN giải thể</vt:lpstr>
      <vt:lpstr>19.VĐTTXH</vt:lpstr>
      <vt:lpstr>20.VNSNN tháng</vt:lpstr>
      <vt:lpstr>21.VNSNN quý</vt:lpstr>
      <vt:lpstr>22.FDI</vt:lpstr>
      <vt:lpstr>23.Tongmuc</vt:lpstr>
      <vt:lpstr>24.TM_Quy</vt:lpstr>
      <vt:lpstr>25.XK tháng</vt:lpstr>
      <vt:lpstr>26.NK tháng</vt:lpstr>
      <vt:lpstr>27.XK quý</vt:lpstr>
      <vt:lpstr>28.NK quý</vt:lpstr>
      <vt:lpstr>29.XNK Dich vu</vt:lpstr>
      <vt:lpstr>30.CPI</vt:lpstr>
      <vt:lpstr>31.Gia SX</vt:lpstr>
      <vt:lpstr>32.Gia Van tai</vt:lpstr>
      <vt:lpstr>33.Gia NVL</vt:lpstr>
      <vt:lpstr>34.Gia XK</vt:lpstr>
      <vt:lpstr>35.Gia NK</vt:lpstr>
      <vt:lpstr>36.TygiaTM</vt:lpstr>
      <vt:lpstr>37.Van tai HK</vt:lpstr>
      <vt:lpstr>38.Van tai HK quy</vt:lpstr>
      <vt:lpstr>39. VT HH</vt:lpstr>
      <vt:lpstr>40.Van tai HH quy</vt:lpstr>
      <vt:lpstr>41.Du lich </vt:lpstr>
      <vt:lpstr>42.Du lich quý</vt:lpstr>
      <vt:lpstr>43.Laodong</vt:lpstr>
      <vt:lpstr>44.thatnghiep</vt:lpstr>
      <vt:lpstr>45.LĐPhiCT</vt:lpstr>
      <vt:lpstr>46.XHMT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ltanh</dc:creator>
  <cp:lastModifiedBy>GSO.LTANH</cp:lastModifiedBy>
  <cp:lastPrinted>2025-10-05T11:09:35Z</cp:lastPrinted>
  <dcterms:created xsi:type="dcterms:W3CDTF">2025-10-01T13:36:17Z</dcterms:created>
  <dcterms:modified xsi:type="dcterms:W3CDTF">2025-10-06T00:30:24Z</dcterms:modified>
</cp:coreProperties>
</file>